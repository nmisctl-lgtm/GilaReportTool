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ocalProjects\GilaReportTool\data\"/>
    </mc:Choice>
  </mc:AlternateContent>
  <xr:revisionPtr revIDLastSave="0" documentId="13_ncr:1_{9C6E951C-DD93-427B-8CD9-173D7F718DA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A_2025" sheetId="1" r:id="rId1"/>
    <sheet name="stats" sheetId="2" r:id="rId2"/>
    <sheet name="key" sheetId="3" r:id="rId3"/>
  </sheets>
  <externalReferences>
    <externalReference r:id="rId4"/>
  </externalReferences>
  <definedNames>
    <definedName name="_xlnm._FilterDatabase" localSheetId="0" hidden="1">IA_2025!$A$1:$L$274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M41" i="2" s="1"/>
  <c r="AC96" i="2"/>
  <c r="E96" i="2"/>
  <c r="E82" i="2"/>
  <c r="AF81" i="2"/>
  <c r="AC81" i="2"/>
  <c r="AF73" i="2"/>
  <c r="AC73" i="2"/>
  <c r="AF71" i="2"/>
  <c r="AC71" i="2"/>
  <c r="AF62" i="2"/>
  <c r="AF54" i="2"/>
  <c r="AC54" i="2"/>
  <c r="AC68" i="2" s="1"/>
  <c r="E54" i="2"/>
  <c r="E80" i="2" s="1"/>
  <c r="AF50" i="2"/>
  <c r="AE50" i="2"/>
  <c r="AC50" i="2"/>
  <c r="AB50" i="2"/>
  <c r="Z50" i="2"/>
  <c r="Y50" i="2"/>
  <c r="W50" i="2"/>
  <c r="V50" i="2"/>
  <c r="T50" i="2"/>
  <c r="S50" i="2"/>
  <c r="Q50" i="2"/>
  <c r="P50" i="2"/>
  <c r="N50" i="2"/>
  <c r="M50" i="2"/>
  <c r="K50" i="2"/>
  <c r="J50" i="2"/>
  <c r="H50" i="2"/>
  <c r="G50" i="2"/>
  <c r="E50" i="2"/>
  <c r="D50" i="2"/>
  <c r="AF49" i="2"/>
  <c r="AE49" i="2"/>
  <c r="AC49" i="2"/>
  <c r="AB49" i="2"/>
  <c r="Z49" i="2"/>
  <c r="Y49" i="2"/>
  <c r="W49" i="2"/>
  <c r="V49" i="2"/>
  <c r="T49" i="2"/>
  <c r="S49" i="2"/>
  <c r="Q49" i="2"/>
  <c r="P49" i="2"/>
  <c r="N49" i="2"/>
  <c r="M49" i="2"/>
  <c r="K49" i="2"/>
  <c r="J49" i="2"/>
  <c r="H49" i="2"/>
  <c r="G49" i="2"/>
  <c r="E49" i="2"/>
  <c r="D49" i="2"/>
  <c r="AF48" i="2"/>
  <c r="AF96" i="2" s="1"/>
  <c r="AE48" i="2"/>
  <c r="AC48" i="2"/>
  <c r="AB48" i="2"/>
  <c r="Z48" i="2"/>
  <c r="Y48" i="2"/>
  <c r="W48" i="2"/>
  <c r="W54" i="2" s="1"/>
  <c r="V48" i="2"/>
  <c r="T48" i="2"/>
  <c r="T54" i="2" s="1"/>
  <c r="S48" i="2"/>
  <c r="Q48" i="2"/>
  <c r="Q54" i="2" s="1"/>
  <c r="P48" i="2"/>
  <c r="N48" i="2"/>
  <c r="M48" i="2"/>
  <c r="K48" i="2"/>
  <c r="J48" i="2"/>
  <c r="H48" i="2"/>
  <c r="G48" i="2"/>
  <c r="E48" i="2"/>
  <c r="D48" i="2"/>
  <c r="AF47" i="2"/>
  <c r="AF95" i="2" s="1"/>
  <c r="AE47" i="2"/>
  <c r="AC47" i="2"/>
  <c r="AC95" i="2" s="1"/>
  <c r="AB47" i="2"/>
  <c r="Z47" i="2"/>
  <c r="Y47" i="2"/>
  <c r="W47" i="2"/>
  <c r="W95" i="2" s="1"/>
  <c r="V47" i="2"/>
  <c r="T47" i="2"/>
  <c r="T95" i="2" s="1"/>
  <c r="S47" i="2"/>
  <c r="Q47" i="2"/>
  <c r="Q95" i="2" s="1"/>
  <c r="P47" i="2"/>
  <c r="N47" i="2"/>
  <c r="M47" i="2"/>
  <c r="K47" i="2"/>
  <c r="K95" i="2" s="1"/>
  <c r="J47" i="2"/>
  <c r="H47" i="2"/>
  <c r="G47" i="2"/>
  <c r="E47" i="2"/>
  <c r="E95" i="2" s="1"/>
  <c r="D47" i="2"/>
  <c r="AF46" i="2"/>
  <c r="AF94" i="2" s="1"/>
  <c r="AF97" i="2" s="1"/>
  <c r="AE46" i="2"/>
  <c r="AC46" i="2"/>
  <c r="AC94" i="2" s="1"/>
  <c r="AC97" i="2" s="1"/>
  <c r="AB46" i="2"/>
  <c r="Z46" i="2"/>
  <c r="Z54" i="2" s="1"/>
  <c r="Y46" i="2"/>
  <c r="W46" i="2"/>
  <c r="V46" i="2"/>
  <c r="T46" i="2"/>
  <c r="T94" i="2" s="1"/>
  <c r="S46" i="2"/>
  <c r="Q46" i="2"/>
  <c r="P46" i="2"/>
  <c r="N46" i="2"/>
  <c r="M46" i="2"/>
  <c r="K46" i="2"/>
  <c r="K54" i="2" s="1"/>
  <c r="J46" i="2"/>
  <c r="H46" i="2"/>
  <c r="G46" i="2"/>
  <c r="E46" i="2"/>
  <c r="E94" i="2" s="1"/>
  <c r="E97" i="2" s="1"/>
  <c r="D46" i="2"/>
  <c r="AF45" i="2"/>
  <c r="AF51" i="2" s="1"/>
  <c r="AE45" i="2"/>
  <c r="AE51" i="2" s="1"/>
  <c r="AC45" i="2"/>
  <c r="AC51" i="2" s="1"/>
  <c r="AB45" i="2"/>
  <c r="AB51" i="2" s="1"/>
  <c r="Z45" i="2"/>
  <c r="Z51" i="2" s="1"/>
  <c r="Y45" i="2"/>
  <c r="Y51" i="2" s="1"/>
  <c r="W45" i="2"/>
  <c r="W51" i="2" s="1"/>
  <c r="V45" i="2"/>
  <c r="V51" i="2" s="1"/>
  <c r="T45" i="2"/>
  <c r="T51" i="2" s="1"/>
  <c r="S45" i="2"/>
  <c r="S51" i="2" s="1"/>
  <c r="Q45" i="2"/>
  <c r="Q51" i="2" s="1"/>
  <c r="P45" i="2"/>
  <c r="P51" i="2" s="1"/>
  <c r="N45" i="2"/>
  <c r="N51" i="2" s="1"/>
  <c r="M45" i="2"/>
  <c r="M51" i="2" s="1"/>
  <c r="K45" i="2"/>
  <c r="K51" i="2" s="1"/>
  <c r="J45" i="2"/>
  <c r="J51" i="2" s="1"/>
  <c r="H45" i="2"/>
  <c r="H51" i="2" s="1"/>
  <c r="G45" i="2"/>
  <c r="G51" i="2" s="1"/>
  <c r="E45" i="2"/>
  <c r="E51" i="2" s="1"/>
  <c r="D45" i="2"/>
  <c r="D51" i="2" s="1"/>
  <c r="AF40" i="2"/>
  <c r="AE40" i="2"/>
  <c r="AC40" i="2"/>
  <c r="AB40" i="2"/>
  <c r="Z40" i="2"/>
  <c r="Y40" i="2"/>
  <c r="W40" i="2"/>
  <c r="V40" i="2"/>
  <c r="T40" i="2"/>
  <c r="S40" i="2"/>
  <c r="Q40" i="2"/>
  <c r="P40" i="2"/>
  <c r="N40" i="2"/>
  <c r="M40" i="2"/>
  <c r="K40" i="2"/>
  <c r="J40" i="2"/>
  <c r="H40" i="2"/>
  <c r="G40" i="2"/>
  <c r="E40" i="2"/>
  <c r="D40" i="2"/>
  <c r="AF39" i="2"/>
  <c r="AE39" i="2"/>
  <c r="AC39" i="2"/>
  <c r="AB39" i="2"/>
  <c r="Z39" i="2"/>
  <c r="Y39" i="2"/>
  <c r="W39" i="2"/>
  <c r="V39" i="2"/>
  <c r="T39" i="2"/>
  <c r="S39" i="2"/>
  <c r="Q39" i="2"/>
  <c r="P39" i="2"/>
  <c r="N39" i="2"/>
  <c r="M39" i="2"/>
  <c r="K39" i="2"/>
  <c r="J39" i="2"/>
  <c r="H39" i="2"/>
  <c r="G39" i="2"/>
  <c r="E39" i="2"/>
  <c r="D39" i="2"/>
  <c r="AF38" i="2"/>
  <c r="AE38" i="2"/>
  <c r="AC38" i="2"/>
  <c r="AB38" i="2"/>
  <c r="Z38" i="2"/>
  <c r="Y38" i="2"/>
  <c r="W38" i="2"/>
  <c r="V38" i="2"/>
  <c r="T38" i="2"/>
  <c r="S38" i="2"/>
  <c r="Q38" i="2"/>
  <c r="P38" i="2"/>
  <c r="N38" i="2"/>
  <c r="M38" i="2"/>
  <c r="K38" i="2"/>
  <c r="J38" i="2"/>
  <c r="H38" i="2"/>
  <c r="G38" i="2"/>
  <c r="E38" i="2"/>
  <c r="D38" i="2"/>
  <c r="AF37" i="2"/>
  <c r="AE37" i="2"/>
  <c r="AC37" i="2"/>
  <c r="AB37" i="2"/>
  <c r="Z37" i="2"/>
  <c r="Y37" i="2"/>
  <c r="W37" i="2"/>
  <c r="V37" i="2"/>
  <c r="T37" i="2"/>
  <c r="S37" i="2"/>
  <c r="Q37" i="2"/>
  <c r="P37" i="2"/>
  <c r="N37" i="2"/>
  <c r="M37" i="2"/>
  <c r="K37" i="2"/>
  <c r="J37" i="2"/>
  <c r="H37" i="2"/>
  <c r="G37" i="2"/>
  <c r="E37" i="2"/>
  <c r="D37" i="2"/>
  <c r="AF36" i="2"/>
  <c r="AE36" i="2"/>
  <c r="AC36" i="2"/>
  <c r="AB36" i="2"/>
  <c r="Z36" i="2"/>
  <c r="Y36" i="2"/>
  <c r="W36" i="2"/>
  <c r="V36" i="2"/>
  <c r="T36" i="2"/>
  <c r="S36" i="2"/>
  <c r="Q36" i="2"/>
  <c r="P36" i="2"/>
  <c r="N36" i="2"/>
  <c r="M36" i="2"/>
  <c r="K36" i="2"/>
  <c r="J36" i="2"/>
  <c r="H36" i="2"/>
  <c r="G36" i="2"/>
  <c r="E36" i="2"/>
  <c r="D36" i="2"/>
  <c r="AF35" i="2"/>
  <c r="AE35" i="2"/>
  <c r="AC35" i="2"/>
  <c r="AB35" i="2"/>
  <c r="Z35" i="2"/>
  <c r="Y35" i="2"/>
  <c r="W35" i="2"/>
  <c r="V35" i="2"/>
  <c r="T35" i="2"/>
  <c r="S35" i="2"/>
  <c r="Q35" i="2"/>
  <c r="P35" i="2"/>
  <c r="N35" i="2"/>
  <c r="M35" i="2"/>
  <c r="K35" i="2"/>
  <c r="J35" i="2"/>
  <c r="H35" i="2"/>
  <c r="G35" i="2"/>
  <c r="E35" i="2"/>
  <c r="D35" i="2"/>
  <c r="AF34" i="2"/>
  <c r="AE34" i="2"/>
  <c r="AC34" i="2"/>
  <c r="AB34" i="2"/>
  <c r="Z34" i="2"/>
  <c r="Y34" i="2"/>
  <c r="W34" i="2"/>
  <c r="V34" i="2"/>
  <c r="T34" i="2"/>
  <c r="S34" i="2"/>
  <c r="Q34" i="2"/>
  <c r="P34" i="2"/>
  <c r="N34" i="2"/>
  <c r="M34" i="2"/>
  <c r="K34" i="2"/>
  <c r="J34" i="2"/>
  <c r="H34" i="2"/>
  <c r="G34" i="2"/>
  <c r="E34" i="2"/>
  <c r="D34" i="2"/>
  <c r="AF33" i="2"/>
  <c r="AE33" i="2"/>
  <c r="AC33" i="2"/>
  <c r="AB33" i="2"/>
  <c r="Z33" i="2"/>
  <c r="Y33" i="2"/>
  <c r="W33" i="2"/>
  <c r="V33" i="2"/>
  <c r="T33" i="2"/>
  <c r="S33" i="2"/>
  <c r="Q33" i="2"/>
  <c r="P33" i="2"/>
  <c r="N33" i="2"/>
  <c r="M33" i="2"/>
  <c r="K33" i="2"/>
  <c r="J33" i="2"/>
  <c r="H33" i="2"/>
  <c r="G33" i="2"/>
  <c r="E33" i="2"/>
  <c r="D33" i="2"/>
  <c r="AF32" i="2"/>
  <c r="AE32" i="2"/>
  <c r="AC32" i="2"/>
  <c r="AB32" i="2"/>
  <c r="Z32" i="2"/>
  <c r="Y32" i="2"/>
  <c r="W32" i="2"/>
  <c r="V32" i="2"/>
  <c r="T32" i="2"/>
  <c r="S32" i="2"/>
  <c r="Q32" i="2"/>
  <c r="P32" i="2"/>
  <c r="N32" i="2"/>
  <c r="M32" i="2"/>
  <c r="K32" i="2"/>
  <c r="J32" i="2"/>
  <c r="H32" i="2"/>
  <c r="G32" i="2"/>
  <c r="E32" i="2"/>
  <c r="D32" i="2"/>
  <c r="AF31" i="2"/>
  <c r="AE31" i="2"/>
  <c r="AC31" i="2"/>
  <c r="AB31" i="2"/>
  <c r="Z31" i="2"/>
  <c r="Y31" i="2"/>
  <c r="W31" i="2"/>
  <c r="V31" i="2"/>
  <c r="T31" i="2"/>
  <c r="S31" i="2"/>
  <c r="Q31" i="2"/>
  <c r="P31" i="2"/>
  <c r="N31" i="2"/>
  <c r="M31" i="2"/>
  <c r="K31" i="2"/>
  <c r="J31" i="2"/>
  <c r="H31" i="2"/>
  <c r="G31" i="2"/>
  <c r="E31" i="2"/>
  <c r="D31" i="2"/>
  <c r="AF30" i="2"/>
  <c r="AE30" i="2"/>
  <c r="AC30" i="2"/>
  <c r="AB30" i="2"/>
  <c r="Z30" i="2"/>
  <c r="Y30" i="2"/>
  <c r="W30" i="2"/>
  <c r="V30" i="2"/>
  <c r="T30" i="2"/>
  <c r="S30" i="2"/>
  <c r="Q30" i="2"/>
  <c r="P30" i="2"/>
  <c r="N30" i="2"/>
  <c r="M30" i="2"/>
  <c r="K30" i="2"/>
  <c r="J30" i="2"/>
  <c r="H30" i="2"/>
  <c r="G30" i="2"/>
  <c r="E30" i="2"/>
  <c r="D30" i="2"/>
  <c r="AF29" i="2"/>
  <c r="AE29" i="2"/>
  <c r="AC29" i="2"/>
  <c r="AB29" i="2"/>
  <c r="Z29" i="2"/>
  <c r="Y29" i="2"/>
  <c r="W29" i="2"/>
  <c r="V29" i="2"/>
  <c r="T29" i="2"/>
  <c r="S29" i="2"/>
  <c r="Q29" i="2"/>
  <c r="P29" i="2"/>
  <c r="N29" i="2"/>
  <c r="M29" i="2"/>
  <c r="K29" i="2"/>
  <c r="J29" i="2"/>
  <c r="H29" i="2"/>
  <c r="G29" i="2"/>
  <c r="E29" i="2"/>
  <c r="D29" i="2"/>
  <c r="AF28" i="2"/>
  <c r="AE28" i="2"/>
  <c r="AC28" i="2"/>
  <c r="AB28" i="2"/>
  <c r="Z28" i="2"/>
  <c r="Y28" i="2"/>
  <c r="W28" i="2"/>
  <c r="V28" i="2"/>
  <c r="T28" i="2"/>
  <c r="S28" i="2"/>
  <c r="Q28" i="2"/>
  <c r="P28" i="2"/>
  <c r="N28" i="2"/>
  <c r="M28" i="2"/>
  <c r="K28" i="2"/>
  <c r="J28" i="2"/>
  <c r="H28" i="2"/>
  <c r="G28" i="2"/>
  <c r="E28" i="2"/>
  <c r="D28" i="2"/>
  <c r="AF27" i="2"/>
  <c r="AF83" i="2" s="1"/>
  <c r="AE27" i="2"/>
  <c r="AC27" i="2"/>
  <c r="AC83" i="2" s="1"/>
  <c r="AB27" i="2"/>
  <c r="Z27" i="2"/>
  <c r="Z83" i="2" s="1"/>
  <c r="Y27" i="2"/>
  <c r="W27" i="2"/>
  <c r="W83" i="2" s="1"/>
  <c r="V27" i="2"/>
  <c r="T27" i="2"/>
  <c r="T83" i="2" s="1"/>
  <c r="S27" i="2"/>
  <c r="Q27" i="2"/>
  <c r="Q83" i="2" s="1"/>
  <c r="P27" i="2"/>
  <c r="N27" i="2"/>
  <c r="M27" i="2"/>
  <c r="K27" i="2"/>
  <c r="K83" i="2" s="1"/>
  <c r="J27" i="2"/>
  <c r="H27" i="2"/>
  <c r="G27" i="2"/>
  <c r="E27" i="2"/>
  <c r="D27" i="2"/>
  <c r="AF26" i="2"/>
  <c r="AE26" i="2"/>
  <c r="AC26" i="2"/>
  <c r="AB26" i="2"/>
  <c r="Z26" i="2"/>
  <c r="Y26" i="2"/>
  <c r="W26" i="2"/>
  <c r="W71" i="2" s="1"/>
  <c r="V26" i="2"/>
  <c r="T26" i="2"/>
  <c r="S26" i="2"/>
  <c r="Q26" i="2"/>
  <c r="P26" i="2"/>
  <c r="N26" i="2"/>
  <c r="M26" i="2"/>
  <c r="K26" i="2"/>
  <c r="J26" i="2"/>
  <c r="H26" i="2"/>
  <c r="G26" i="2"/>
  <c r="E26" i="2"/>
  <c r="E71" i="2" s="1"/>
  <c r="D26" i="2"/>
  <c r="AF25" i="2"/>
  <c r="AE25" i="2"/>
  <c r="AC25" i="2"/>
  <c r="AB25" i="2"/>
  <c r="Z25" i="2"/>
  <c r="Y25" i="2"/>
  <c r="W25" i="2"/>
  <c r="V25" i="2"/>
  <c r="T25" i="2"/>
  <c r="T73" i="2" s="1"/>
  <c r="S25" i="2"/>
  <c r="Q25" i="2"/>
  <c r="Q73" i="2" s="1"/>
  <c r="P25" i="2"/>
  <c r="N25" i="2"/>
  <c r="M25" i="2"/>
  <c r="K25" i="2"/>
  <c r="K73" i="2" s="1"/>
  <c r="J25" i="2"/>
  <c r="H25" i="2"/>
  <c r="G25" i="2"/>
  <c r="E25" i="2"/>
  <c r="E73" i="2" s="1"/>
  <c r="D25" i="2"/>
  <c r="AF24" i="2"/>
  <c r="AE24" i="2"/>
  <c r="AC24" i="2"/>
  <c r="AB24" i="2"/>
  <c r="Z24" i="2"/>
  <c r="Y24" i="2"/>
  <c r="W24" i="2"/>
  <c r="V24" i="2"/>
  <c r="T24" i="2"/>
  <c r="S24" i="2"/>
  <c r="Q24" i="2"/>
  <c r="P24" i="2"/>
  <c r="N24" i="2"/>
  <c r="M24" i="2"/>
  <c r="K24" i="2"/>
  <c r="J24" i="2"/>
  <c r="H24" i="2"/>
  <c r="G24" i="2"/>
  <c r="E24" i="2"/>
  <c r="D24" i="2"/>
  <c r="AF23" i="2"/>
  <c r="AE23" i="2"/>
  <c r="AC23" i="2"/>
  <c r="AB23" i="2"/>
  <c r="Z23" i="2"/>
  <c r="Y23" i="2"/>
  <c r="W23" i="2"/>
  <c r="V23" i="2"/>
  <c r="T23" i="2"/>
  <c r="S23" i="2"/>
  <c r="Q23" i="2"/>
  <c r="P23" i="2"/>
  <c r="N23" i="2"/>
  <c r="M23" i="2"/>
  <c r="K23" i="2"/>
  <c r="J23" i="2"/>
  <c r="H23" i="2"/>
  <c r="G23" i="2"/>
  <c r="E23" i="2"/>
  <c r="D23" i="2"/>
  <c r="AF22" i="2"/>
  <c r="AF82" i="2" s="1"/>
  <c r="AE22" i="2"/>
  <c r="AC22" i="2"/>
  <c r="AC82" i="2" s="1"/>
  <c r="AB22" i="2"/>
  <c r="Z22" i="2"/>
  <c r="Z82" i="2" s="1"/>
  <c r="Y22" i="2"/>
  <c r="W22" i="2"/>
  <c r="W82" i="2" s="1"/>
  <c r="V22" i="2"/>
  <c r="T22" i="2"/>
  <c r="T82" i="2" s="1"/>
  <c r="S22" i="2"/>
  <c r="Q22" i="2"/>
  <c r="Q82" i="2" s="1"/>
  <c r="P22" i="2"/>
  <c r="N22" i="2"/>
  <c r="M22" i="2"/>
  <c r="K22" i="2"/>
  <c r="K82" i="2" s="1"/>
  <c r="J22" i="2"/>
  <c r="H22" i="2"/>
  <c r="G22" i="2"/>
  <c r="E22" i="2"/>
  <c r="D22" i="2"/>
  <c r="AF21" i="2"/>
  <c r="AE21" i="2"/>
  <c r="AC21" i="2"/>
  <c r="AC62" i="2" s="1"/>
  <c r="AB21" i="2"/>
  <c r="Z21" i="2"/>
  <c r="Y21" i="2"/>
  <c r="W21" i="2"/>
  <c r="V21" i="2"/>
  <c r="T21" i="2"/>
  <c r="S21" i="2"/>
  <c r="Q21" i="2"/>
  <c r="P21" i="2"/>
  <c r="N21" i="2"/>
  <c r="M21" i="2"/>
  <c r="K21" i="2"/>
  <c r="K62" i="2" s="1"/>
  <c r="J21" i="2"/>
  <c r="H21" i="2"/>
  <c r="G21" i="2"/>
  <c r="E21" i="2"/>
  <c r="E62" i="2" s="1"/>
  <c r="D21" i="2"/>
  <c r="AF20" i="2"/>
  <c r="AF61" i="2" s="1"/>
  <c r="AE20" i="2"/>
  <c r="AC20" i="2"/>
  <c r="AC61" i="2" s="1"/>
  <c r="AB20" i="2"/>
  <c r="Z20" i="2"/>
  <c r="Z61" i="2" s="1"/>
  <c r="Y20" i="2"/>
  <c r="W20" i="2"/>
  <c r="W61" i="2" s="1"/>
  <c r="V20" i="2"/>
  <c r="T20" i="2"/>
  <c r="T61" i="2" s="1"/>
  <c r="S20" i="2"/>
  <c r="Q20" i="2"/>
  <c r="Q61" i="2" s="1"/>
  <c r="P20" i="2"/>
  <c r="N20" i="2"/>
  <c r="M20" i="2"/>
  <c r="K20" i="2"/>
  <c r="K61" i="2" s="1"/>
  <c r="J20" i="2"/>
  <c r="H20" i="2"/>
  <c r="G20" i="2"/>
  <c r="E20" i="2"/>
  <c r="E61" i="2" s="1"/>
  <c r="D20" i="2"/>
  <c r="AF19" i="2"/>
  <c r="AF63" i="2" s="1"/>
  <c r="AE19" i="2"/>
  <c r="AC19" i="2"/>
  <c r="AC63" i="2" s="1"/>
  <c r="AB19" i="2"/>
  <c r="Z19" i="2"/>
  <c r="Z63" i="2" s="1"/>
  <c r="Y19" i="2"/>
  <c r="W19" i="2"/>
  <c r="W63" i="2" s="1"/>
  <c r="V19" i="2"/>
  <c r="T19" i="2"/>
  <c r="S19" i="2"/>
  <c r="Q19" i="2"/>
  <c r="P19" i="2"/>
  <c r="N19" i="2"/>
  <c r="M19" i="2"/>
  <c r="K19" i="2"/>
  <c r="K63" i="2" s="1"/>
  <c r="J19" i="2"/>
  <c r="H19" i="2"/>
  <c r="G19" i="2"/>
  <c r="E19" i="2"/>
  <c r="E63" i="2" s="1"/>
  <c r="D19" i="2"/>
  <c r="AF18" i="2"/>
  <c r="AE18" i="2"/>
  <c r="AC18" i="2"/>
  <c r="AB18" i="2"/>
  <c r="Z18" i="2"/>
  <c r="Y18" i="2"/>
  <c r="W18" i="2"/>
  <c r="V18" i="2"/>
  <c r="T18" i="2"/>
  <c r="S18" i="2"/>
  <c r="Q18" i="2"/>
  <c r="P18" i="2"/>
  <c r="N18" i="2"/>
  <c r="M18" i="2"/>
  <c r="K18" i="2"/>
  <c r="J18" i="2"/>
  <c r="H18" i="2"/>
  <c r="G18" i="2"/>
  <c r="E18" i="2"/>
  <c r="D18" i="2"/>
  <c r="AF17" i="2"/>
  <c r="AF77" i="2" s="1"/>
  <c r="AE17" i="2"/>
  <c r="AC17" i="2"/>
  <c r="AC77" i="2" s="1"/>
  <c r="AB17" i="2"/>
  <c r="Z17" i="2"/>
  <c r="Z77" i="2" s="1"/>
  <c r="Y17" i="2"/>
  <c r="W17" i="2"/>
  <c r="W77" i="2" s="1"/>
  <c r="V17" i="2"/>
  <c r="T17" i="2"/>
  <c r="T77" i="2" s="1"/>
  <c r="S17" i="2"/>
  <c r="Q17" i="2"/>
  <c r="Q77" i="2" s="1"/>
  <c r="P17" i="2"/>
  <c r="N17" i="2"/>
  <c r="M17" i="2"/>
  <c r="K17" i="2"/>
  <c r="K77" i="2" s="1"/>
  <c r="J17" i="2"/>
  <c r="H17" i="2"/>
  <c r="G17" i="2"/>
  <c r="E17" i="2"/>
  <c r="D17" i="2"/>
  <c r="AF16" i="2"/>
  <c r="AF80" i="2" s="1"/>
  <c r="AE16" i="2"/>
  <c r="AC16" i="2"/>
  <c r="AC80" i="2" s="1"/>
  <c r="AB16" i="2"/>
  <c r="Z16" i="2"/>
  <c r="Z80" i="2" s="1"/>
  <c r="Y16" i="2"/>
  <c r="W16" i="2"/>
  <c r="W80" i="2" s="1"/>
  <c r="V16" i="2"/>
  <c r="T16" i="2"/>
  <c r="T80" i="2" s="1"/>
  <c r="S16" i="2"/>
  <c r="Q16" i="2"/>
  <c r="Q80" i="2" s="1"/>
  <c r="P16" i="2"/>
  <c r="N16" i="2"/>
  <c r="M16" i="2"/>
  <c r="K16" i="2"/>
  <c r="K80" i="2" s="1"/>
  <c r="J16" i="2"/>
  <c r="H16" i="2"/>
  <c r="G16" i="2"/>
  <c r="E16" i="2"/>
  <c r="D16" i="2"/>
  <c r="AF15" i="2"/>
  <c r="AE15" i="2"/>
  <c r="AC15" i="2"/>
  <c r="AB15" i="2"/>
  <c r="Z15" i="2"/>
  <c r="Z81" i="2" s="1"/>
  <c r="Y15" i="2"/>
  <c r="W15" i="2"/>
  <c r="W81" i="2" s="1"/>
  <c r="V15" i="2"/>
  <c r="T15" i="2"/>
  <c r="T81" i="2" s="1"/>
  <c r="S15" i="2"/>
  <c r="Q15" i="2"/>
  <c r="Q81" i="2" s="1"/>
  <c r="P15" i="2"/>
  <c r="N15" i="2"/>
  <c r="M15" i="2"/>
  <c r="K15" i="2"/>
  <c r="K81" i="2" s="1"/>
  <c r="J15" i="2"/>
  <c r="H15" i="2"/>
  <c r="G15" i="2"/>
  <c r="E15" i="2"/>
  <c r="E81" i="2" s="1"/>
  <c r="D15" i="2"/>
  <c r="AF14" i="2"/>
  <c r="AF72" i="2" s="1"/>
  <c r="AE14" i="2"/>
  <c r="AC14" i="2"/>
  <c r="AC72" i="2" s="1"/>
  <c r="AB14" i="2"/>
  <c r="Z14" i="2"/>
  <c r="Z72" i="2" s="1"/>
  <c r="Y14" i="2"/>
  <c r="W14" i="2"/>
  <c r="W72" i="2" s="1"/>
  <c r="V14" i="2"/>
  <c r="T14" i="2"/>
  <c r="T72" i="2" s="1"/>
  <c r="S14" i="2"/>
  <c r="Q14" i="2"/>
  <c r="Q72" i="2" s="1"/>
  <c r="P14" i="2"/>
  <c r="N14" i="2"/>
  <c r="M14" i="2"/>
  <c r="K14" i="2"/>
  <c r="K72" i="2" s="1"/>
  <c r="J14" i="2"/>
  <c r="H14" i="2"/>
  <c r="G14" i="2"/>
  <c r="E14" i="2"/>
  <c r="E72" i="2" s="1"/>
  <c r="D14" i="2"/>
  <c r="AF13" i="2"/>
  <c r="AF70" i="2" s="1"/>
  <c r="AE13" i="2"/>
  <c r="AC13" i="2"/>
  <c r="AC70" i="2" s="1"/>
  <c r="AB13" i="2"/>
  <c r="Z13" i="2"/>
  <c r="Z70" i="2" s="1"/>
  <c r="Y13" i="2"/>
  <c r="W13" i="2"/>
  <c r="W70" i="2" s="1"/>
  <c r="V13" i="2"/>
  <c r="T13" i="2"/>
  <c r="T70" i="2" s="1"/>
  <c r="S13" i="2"/>
  <c r="Q13" i="2"/>
  <c r="Q70" i="2" s="1"/>
  <c r="P13" i="2"/>
  <c r="N13" i="2"/>
  <c r="M13" i="2"/>
  <c r="K13" i="2"/>
  <c r="K70" i="2" s="1"/>
  <c r="J13" i="2"/>
  <c r="H13" i="2"/>
  <c r="G13" i="2"/>
  <c r="E13" i="2"/>
  <c r="E70" i="2" s="1"/>
  <c r="D13" i="2"/>
  <c r="AF12" i="2"/>
  <c r="AE12" i="2"/>
  <c r="AC12" i="2"/>
  <c r="AB12" i="2"/>
  <c r="Z12" i="2"/>
  <c r="Y12" i="2"/>
  <c r="W12" i="2"/>
  <c r="V12" i="2"/>
  <c r="T12" i="2"/>
  <c r="S12" i="2"/>
  <c r="Q12" i="2"/>
  <c r="P12" i="2"/>
  <c r="N12" i="2"/>
  <c r="M12" i="2"/>
  <c r="K12" i="2"/>
  <c r="J12" i="2"/>
  <c r="H12" i="2"/>
  <c r="G12" i="2"/>
  <c r="E12" i="2"/>
  <c r="D12" i="2"/>
  <c r="AF11" i="2"/>
  <c r="AE11" i="2"/>
  <c r="AC11" i="2"/>
  <c r="AC64" i="2" s="1"/>
  <c r="AB11" i="2"/>
  <c r="Z11" i="2"/>
  <c r="Z64" i="2" s="1"/>
  <c r="Y11" i="2"/>
  <c r="W11" i="2"/>
  <c r="V11" i="2"/>
  <c r="T11" i="2"/>
  <c r="S11" i="2"/>
  <c r="Q11" i="2"/>
  <c r="P11" i="2"/>
  <c r="N11" i="2"/>
  <c r="M11" i="2"/>
  <c r="K11" i="2"/>
  <c r="J11" i="2"/>
  <c r="H11" i="2"/>
  <c r="G11" i="2"/>
  <c r="E11" i="2"/>
  <c r="D11" i="2"/>
  <c r="AF10" i="2"/>
  <c r="AF75" i="2" s="1"/>
  <c r="AE10" i="2"/>
  <c r="AC10" i="2"/>
  <c r="AC75" i="2" s="1"/>
  <c r="AB10" i="2"/>
  <c r="Z10" i="2"/>
  <c r="Z75" i="2" s="1"/>
  <c r="Y10" i="2"/>
  <c r="W10" i="2"/>
  <c r="W75" i="2" s="1"/>
  <c r="V10" i="2"/>
  <c r="T10" i="2"/>
  <c r="T75" i="2" s="1"/>
  <c r="S10" i="2"/>
  <c r="Q10" i="2"/>
  <c r="Q75" i="2" s="1"/>
  <c r="P10" i="2"/>
  <c r="N10" i="2"/>
  <c r="M10" i="2"/>
  <c r="K10" i="2"/>
  <c r="K75" i="2" s="1"/>
  <c r="J10" i="2"/>
  <c r="H10" i="2"/>
  <c r="G10" i="2"/>
  <c r="E10" i="2"/>
  <c r="E75" i="2" s="1"/>
  <c r="D10" i="2"/>
  <c r="AF9" i="2"/>
  <c r="AF74" i="2" s="1"/>
  <c r="AE9" i="2"/>
  <c r="AC9" i="2"/>
  <c r="AC74" i="2" s="1"/>
  <c r="AB9" i="2"/>
  <c r="Z9" i="2"/>
  <c r="Z74" i="2" s="1"/>
  <c r="Y9" i="2"/>
  <c r="W9" i="2"/>
  <c r="W74" i="2" s="1"/>
  <c r="V9" i="2"/>
  <c r="T9" i="2"/>
  <c r="T74" i="2" s="1"/>
  <c r="S9" i="2"/>
  <c r="Q9" i="2"/>
  <c r="Q74" i="2" s="1"/>
  <c r="P9" i="2"/>
  <c r="N9" i="2"/>
  <c r="M9" i="2"/>
  <c r="K9" i="2"/>
  <c r="K74" i="2" s="1"/>
  <c r="J9" i="2"/>
  <c r="H9" i="2"/>
  <c r="G9" i="2"/>
  <c r="E9" i="2"/>
  <c r="E74" i="2" s="1"/>
  <c r="D9" i="2"/>
  <c r="AF8" i="2"/>
  <c r="AF68" i="2" s="1"/>
  <c r="AE8" i="2"/>
  <c r="AC8" i="2"/>
  <c r="AB8" i="2"/>
  <c r="Z8" i="2"/>
  <c r="Z68" i="2" s="1"/>
  <c r="Y8" i="2"/>
  <c r="W8" i="2"/>
  <c r="V8" i="2"/>
  <c r="T8" i="2"/>
  <c r="S8" i="2"/>
  <c r="Q8" i="2"/>
  <c r="P8" i="2"/>
  <c r="N8" i="2"/>
  <c r="M8" i="2"/>
  <c r="K8" i="2"/>
  <c r="K68" i="2" s="1"/>
  <c r="J8" i="2"/>
  <c r="H8" i="2"/>
  <c r="G8" i="2"/>
  <c r="E8" i="2"/>
  <c r="E68" i="2" s="1"/>
  <c r="D8" i="2"/>
  <c r="AF7" i="2"/>
  <c r="AF60" i="2" s="1"/>
  <c r="AE7" i="2"/>
  <c r="AC7" i="2"/>
  <c r="AC60" i="2" s="1"/>
  <c r="AB7" i="2"/>
  <c r="Z7" i="2"/>
  <c r="Y7" i="2"/>
  <c r="W7" i="2"/>
  <c r="V7" i="2"/>
  <c r="T7" i="2"/>
  <c r="S7" i="2"/>
  <c r="Q7" i="2"/>
  <c r="Q60" i="2" s="1"/>
  <c r="P7" i="2"/>
  <c r="N7" i="2"/>
  <c r="M7" i="2"/>
  <c r="K7" i="2"/>
  <c r="J7" i="2"/>
  <c r="H7" i="2"/>
  <c r="G7" i="2"/>
  <c r="E7" i="2"/>
  <c r="E60" i="2" s="1"/>
  <c r="D7" i="2"/>
  <c r="AF6" i="2"/>
  <c r="AF78" i="2" s="1"/>
  <c r="AE6" i="2"/>
  <c r="AC6" i="2"/>
  <c r="AC78" i="2" s="1"/>
  <c r="AB6" i="2"/>
  <c r="Z6" i="2"/>
  <c r="Z78" i="2" s="1"/>
  <c r="Y6" i="2"/>
  <c r="W6" i="2"/>
  <c r="V6" i="2"/>
  <c r="T6" i="2"/>
  <c r="S6" i="2"/>
  <c r="Q6" i="2"/>
  <c r="P6" i="2"/>
  <c r="N6" i="2"/>
  <c r="M6" i="2"/>
  <c r="K6" i="2"/>
  <c r="K78" i="2" s="1"/>
  <c r="J6" i="2"/>
  <c r="H6" i="2"/>
  <c r="G6" i="2"/>
  <c r="E6" i="2"/>
  <c r="E78" i="2" s="1"/>
  <c r="D6" i="2"/>
  <c r="AF5" i="2"/>
  <c r="AE5" i="2"/>
  <c r="AC5" i="2"/>
  <c r="AC41" i="2" s="1"/>
  <c r="AB5" i="2"/>
  <c r="Z5" i="2"/>
  <c r="Z76" i="2" s="1"/>
  <c r="Y5" i="2"/>
  <c r="W5" i="2"/>
  <c r="W76" i="2" s="1"/>
  <c r="V5" i="2"/>
  <c r="T5" i="2"/>
  <c r="T76" i="2" s="1"/>
  <c r="S5" i="2"/>
  <c r="Q5" i="2"/>
  <c r="Q76" i="2" s="1"/>
  <c r="P5" i="2"/>
  <c r="N5" i="2"/>
  <c r="M5" i="2"/>
  <c r="K5" i="2"/>
  <c r="J5" i="2"/>
  <c r="H5" i="2"/>
  <c r="G5" i="2"/>
  <c r="E5" i="2"/>
  <c r="E76" i="2" s="1"/>
  <c r="D5" i="2"/>
  <c r="AF4" i="2"/>
  <c r="AF59" i="2" s="1"/>
  <c r="AE4" i="2"/>
  <c r="AC4" i="2"/>
  <c r="AC59" i="2" s="1"/>
  <c r="AB4" i="2"/>
  <c r="Z4" i="2"/>
  <c r="Z59" i="2" s="1"/>
  <c r="Y4" i="2"/>
  <c r="W4" i="2"/>
  <c r="W41" i="2" s="1"/>
  <c r="V4" i="2"/>
  <c r="V41" i="2" s="1"/>
  <c r="T4" i="2"/>
  <c r="T59" i="2" s="1"/>
  <c r="S4" i="2"/>
  <c r="Q4" i="2"/>
  <c r="P4" i="2"/>
  <c r="N4" i="2"/>
  <c r="K4" i="2"/>
  <c r="K59" i="2" s="1"/>
  <c r="J4" i="2"/>
  <c r="H4" i="2"/>
  <c r="G4" i="2"/>
  <c r="E4" i="2"/>
  <c r="E59" i="2" s="1"/>
  <c r="D4" i="2"/>
  <c r="AE41" i="2" l="1"/>
  <c r="K64" i="2"/>
  <c r="G41" i="2"/>
  <c r="W87" i="2"/>
  <c r="AB41" i="2"/>
  <c r="AC85" i="2"/>
  <c r="Q64" i="2"/>
  <c r="T64" i="2"/>
  <c r="AF41" i="2"/>
  <c r="AF85" i="2"/>
  <c r="E64" i="2"/>
  <c r="J41" i="2"/>
  <c r="D41" i="2"/>
  <c r="W64" i="2"/>
  <c r="AC87" i="2"/>
  <c r="W85" i="2"/>
  <c r="P41" i="2"/>
  <c r="Q41" i="2"/>
  <c r="Q85" i="2" s="1"/>
  <c r="S41" i="2"/>
  <c r="Y41" i="2"/>
  <c r="AF64" i="2"/>
  <c r="AF87" i="2"/>
  <c r="H95" i="2"/>
  <c r="H70" i="2"/>
  <c r="H78" i="2"/>
  <c r="H74" i="2"/>
  <c r="H62" i="2"/>
  <c r="N82" i="2"/>
  <c r="T85" i="2"/>
  <c r="H83" i="2"/>
  <c r="H64" i="2"/>
  <c r="H59" i="2"/>
  <c r="H75" i="2"/>
  <c r="H81" i="2"/>
  <c r="H63" i="2"/>
  <c r="H94" i="2"/>
  <c r="N77" i="2"/>
  <c r="H68" i="2"/>
  <c r="N74" i="2"/>
  <c r="H72" i="2"/>
  <c r="H61" i="2"/>
  <c r="H71" i="2"/>
  <c r="K94" i="2"/>
  <c r="K60" i="2"/>
  <c r="K96" i="2"/>
  <c r="K76" i="2"/>
  <c r="K71" i="2"/>
  <c r="Z96" i="2"/>
  <c r="Z71" i="2"/>
  <c r="Z62" i="2"/>
  <c r="Z94" i="2"/>
  <c r="Z60" i="2"/>
  <c r="Z73" i="2"/>
  <c r="Z95" i="2"/>
  <c r="Q63" i="2"/>
  <c r="Q94" i="2"/>
  <c r="Q97" i="2" s="1"/>
  <c r="Q62" i="2"/>
  <c r="Q68" i="2"/>
  <c r="Q71" i="2"/>
  <c r="Q78" i="2"/>
  <c r="T68" i="2"/>
  <c r="T60" i="2"/>
  <c r="T71" i="2"/>
  <c r="T63" i="2"/>
  <c r="T78" i="2"/>
  <c r="T62" i="2"/>
  <c r="W94" i="2"/>
  <c r="W96" i="2"/>
  <c r="W60" i="2"/>
  <c r="W73" i="2"/>
  <c r="W68" i="2"/>
  <c r="W78" i="2"/>
  <c r="W62" i="2"/>
  <c r="W59" i="2"/>
  <c r="T41" i="2"/>
  <c r="T87" i="2" s="1"/>
  <c r="Z41" i="2"/>
  <c r="Z85" i="2" s="1"/>
  <c r="Q96" i="2"/>
  <c r="T96" i="2"/>
  <c r="T97" i="2" s="1"/>
  <c r="AF76" i="2"/>
  <c r="N54" i="2"/>
  <c r="N95" i="2" s="1"/>
  <c r="AH54" i="2"/>
  <c r="AJ54" i="2" s="1"/>
  <c r="AC76" i="2"/>
  <c r="E77" i="2"/>
  <c r="H41" i="2"/>
  <c r="H87" i="2" s="1"/>
  <c r="H54" i="2"/>
  <c r="H73" i="2" s="1"/>
  <c r="E41" i="2"/>
  <c r="E87" i="2" s="1"/>
  <c r="K41" i="2"/>
  <c r="K85" i="2" s="1"/>
  <c r="N41" i="2"/>
  <c r="Q59" i="2"/>
  <c r="Q87" i="2" l="1"/>
  <c r="AC89" i="2"/>
  <c r="AF89" i="2"/>
  <c r="E85" i="2"/>
  <c r="T89" i="2"/>
  <c r="W89" i="2"/>
  <c r="Z87" i="2"/>
  <c r="E83" i="2"/>
  <c r="E89" i="2"/>
  <c r="Z89" i="2"/>
  <c r="H85" i="2"/>
  <c r="N68" i="2"/>
  <c r="N87" i="2"/>
  <c r="Q89" i="2"/>
  <c r="N63" i="2"/>
  <c r="H97" i="2"/>
  <c r="N70" i="2"/>
  <c r="Z97" i="2"/>
  <c r="N96" i="2"/>
  <c r="N64" i="2"/>
  <c r="W97" i="2"/>
  <c r="K97" i="2"/>
  <c r="N83" i="2"/>
  <c r="N61" i="2"/>
  <c r="N73" i="2"/>
  <c r="N72" i="2"/>
  <c r="N85" i="2"/>
  <c r="N62" i="2"/>
  <c r="K87" i="2"/>
  <c r="K89" i="2" s="1"/>
  <c r="N80" i="2"/>
  <c r="N75" i="2"/>
  <c r="N78" i="2"/>
  <c r="N59" i="2"/>
  <c r="N81" i="2"/>
  <c r="H80" i="2"/>
  <c r="H77" i="2"/>
  <c r="H82" i="2"/>
  <c r="H96" i="2"/>
  <c r="H76" i="2"/>
  <c r="H60" i="2"/>
  <c r="H89" i="2" s="1"/>
  <c r="N71" i="2"/>
  <c r="N76" i="2"/>
  <c r="N94" i="2"/>
  <c r="N97" i="2" s="1"/>
  <c r="N60" i="2"/>
  <c r="N89" i="2" l="1"/>
</calcChain>
</file>

<file path=xl/sharedStrings.xml><?xml version="1.0" encoding="utf-8"?>
<sst xmlns="http://schemas.openxmlformats.org/spreadsheetml/2006/main" count="1836" uniqueCount="221">
  <si>
    <t>OBJECTID</t>
  </si>
  <si>
    <t>UCode</t>
  </si>
  <si>
    <t>Ditch</t>
  </si>
  <si>
    <t>Crop_Code</t>
  </si>
  <si>
    <t>Crop_Type</t>
  </si>
  <si>
    <t>Computed_Acreage</t>
  </si>
  <si>
    <t>Irr_Code</t>
  </si>
  <si>
    <t>Irr_Method</t>
  </si>
  <si>
    <t>Remarks</t>
  </si>
  <si>
    <t>Season</t>
  </si>
  <si>
    <t>Shape_Length</t>
  </si>
  <si>
    <t>Shape_Area</t>
  </si>
  <si>
    <t>Luna</t>
  </si>
  <si>
    <t>LU</t>
  </si>
  <si>
    <t>OUT</t>
  </si>
  <si>
    <t>Out Areas</t>
  </si>
  <si>
    <t>0</t>
  </si>
  <si>
    <t>&lt;Null&gt;</t>
  </si>
  <si>
    <t>No Right, Dry Farm</t>
  </si>
  <si>
    <t>No Right</t>
  </si>
  <si>
    <t xml:space="preserve"> </t>
  </si>
  <si>
    <t>PN</t>
  </si>
  <si>
    <t>Pasture (Native)</t>
  </si>
  <si>
    <t>1</t>
  </si>
  <si>
    <t>Flood irrigated</t>
  </si>
  <si>
    <t>OSE File No. 01098, William S Laney Ditch</t>
  </si>
  <si>
    <t>STD</t>
  </si>
  <si>
    <t>Stock Rank, Dry</t>
  </si>
  <si>
    <t xml:space="preserve">OSE File No. LWD-SF-0310, Stock Tank, </t>
  </si>
  <si>
    <t>Out No Right</t>
  </si>
  <si>
    <t>FA</t>
  </si>
  <si>
    <t>Fallow, idle or otherwise not irrigated</t>
  </si>
  <si>
    <t>4</t>
  </si>
  <si>
    <t>Not irrigated</t>
  </si>
  <si>
    <t>RD</t>
  </si>
  <si>
    <t>Reservoir Dry</t>
  </si>
  <si>
    <t>OSE File No. 01098, William S Laney Ditch, Reservoir, Dry</t>
  </si>
  <si>
    <t xml:space="preserve">No Right </t>
  </si>
  <si>
    <t>No Right, Reservoir, Dry</t>
  </si>
  <si>
    <t>OSE File No. 01058, William S. Laney Ditch</t>
  </si>
  <si>
    <t>A. Laney Ditch</t>
  </si>
  <si>
    <t xml:space="preserve">OSE File No. 01839, A. Laney Ditch </t>
  </si>
  <si>
    <t>OSE File No. 01839, A. Laney Ditch</t>
  </si>
  <si>
    <t>2</t>
  </si>
  <si>
    <t xml:space="preserve">OSE File No. 01838, Spring </t>
  </si>
  <si>
    <t>OSE File No. 0459 &amp; 0459-a, Adair Ditch</t>
  </si>
  <si>
    <t>RW</t>
  </si>
  <si>
    <t>Reservoir Retaining water (note volume in remarks)</t>
  </si>
  <si>
    <t xml:space="preserve">OSE File No. LWD-SF-098, Reservoir 2% Full </t>
  </si>
  <si>
    <t>OSE File No. 02262, Minnie Reynolds Ditch, Move form this location</t>
  </si>
  <si>
    <t>L. Laney Ditch</t>
  </si>
  <si>
    <t>Reservoir 0.3 5% full</t>
  </si>
  <si>
    <t>OSE File No. 01833 and 01833 A, Leslie Laney Ditch</t>
  </si>
  <si>
    <t>OSE File No. 02262, Minnie Reynolds Ditch, Reservoir, Dry, Rights moved by permit</t>
  </si>
  <si>
    <t>Stock Tank</t>
  </si>
  <si>
    <t>Dry Farm</t>
  </si>
  <si>
    <t>North Luna Ditch</t>
  </si>
  <si>
    <t>OSE File No. 01502, North Side Luna Ditch</t>
  </si>
  <si>
    <t>Waterd from domestic well</t>
  </si>
  <si>
    <t>OSE File No. , Frank Laney Ditch</t>
  </si>
  <si>
    <t>TC</t>
  </si>
  <si>
    <t>Turfgrass (Cool Season)</t>
  </si>
  <si>
    <t>Sprinkler irrigated</t>
  </si>
  <si>
    <t>No Right?</t>
  </si>
  <si>
    <t>Stock Dry</t>
  </si>
  <si>
    <t xml:space="preserve">OSE File No. 01502, North Side Luna Ditch </t>
  </si>
  <si>
    <t>Stock Tank NO Right Dry</t>
  </si>
  <si>
    <t>Out Area</t>
  </si>
  <si>
    <t>No Right, Subfile 441, Sewell Ditch</t>
  </si>
  <si>
    <t>OSE File No. 01502, Noeth Side Luna Ditch</t>
  </si>
  <si>
    <t>OSE File No. 01503, J.H. Beaver Ditch, Reservoir, 10% Full</t>
  </si>
  <si>
    <t>OSE File No. GSF-</t>
  </si>
  <si>
    <t>3</t>
  </si>
  <si>
    <t>OSE File No. 01503, J.H. Beaver Ditch, Reservoir,  35% Full</t>
  </si>
  <si>
    <t>OSE File No. 01503, J.H. Beaver Ditch</t>
  </si>
  <si>
    <t xml:space="preserve">Watered form domestic well </t>
  </si>
  <si>
    <t>OSE File No. 01503, J.H. Beaver Ditch, 1/2 Duty</t>
  </si>
  <si>
    <t xml:space="preserve"> Watered form domestic well</t>
  </si>
  <si>
    <t>OSE File No. 01502, North Side Luna Ditch, Reservoir, Dry</t>
  </si>
  <si>
    <t>OSE File No. 01502-7, Reservoir, Dry</t>
  </si>
  <si>
    <t xml:space="preserve">OSE File No. 01502, South Side Luna Ditch </t>
  </si>
  <si>
    <t>OSE File No. 01502, North Side Luna Ditch, Reservoir</t>
  </si>
  <si>
    <t>OSE File No. 01502, North Side Luna Ditch, Reservoir, "Full"</t>
  </si>
  <si>
    <t>OSE File No. None, Phillip Swapp Ditch</t>
  </si>
  <si>
    <t>Stock Tank No Right Dry</t>
  </si>
  <si>
    <t xml:space="preserve">OSE File No. 01502 </t>
  </si>
  <si>
    <t>OSE File No. 01502-26, South Side Luna Ditch, Moved into GSF-1599</t>
  </si>
  <si>
    <t>No Right, North Side Luna Ditch</t>
  </si>
  <si>
    <t>No Right, South Side Luna Ditch</t>
  </si>
  <si>
    <t>OSE File No. 01502, South Side Luna Ditch</t>
  </si>
  <si>
    <t xml:space="preserve">No Right, Reservoir, Dry "Breached, tank no longer in place" </t>
  </si>
  <si>
    <t xml:space="preserve">No Right, Subfile: 441, Sewell Ditch </t>
  </si>
  <si>
    <t>STOCK TANK CAP. 29.9 ACFT, 90% Full</t>
  </si>
  <si>
    <t>OSE File No. GSF-608</t>
  </si>
  <si>
    <t>OSE File No. GSF-2480, 01502-C-B into GSF-2480</t>
  </si>
  <si>
    <t>OSE File No. GSF-3449-1</t>
  </si>
  <si>
    <t>OSE File No. GSF-4350, AREA = 6,956.31 sqft</t>
  </si>
  <si>
    <t>MON</t>
  </si>
  <si>
    <t>Misc. Outdoor Nursery Stock</t>
  </si>
  <si>
    <t>Drip irrigated</t>
  </si>
  <si>
    <t>OSE File No. GSF-4350, AREA = 3,933.69 sqft</t>
  </si>
  <si>
    <t>OSE File No. GSF-1896-1, Grass Area</t>
  </si>
  <si>
    <t>OSE File No. GSF-1896-1, Garden Area</t>
  </si>
  <si>
    <t>OSE File No. 0459 &amp; 0459-A, Adir Ditch</t>
  </si>
  <si>
    <t>OSE File No. 01502-19B, North Side Luna Ditch, 2nd Part Of 1.7 Acres into GSF-2480</t>
  </si>
  <si>
    <t>OSE File No. 01502-19B, North Side Luna Ditch, 1st Part Of 1.7 Acres into GSF-2480</t>
  </si>
  <si>
    <t>OSE File No. 01502-7G, Moved into GSF-2596</t>
  </si>
  <si>
    <t>OSE File No. 01502, Moved into GSF-2233</t>
  </si>
  <si>
    <t>OSE File No. 01502, Moved into GSF-2981</t>
  </si>
  <si>
    <t>OSE File No. 01502, Moved into GSF-1727</t>
  </si>
  <si>
    <t>OSE File No. 01502, Moved into GSF-3597</t>
  </si>
  <si>
    <t>OSE File No. 01502, Moved to 6,T6S,R20W</t>
  </si>
  <si>
    <t>OSE File No. 01502-7A, Moved into GSF-1749</t>
  </si>
  <si>
    <t>OSE File No. 01502-7D, Moved into GSF-2596</t>
  </si>
  <si>
    <t>OSE File No. 01502-7H, Moved into GSF-2233</t>
  </si>
  <si>
    <t>OSE File No. 01502-7I, Moved into GSF-3810</t>
  </si>
  <si>
    <t>OSE File No. 01502-7J, Moved into GSF-3810 &amp; LWD-SF-</t>
  </si>
  <si>
    <t>OSE File No. SP-3377-1A, Moved into GSF-1812-1</t>
  </si>
  <si>
    <t>OSE File No. SP-3377-1B, Moved into SP-5011-1</t>
  </si>
  <si>
    <t>OSE File No. 01502, Moved into 01098 ( PART OF 5.5 ACRES)</t>
  </si>
  <si>
    <t>OSE File No. 01502, Moved into GSF-1664</t>
  </si>
  <si>
    <t>OSE File No. 01502, North Side Luna Ditch, Moved Off</t>
  </si>
  <si>
    <t>OSE File No. 01502-18, Moved into GSF-3247</t>
  </si>
  <si>
    <t>OSE File No. 01502-19A into GSF-2317</t>
  </si>
  <si>
    <t>OSE File No. 01502-36D</t>
  </si>
  <si>
    <t>OSE File No. 02262, Minnie Reynolds Ditch</t>
  </si>
  <si>
    <t>OSE File No. 01502-7E</t>
  </si>
  <si>
    <t>OSE File No. 01502-7BA</t>
  </si>
  <si>
    <t>OSE File No. 01502-7F</t>
  </si>
  <si>
    <t>OSE File No. 01502-7</t>
  </si>
  <si>
    <t>STW</t>
  </si>
  <si>
    <t>Stock Tank Retaining water (note volume in remarks)</t>
  </si>
  <si>
    <t>OSE File No. 01098-5, William S. Laney Ditch "100% FULL"</t>
  </si>
  <si>
    <t>OSE File No. SP-04912, Permitted  0.25 MOVED OFF</t>
  </si>
  <si>
    <t>Rights moved out</t>
  </si>
  <si>
    <t>SD-01833-3 into GSF-4611-1</t>
  </si>
  <si>
    <t>OSE File No. 01502-18, North Side Luna Ditch</t>
  </si>
  <si>
    <t>NO right watering out of bounds</t>
  </si>
  <si>
    <t>MV</t>
  </si>
  <si>
    <t>Misc. Vegetables</t>
  </si>
  <si>
    <t>Apache-Aragon</t>
  </si>
  <si>
    <t>Cliff-Gila</t>
  </si>
  <si>
    <t>Glenwood</t>
  </si>
  <si>
    <t>Redrock</t>
  </si>
  <si>
    <t>Reserve</t>
  </si>
  <si>
    <t>San Simon</t>
  </si>
  <si>
    <t>Upper Gila</t>
  </si>
  <si>
    <t>Virden - AZvCA</t>
  </si>
  <si>
    <t>Virden - GE</t>
  </si>
  <si>
    <t>CropCode</t>
  </si>
  <si>
    <t>Count</t>
  </si>
  <si>
    <t>Acres</t>
  </si>
  <si>
    <t>Ch</t>
  </si>
  <si>
    <t>Co</t>
  </si>
  <si>
    <t>Fc</t>
  </si>
  <si>
    <t>INP</t>
  </si>
  <si>
    <t>PG</t>
  </si>
  <si>
    <t>IPP</t>
  </si>
  <si>
    <t>Fo</t>
  </si>
  <si>
    <t>Ct</t>
  </si>
  <si>
    <t>Pe</t>
  </si>
  <si>
    <t>Pi</t>
  </si>
  <si>
    <t>Gr</t>
  </si>
  <si>
    <t>M</t>
  </si>
  <si>
    <t>Tw</t>
  </si>
  <si>
    <t>Tc</t>
  </si>
  <si>
    <t>DSL</t>
  </si>
  <si>
    <t>Res,D</t>
  </si>
  <si>
    <t>Res,W</t>
  </si>
  <si>
    <t>Stk,D</t>
  </si>
  <si>
    <t>Stk,W</t>
  </si>
  <si>
    <t>Sw</t>
  </si>
  <si>
    <t>S</t>
  </si>
  <si>
    <t>F</t>
  </si>
  <si>
    <t>Dry</t>
  </si>
  <si>
    <t>NI</t>
  </si>
  <si>
    <t>Out</t>
  </si>
  <si>
    <t>Un</t>
  </si>
  <si>
    <t>sum</t>
  </si>
  <si>
    <t>IrrigationCode</t>
  </si>
  <si>
    <t>Total</t>
  </si>
  <si>
    <t>AZvCA</t>
  </si>
  <si>
    <t>IrrigatedAcres</t>
  </si>
  <si>
    <t>CIR Program</t>
  </si>
  <si>
    <t>Percent of</t>
  </si>
  <si>
    <t>CC Input File</t>
  </si>
  <si>
    <t>Irrigated Acres</t>
  </si>
  <si>
    <t>alfalfa</t>
  </si>
  <si>
    <t>corn (grain)</t>
  </si>
  <si>
    <t>misc.vegetable</t>
  </si>
  <si>
    <t>orchard</t>
  </si>
  <si>
    <t>pasture (improved)</t>
  </si>
  <si>
    <t>spring small grains</t>
  </si>
  <si>
    <t>sod (cool season)</t>
  </si>
  <si>
    <t>winter small grains-w,s</t>
  </si>
  <si>
    <t>winter small grains-fall</t>
  </si>
  <si>
    <t>corn (silage)</t>
  </si>
  <si>
    <t>potatoes</t>
  </si>
  <si>
    <t>dry beans</t>
  </si>
  <si>
    <t>melons</t>
  </si>
  <si>
    <t>chile</t>
  </si>
  <si>
    <t>grapes (vineyards)</t>
  </si>
  <si>
    <t>sorghum (grain)</t>
  </si>
  <si>
    <t>sorghum (silage)</t>
  </si>
  <si>
    <t>alfalfa (new)</t>
  </si>
  <si>
    <t>pasture (native)</t>
  </si>
  <si>
    <t>hay (other)</t>
  </si>
  <si>
    <t>misc. nursery stock</t>
  </si>
  <si>
    <t>misc. field crops</t>
  </si>
  <si>
    <t>cotton</t>
  </si>
  <si>
    <t>Christmas trees</t>
  </si>
  <si>
    <t>turfgrass (warm season)</t>
  </si>
  <si>
    <t>misc. berries</t>
  </si>
  <si>
    <t>pecan orchards</t>
  </si>
  <si>
    <t>pre-watered July plant</t>
  </si>
  <si>
    <t>pasture (unimproved)</t>
  </si>
  <si>
    <t>short alfalfa</t>
  </si>
  <si>
    <t>Irrigation Methods</t>
  </si>
  <si>
    <t>flood</t>
  </si>
  <si>
    <t>sprinkle</t>
  </si>
  <si>
    <t>drip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</si>
</sst>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"/>
    <numFmt numFmtId="166" formatCode="0.000000000000"/>
    <numFmt numFmtId="167" formatCode="0.0%"/>
  </numFmts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20">
    <xf numFmtId="0" fontId="0" fillId="0" borderId="0" xfId="0"/>
    <xf numFmtId="0" fontId="1" fillId="2" borderId="1" xfId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4" xfId="0" applyBorder="1" applyAlignment="1">
      <alignment horizontal="right"/>
    </xf>
    <xf numFmtId="0" fontId="0" fillId="0" borderId="4" xfId="0" applyBorder="1"/>
    <xf numFmtId="165" fontId="0" fillId="0" borderId="4" xfId="0" applyNumberFormat="1" applyBorder="1"/>
    <xf numFmtId="0" fontId="0" fillId="3" borderId="0" xfId="0" applyFill="1" applyAlignment="1">
      <alignment horizontal="right"/>
    </xf>
    <xf numFmtId="0" fontId="0" fillId="3" borderId="0" xfId="0" applyFill="1"/>
    <xf numFmtId="1" fontId="0" fillId="0" borderId="4" xfId="0" applyNumberFormat="1" applyBorder="1"/>
    <xf numFmtId="2" fontId="0" fillId="0" borderId="0" xfId="0" applyNumberFormat="1"/>
    <xf numFmtId="167" fontId="0" fillId="0" borderId="0" xfId="0" applyNumberFormat="1"/>
    <xf numFmtId="167" fontId="0" fillId="0" borderId="3" xfId="0" applyNumberFormat="1" applyBorder="1"/>
  </cellXfs>
  <cellStyles count="2">
    <cellStyle name="Normal" xfId="0" builtinId="0"/>
    <cellStyle name="STYLE0" xfId="1" xr:uid="{00000000-0005-0000-0000-000001000000}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mgov-my.sharepoint.com/personal/tao_liu_ose_nm_gov/Documents/Documents/Projects_local/GilaReport/2024%20GSF%20Consumptive%20Use%20Files/Spreadsheet/2024%20Gila%20Crop%20Statistics_FINAL.xlsx" TargetMode="External"/><Relationship Id="rId1" Type="http://schemas.openxmlformats.org/officeDocument/2006/relationships/externalLinkPath" Target="https://nmgov-my.sharepoint.com/personal/tao_liu_ose_nm_gov/Documents/Documents/Projects_local/GilaReport/2024%20GSF%20Consumptive%20Use%20Files/Spreadsheet/2024%20Gila%20Crop%20Statistics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-ditch-irr-crop"/>
      <sheetName val="stats"/>
      <sheetName val="key"/>
    </sheetNames>
    <sheetDataSet>
      <sheetData sheetId="0">
        <row r="2">
          <cell r="E2" t="str">
            <v>Globe Equity Decree</v>
          </cell>
          <cell r="I2" t="str">
            <v>VV</v>
          </cell>
          <cell r="K2" t="str">
            <v>A</v>
          </cell>
          <cell r="M2">
            <v>8.9024415056037896</v>
          </cell>
          <cell r="N2">
            <v>1</v>
          </cell>
        </row>
        <row r="3">
          <cell r="E3" t="str">
            <v>Globe Equity Decree</v>
          </cell>
          <cell r="I3" t="str">
            <v>VV</v>
          </cell>
          <cell r="K3" t="str">
            <v>Co</v>
          </cell>
          <cell r="M3">
            <v>32.615800635641897</v>
          </cell>
          <cell r="N3">
            <v>1</v>
          </cell>
        </row>
        <row r="4">
          <cell r="E4" t="str">
            <v>Globe Equity Decree</v>
          </cell>
          <cell r="I4" t="str">
            <v>VV</v>
          </cell>
          <cell r="K4" t="str">
            <v>H</v>
          </cell>
          <cell r="M4">
            <v>4.5375133921447004</v>
          </cell>
          <cell r="N4">
            <v>1</v>
          </cell>
        </row>
        <row r="5">
          <cell r="E5" t="str">
            <v>Globe Equity Decree</v>
          </cell>
          <cell r="I5" t="str">
            <v>VV</v>
          </cell>
          <cell r="K5" t="str">
            <v>H</v>
          </cell>
          <cell r="M5">
            <v>4.4202210866826599</v>
          </cell>
          <cell r="N5">
            <v>1</v>
          </cell>
        </row>
        <row r="6">
          <cell r="E6" t="str">
            <v>Globe Equity Decree</v>
          </cell>
          <cell r="I6" t="str">
            <v>VV</v>
          </cell>
          <cell r="K6" t="str">
            <v>Co</v>
          </cell>
          <cell r="M6">
            <v>47.6156599851153</v>
          </cell>
          <cell r="N6">
            <v>1</v>
          </cell>
        </row>
        <row r="7">
          <cell r="E7" t="str">
            <v>Globe Equity Decree</v>
          </cell>
          <cell r="I7" t="str">
            <v>VV</v>
          </cell>
          <cell r="K7" t="str">
            <v>A</v>
          </cell>
          <cell r="M7">
            <v>8.5517097556433104</v>
          </cell>
          <cell r="N7">
            <v>1</v>
          </cell>
        </row>
        <row r="8">
          <cell r="E8" t="str">
            <v>Globe Equity Decree</v>
          </cell>
          <cell r="I8" t="str">
            <v>VV</v>
          </cell>
          <cell r="K8" t="str">
            <v>A</v>
          </cell>
          <cell r="M8">
            <v>48.433275930875602</v>
          </cell>
          <cell r="N8">
            <v>1</v>
          </cell>
        </row>
        <row r="9">
          <cell r="E9" t="str">
            <v>Globe Equity Decree</v>
          </cell>
          <cell r="I9" t="str">
            <v>VV</v>
          </cell>
          <cell r="K9" t="str">
            <v>A</v>
          </cell>
          <cell r="M9">
            <v>32.227444855471802</v>
          </cell>
          <cell r="N9">
            <v>1</v>
          </cell>
        </row>
        <row r="10">
          <cell r="E10" t="str">
            <v>Globe Equity Decree</v>
          </cell>
          <cell r="I10" t="str">
            <v>VV</v>
          </cell>
          <cell r="K10" t="str">
            <v>A</v>
          </cell>
          <cell r="M10">
            <v>9.2245431512817309</v>
          </cell>
          <cell r="N10">
            <v>1</v>
          </cell>
        </row>
        <row r="11">
          <cell r="E11" t="str">
            <v>Globe Equity Decree</v>
          </cell>
          <cell r="I11" t="str">
            <v>VV</v>
          </cell>
          <cell r="K11" t="str">
            <v>Co</v>
          </cell>
          <cell r="M11">
            <v>12.5842255416234</v>
          </cell>
          <cell r="N11">
            <v>1</v>
          </cell>
        </row>
        <row r="12">
          <cell r="E12" t="str">
            <v>Globe Equity Decree</v>
          </cell>
          <cell r="I12" t="str">
            <v>VV</v>
          </cell>
          <cell r="K12" t="str">
            <v>F</v>
          </cell>
          <cell r="M12">
            <v>2.0792022854548802</v>
          </cell>
          <cell r="N12">
            <v>4</v>
          </cell>
        </row>
        <row r="13">
          <cell r="E13" t="str">
            <v>Globe Equity Decree</v>
          </cell>
          <cell r="I13" t="str">
            <v>VV</v>
          </cell>
          <cell r="K13" t="str">
            <v>H</v>
          </cell>
          <cell r="M13">
            <v>27.0332717313809</v>
          </cell>
          <cell r="N13">
            <v>2</v>
          </cell>
        </row>
        <row r="14">
          <cell r="E14" t="str">
            <v>Globe Equity Decree</v>
          </cell>
          <cell r="I14" t="str">
            <v>VV</v>
          </cell>
          <cell r="K14" t="str">
            <v>A</v>
          </cell>
          <cell r="M14">
            <v>8.6086988025098705</v>
          </cell>
          <cell r="N14">
            <v>1</v>
          </cell>
        </row>
        <row r="15">
          <cell r="E15" t="str">
            <v>Globe Equity Decree</v>
          </cell>
          <cell r="I15" t="str">
            <v>VV</v>
          </cell>
          <cell r="K15" t="str">
            <v>Pe</v>
          </cell>
          <cell r="M15">
            <v>39.136150574570301</v>
          </cell>
          <cell r="N15">
            <v>1</v>
          </cell>
        </row>
        <row r="16">
          <cell r="E16" t="str">
            <v>Globe Equity Decree</v>
          </cell>
          <cell r="I16" t="str">
            <v>VV</v>
          </cell>
          <cell r="K16" t="str">
            <v>F</v>
          </cell>
          <cell r="M16">
            <v>32.813983219516302</v>
          </cell>
          <cell r="N16">
            <v>4</v>
          </cell>
        </row>
        <row r="17">
          <cell r="E17" t="str">
            <v>Globe Equity Decree</v>
          </cell>
          <cell r="I17" t="str">
            <v>VV</v>
          </cell>
          <cell r="K17" t="str">
            <v>H</v>
          </cell>
          <cell r="M17">
            <v>36.4397098986922</v>
          </cell>
          <cell r="N17">
            <v>1</v>
          </cell>
        </row>
        <row r="18">
          <cell r="E18" t="str">
            <v>Arizona v California</v>
          </cell>
          <cell r="I18" t="str">
            <v>VV</v>
          </cell>
          <cell r="K18" t="str">
            <v>F</v>
          </cell>
          <cell r="M18">
            <v>22.651039136910999</v>
          </cell>
          <cell r="N18">
            <v>4</v>
          </cell>
        </row>
        <row r="19">
          <cell r="E19" t="str">
            <v>Globe Equity Decree</v>
          </cell>
          <cell r="I19" t="str">
            <v>VV</v>
          </cell>
          <cell r="K19" t="str">
            <v>F</v>
          </cell>
          <cell r="M19">
            <v>37.334166288901102</v>
          </cell>
          <cell r="N19">
            <v>4</v>
          </cell>
        </row>
        <row r="20">
          <cell r="E20" t="str">
            <v>Globe Equity Decree</v>
          </cell>
          <cell r="I20" t="str">
            <v>VV</v>
          </cell>
          <cell r="K20" t="str">
            <v>F</v>
          </cell>
          <cell r="M20">
            <v>11.889706437499401</v>
          </cell>
          <cell r="N20">
            <v>4</v>
          </cell>
        </row>
        <row r="21">
          <cell r="E21" t="str">
            <v>Globe Equity Decree</v>
          </cell>
          <cell r="I21" t="str">
            <v>VV</v>
          </cell>
          <cell r="K21" t="str">
            <v>F</v>
          </cell>
          <cell r="M21">
            <v>15.9431759434458</v>
          </cell>
          <cell r="N21">
            <v>4</v>
          </cell>
        </row>
        <row r="22">
          <cell r="E22" t="str">
            <v>Globe Equity Decree</v>
          </cell>
          <cell r="I22" t="str">
            <v>VV</v>
          </cell>
          <cell r="K22" t="str">
            <v>F</v>
          </cell>
          <cell r="M22">
            <v>10.1497271200419</v>
          </cell>
          <cell r="N22">
            <v>4</v>
          </cell>
        </row>
        <row r="23">
          <cell r="E23" t="str">
            <v>Arizona v California</v>
          </cell>
          <cell r="I23" t="str">
            <v>VV</v>
          </cell>
          <cell r="K23" t="str">
            <v>F</v>
          </cell>
          <cell r="M23">
            <v>8.4362912885006001</v>
          </cell>
          <cell r="N23">
            <v>4</v>
          </cell>
        </row>
        <row r="24">
          <cell r="E24" t="str">
            <v>Arizona v California</v>
          </cell>
          <cell r="I24" t="str">
            <v>VV</v>
          </cell>
          <cell r="K24" t="str">
            <v>F</v>
          </cell>
          <cell r="M24">
            <v>10.968260974242501</v>
          </cell>
          <cell r="N24">
            <v>4</v>
          </cell>
        </row>
        <row r="25">
          <cell r="E25" t="str">
            <v>Arizona v California</v>
          </cell>
          <cell r="I25" t="str">
            <v>VV</v>
          </cell>
          <cell r="K25" t="str">
            <v>Co</v>
          </cell>
          <cell r="M25">
            <v>18.709873370653401</v>
          </cell>
          <cell r="N25">
            <v>3</v>
          </cell>
        </row>
        <row r="26">
          <cell r="E26" t="str">
            <v>Globe Equity Decree</v>
          </cell>
          <cell r="I26" t="str">
            <v>VV</v>
          </cell>
          <cell r="K26" t="str">
            <v>Cs</v>
          </cell>
          <cell r="M26">
            <v>20.120761949723398</v>
          </cell>
          <cell r="N26">
            <v>3</v>
          </cell>
        </row>
        <row r="27">
          <cell r="E27" t="str">
            <v>Globe Equity Decree</v>
          </cell>
          <cell r="I27" t="str">
            <v>VV</v>
          </cell>
          <cell r="K27" t="str">
            <v>H</v>
          </cell>
          <cell r="M27">
            <v>31.4770489547852</v>
          </cell>
          <cell r="N27">
            <v>3</v>
          </cell>
        </row>
        <row r="28">
          <cell r="E28" t="str">
            <v>Globe Equity Decree</v>
          </cell>
          <cell r="I28" t="str">
            <v>VV</v>
          </cell>
          <cell r="K28" t="str">
            <v>IPP</v>
          </cell>
          <cell r="M28">
            <v>3.2982797014337599</v>
          </cell>
          <cell r="N28">
            <v>1</v>
          </cell>
        </row>
        <row r="29">
          <cell r="E29" t="str">
            <v>Globe Equity Decree</v>
          </cell>
          <cell r="I29" t="str">
            <v>VV</v>
          </cell>
          <cell r="K29" t="str">
            <v>Cs</v>
          </cell>
          <cell r="M29">
            <v>44.8695847806787</v>
          </cell>
          <cell r="N29">
            <v>3</v>
          </cell>
        </row>
        <row r="30">
          <cell r="E30" t="str">
            <v>Globe Equity Decree</v>
          </cell>
          <cell r="I30" t="str">
            <v>VV</v>
          </cell>
          <cell r="K30" t="str">
            <v>Co</v>
          </cell>
          <cell r="M30">
            <v>41.113708088466097</v>
          </cell>
          <cell r="N30">
            <v>3</v>
          </cell>
        </row>
        <row r="31">
          <cell r="E31" t="str">
            <v>Globe Equity Decree</v>
          </cell>
          <cell r="I31" t="str">
            <v>VV</v>
          </cell>
          <cell r="K31" t="str">
            <v>Co</v>
          </cell>
          <cell r="M31">
            <v>44.767297539325703</v>
          </cell>
          <cell r="N31">
            <v>3</v>
          </cell>
        </row>
        <row r="32">
          <cell r="E32" t="str">
            <v>Globe Equity Decree</v>
          </cell>
          <cell r="I32" t="str">
            <v>VV</v>
          </cell>
          <cell r="K32" t="str">
            <v>IPP</v>
          </cell>
          <cell r="M32">
            <v>2.7611367732185998</v>
          </cell>
          <cell r="N32">
            <v>1</v>
          </cell>
        </row>
        <row r="33">
          <cell r="E33" t="str">
            <v>Globe Equity Decree</v>
          </cell>
          <cell r="I33" t="str">
            <v>VV</v>
          </cell>
          <cell r="K33" t="str">
            <v>Co</v>
          </cell>
          <cell r="M33">
            <v>10.829620764805099</v>
          </cell>
          <cell r="N33">
            <v>3</v>
          </cell>
        </row>
        <row r="34">
          <cell r="E34" t="str">
            <v>Globe Equity Decree</v>
          </cell>
          <cell r="I34" t="str">
            <v>VV</v>
          </cell>
          <cell r="K34" t="str">
            <v>Co</v>
          </cell>
          <cell r="M34">
            <v>11.2631945788123</v>
          </cell>
          <cell r="N34">
            <v>3</v>
          </cell>
        </row>
        <row r="35">
          <cell r="E35" t="str">
            <v>Globe Equity Decree</v>
          </cell>
          <cell r="I35" t="str">
            <v>VV</v>
          </cell>
          <cell r="K35" t="str">
            <v>Co</v>
          </cell>
          <cell r="M35">
            <v>6.9916953152474699</v>
          </cell>
          <cell r="N35">
            <v>3</v>
          </cell>
        </row>
        <row r="36">
          <cell r="E36" t="str">
            <v>Globe Equity Decree</v>
          </cell>
          <cell r="I36" t="str">
            <v>VV</v>
          </cell>
          <cell r="K36" t="str">
            <v>H</v>
          </cell>
          <cell r="M36">
            <v>19.8202990062615</v>
          </cell>
          <cell r="N36">
            <v>3</v>
          </cell>
        </row>
        <row r="37">
          <cell r="E37" t="str">
            <v>Globe Equity Decree</v>
          </cell>
          <cell r="I37" t="str">
            <v>VV</v>
          </cell>
          <cell r="K37" t="str">
            <v>Co</v>
          </cell>
          <cell r="M37">
            <v>16.817689691525299</v>
          </cell>
          <cell r="N37">
            <v>1</v>
          </cell>
        </row>
        <row r="38">
          <cell r="E38" t="str">
            <v>Globe Equity Decree</v>
          </cell>
          <cell r="I38" t="str">
            <v>VV</v>
          </cell>
          <cell r="K38" t="str">
            <v>Cs</v>
          </cell>
          <cell r="M38">
            <v>27.643710442610701</v>
          </cell>
          <cell r="N38">
            <v>1</v>
          </cell>
        </row>
        <row r="39">
          <cell r="E39" t="str">
            <v>Globe Equity Decree</v>
          </cell>
          <cell r="I39" t="str">
            <v>VV</v>
          </cell>
          <cell r="K39" t="str">
            <v>Co</v>
          </cell>
          <cell r="M39">
            <v>5.1116247866766402</v>
          </cell>
          <cell r="N39">
            <v>1</v>
          </cell>
        </row>
        <row r="40">
          <cell r="E40" t="str">
            <v>Globe Equity Decree</v>
          </cell>
          <cell r="I40" t="str">
            <v>VV</v>
          </cell>
          <cell r="K40" t="str">
            <v>F</v>
          </cell>
          <cell r="M40">
            <v>7.4271287667495498</v>
          </cell>
          <cell r="N40">
            <v>4</v>
          </cell>
        </row>
        <row r="41">
          <cell r="E41" t="str">
            <v>Globe Equity Decree</v>
          </cell>
          <cell r="I41" t="str">
            <v>VV</v>
          </cell>
          <cell r="K41" t="str">
            <v>Cs</v>
          </cell>
          <cell r="M41">
            <v>37.628816659501403</v>
          </cell>
          <cell r="N41">
            <v>3</v>
          </cell>
        </row>
        <row r="42">
          <cell r="E42" t="str">
            <v>Globe Equity Decree</v>
          </cell>
          <cell r="I42" t="str">
            <v>VV</v>
          </cell>
          <cell r="K42" t="str">
            <v>A</v>
          </cell>
          <cell r="M42">
            <v>20.944084802075299</v>
          </cell>
          <cell r="N42">
            <v>1</v>
          </cell>
        </row>
        <row r="43">
          <cell r="E43" t="str">
            <v>Globe Equity Decree</v>
          </cell>
          <cell r="I43" t="str">
            <v>VV</v>
          </cell>
          <cell r="K43" t="str">
            <v>Co</v>
          </cell>
          <cell r="M43">
            <v>37.786436495900404</v>
          </cell>
          <cell r="N43">
            <v>1</v>
          </cell>
        </row>
        <row r="44">
          <cell r="E44" t="str">
            <v>Globe Equity Decree</v>
          </cell>
          <cell r="I44" t="str">
            <v>VV</v>
          </cell>
          <cell r="K44" t="str">
            <v>Co</v>
          </cell>
          <cell r="M44">
            <v>36.404137036380497</v>
          </cell>
          <cell r="N44">
            <v>1</v>
          </cell>
        </row>
        <row r="45">
          <cell r="E45" t="str">
            <v>Globe Equity Decree</v>
          </cell>
          <cell r="I45" t="str">
            <v>VV</v>
          </cell>
          <cell r="K45" t="str">
            <v>Cs</v>
          </cell>
          <cell r="M45">
            <v>56.168202156456402</v>
          </cell>
          <cell r="N45">
            <v>1</v>
          </cell>
        </row>
        <row r="46">
          <cell r="E46" t="str">
            <v>Globe Equity Decree</v>
          </cell>
          <cell r="I46" t="str">
            <v>VV</v>
          </cell>
          <cell r="K46" t="str">
            <v>A</v>
          </cell>
          <cell r="M46">
            <v>18.742497871821602</v>
          </cell>
          <cell r="N46">
            <v>1</v>
          </cell>
        </row>
        <row r="47">
          <cell r="E47" t="str">
            <v>Globe Equity Decree</v>
          </cell>
          <cell r="I47" t="str">
            <v>VV</v>
          </cell>
          <cell r="K47" t="str">
            <v>Pe</v>
          </cell>
          <cell r="M47">
            <v>11.0045290689224</v>
          </cell>
          <cell r="N47">
            <v>1</v>
          </cell>
        </row>
        <row r="48">
          <cell r="E48" t="str">
            <v>Globe Equity Decree</v>
          </cell>
          <cell r="I48" t="str">
            <v>VV</v>
          </cell>
          <cell r="K48" t="str">
            <v>F</v>
          </cell>
          <cell r="M48">
            <v>17.371343879083099</v>
          </cell>
          <cell r="N48">
            <v>4</v>
          </cell>
        </row>
        <row r="49">
          <cell r="E49" t="str">
            <v>Globe Equity Decree</v>
          </cell>
          <cell r="I49" t="str">
            <v>VV</v>
          </cell>
          <cell r="K49" t="str">
            <v>IPP</v>
          </cell>
          <cell r="M49">
            <v>22.194735803827299</v>
          </cell>
          <cell r="N49">
            <v>1</v>
          </cell>
        </row>
        <row r="50">
          <cell r="E50" t="str">
            <v>Globe Equity Decree</v>
          </cell>
          <cell r="I50" t="str">
            <v>VV</v>
          </cell>
          <cell r="K50" t="str">
            <v>Co</v>
          </cell>
          <cell r="M50">
            <v>9.9551776593983305</v>
          </cell>
          <cell r="N50">
            <v>3</v>
          </cell>
        </row>
        <row r="51">
          <cell r="E51" t="str">
            <v>Globe Equity Decree</v>
          </cell>
          <cell r="I51" t="str">
            <v>VV</v>
          </cell>
          <cell r="K51" t="str">
            <v>Co</v>
          </cell>
          <cell r="M51">
            <v>17.0964292442771</v>
          </cell>
          <cell r="N51">
            <v>1</v>
          </cell>
        </row>
        <row r="52">
          <cell r="E52" t="str">
            <v>Globe Equity Decree</v>
          </cell>
          <cell r="I52" t="str">
            <v>VV</v>
          </cell>
          <cell r="K52" t="str">
            <v>F</v>
          </cell>
          <cell r="M52">
            <v>18.008544275952801</v>
          </cell>
          <cell r="N52">
            <v>4</v>
          </cell>
        </row>
        <row r="53">
          <cell r="E53" t="str">
            <v>Globe Equity Decree</v>
          </cell>
          <cell r="I53" t="str">
            <v>VV</v>
          </cell>
          <cell r="K53" t="str">
            <v>Co</v>
          </cell>
          <cell r="M53">
            <v>9.4668610105355295</v>
          </cell>
          <cell r="N53">
            <v>1</v>
          </cell>
        </row>
        <row r="54">
          <cell r="E54" t="str">
            <v>Globe Equity Decree</v>
          </cell>
          <cell r="I54" t="str">
            <v>VV</v>
          </cell>
          <cell r="K54" t="str">
            <v>Co</v>
          </cell>
          <cell r="M54">
            <v>18.025186515132798</v>
          </cell>
          <cell r="N54">
            <v>1</v>
          </cell>
        </row>
        <row r="55">
          <cell r="E55" t="str">
            <v>Globe Equity Decree</v>
          </cell>
          <cell r="I55" t="str">
            <v>VV</v>
          </cell>
          <cell r="K55" t="str">
            <v>Cs</v>
          </cell>
          <cell r="M55">
            <v>43.498075836807601</v>
          </cell>
          <cell r="N55">
            <v>1</v>
          </cell>
        </row>
        <row r="56">
          <cell r="E56" t="str">
            <v>Globe Equity Decree</v>
          </cell>
          <cell r="I56" t="str">
            <v>VV</v>
          </cell>
          <cell r="K56" t="str">
            <v>IPP</v>
          </cell>
          <cell r="M56">
            <v>5.3796935140694604</v>
          </cell>
          <cell r="N56">
            <v>1</v>
          </cell>
        </row>
        <row r="57">
          <cell r="E57" t="str">
            <v>Globe Equity Decree</v>
          </cell>
          <cell r="I57" t="str">
            <v>VV</v>
          </cell>
          <cell r="K57" t="str">
            <v>IPP</v>
          </cell>
          <cell r="M57">
            <v>9.2008418755634604</v>
          </cell>
          <cell r="N57">
            <v>1</v>
          </cell>
        </row>
        <row r="58">
          <cell r="E58" t="str">
            <v>Globe Equity Decree</v>
          </cell>
          <cell r="I58" t="str">
            <v>VV</v>
          </cell>
          <cell r="K58" t="str">
            <v>F</v>
          </cell>
          <cell r="M58">
            <v>2.5715751099511901</v>
          </cell>
          <cell r="N58">
            <v>4</v>
          </cell>
        </row>
        <row r="59">
          <cell r="E59" t="str">
            <v>Globe Equity Decree</v>
          </cell>
          <cell r="I59" t="str">
            <v>VV</v>
          </cell>
          <cell r="K59" t="str">
            <v>DSL</v>
          </cell>
          <cell r="M59">
            <v>1.1330196658437199</v>
          </cell>
          <cell r="N59">
            <v>1</v>
          </cell>
        </row>
        <row r="60">
          <cell r="E60" t="str">
            <v>Globe Equity Decree</v>
          </cell>
          <cell r="I60" t="str">
            <v>VV</v>
          </cell>
          <cell r="K60" t="str">
            <v>DSL</v>
          </cell>
          <cell r="M60">
            <v>1.16111982202784</v>
          </cell>
          <cell r="N60">
            <v>1</v>
          </cell>
        </row>
        <row r="61">
          <cell r="E61" t="str">
            <v>Globe Equity Decree</v>
          </cell>
          <cell r="I61" t="str">
            <v>VV</v>
          </cell>
          <cell r="K61" t="str">
            <v>DSL</v>
          </cell>
          <cell r="M61">
            <v>0.10290877942938299</v>
          </cell>
          <cell r="N61">
            <v>1</v>
          </cell>
        </row>
        <row r="62">
          <cell r="E62" t="str">
            <v>Globe Equity Decree</v>
          </cell>
          <cell r="I62" t="str">
            <v>VV</v>
          </cell>
          <cell r="K62" t="str">
            <v>DSL</v>
          </cell>
          <cell r="M62">
            <v>0.77526742651559799</v>
          </cell>
          <cell r="N62">
            <v>1</v>
          </cell>
        </row>
        <row r="63">
          <cell r="E63" t="str">
            <v>Globe Equity Decree</v>
          </cell>
          <cell r="I63" t="str">
            <v>VV</v>
          </cell>
          <cell r="K63" t="str">
            <v>DSL</v>
          </cell>
          <cell r="M63">
            <v>1.1008063228637499</v>
          </cell>
          <cell r="N63">
            <v>1</v>
          </cell>
        </row>
        <row r="64">
          <cell r="E64" t="str">
            <v>Globe Equity Decree</v>
          </cell>
          <cell r="I64" t="str">
            <v>VV</v>
          </cell>
          <cell r="K64" t="str">
            <v>DSL</v>
          </cell>
          <cell r="M64">
            <v>1.13495700720829</v>
          </cell>
          <cell r="N64">
            <v>1</v>
          </cell>
        </row>
        <row r="65">
          <cell r="E65" t="str">
            <v>Globe Equity Decree</v>
          </cell>
          <cell r="I65" t="str">
            <v>VV</v>
          </cell>
          <cell r="K65" t="str">
            <v>DSL</v>
          </cell>
          <cell r="M65">
            <v>1.1167453147778099</v>
          </cell>
          <cell r="N65">
            <v>1</v>
          </cell>
        </row>
        <row r="66">
          <cell r="E66" t="str">
            <v>Globe Equity Decree</v>
          </cell>
          <cell r="I66" t="str">
            <v>VV</v>
          </cell>
          <cell r="K66" t="str">
            <v>DSL</v>
          </cell>
          <cell r="M66">
            <v>1.1057177961178699</v>
          </cell>
          <cell r="N66">
            <v>1</v>
          </cell>
        </row>
        <row r="67">
          <cell r="E67" t="str">
            <v>Globe Equity Decree</v>
          </cell>
          <cell r="I67" t="str">
            <v>VV</v>
          </cell>
          <cell r="K67" t="str">
            <v>DSL</v>
          </cell>
          <cell r="M67">
            <v>0.32858124640542502</v>
          </cell>
          <cell r="N67">
            <v>1</v>
          </cell>
        </row>
        <row r="68">
          <cell r="E68" t="str">
            <v>Globe Equity Decree</v>
          </cell>
          <cell r="I68" t="str">
            <v>VV</v>
          </cell>
          <cell r="K68" t="str">
            <v>DSL</v>
          </cell>
          <cell r="M68">
            <v>0.77245130534692996</v>
          </cell>
          <cell r="N68">
            <v>1</v>
          </cell>
        </row>
        <row r="69">
          <cell r="E69" t="str">
            <v>Globe Equity Decree</v>
          </cell>
          <cell r="I69" t="str">
            <v>VV</v>
          </cell>
          <cell r="K69" t="str">
            <v>F</v>
          </cell>
          <cell r="M69">
            <v>2.1729037307057499</v>
          </cell>
          <cell r="N69">
            <v>4</v>
          </cell>
        </row>
        <row r="70">
          <cell r="E70" t="str">
            <v>Globe Equity Decree</v>
          </cell>
          <cell r="I70" t="str">
            <v>VV</v>
          </cell>
          <cell r="K70" t="str">
            <v>F</v>
          </cell>
          <cell r="M70">
            <v>0.67846442966943299</v>
          </cell>
          <cell r="N70">
            <v>4</v>
          </cell>
        </row>
        <row r="71">
          <cell r="E71" t="str">
            <v>Globe Equity Decree</v>
          </cell>
          <cell r="I71" t="str">
            <v>VV</v>
          </cell>
          <cell r="K71" t="str">
            <v>DSL</v>
          </cell>
          <cell r="M71">
            <v>0.28330329552746297</v>
          </cell>
          <cell r="N71">
            <v>1</v>
          </cell>
        </row>
        <row r="72">
          <cell r="E72" t="str">
            <v>Globe Equity Decree</v>
          </cell>
          <cell r="I72" t="str">
            <v>VV</v>
          </cell>
          <cell r="K72" t="str">
            <v>DSL</v>
          </cell>
          <cell r="M72">
            <v>0.78661830698135804</v>
          </cell>
          <cell r="N72">
            <v>1</v>
          </cell>
        </row>
        <row r="73">
          <cell r="E73" t="str">
            <v>Globe Equity Decree</v>
          </cell>
          <cell r="I73" t="str">
            <v>VV</v>
          </cell>
          <cell r="K73" t="str">
            <v>DSL</v>
          </cell>
          <cell r="M73">
            <v>1.9478041183083401</v>
          </cell>
          <cell r="N73">
            <v>1</v>
          </cell>
        </row>
        <row r="74">
          <cell r="E74" t="str">
            <v>Globe Equity Decree</v>
          </cell>
          <cell r="I74" t="str">
            <v>VV</v>
          </cell>
          <cell r="K74" t="str">
            <v>DSL</v>
          </cell>
          <cell r="M74">
            <v>1.11294337719512</v>
          </cell>
          <cell r="N74">
            <v>1</v>
          </cell>
        </row>
        <row r="75">
          <cell r="E75" t="str">
            <v>Globe Equity Decree</v>
          </cell>
          <cell r="I75" t="str">
            <v>VV</v>
          </cell>
          <cell r="K75" t="str">
            <v>DSL</v>
          </cell>
          <cell r="M75">
            <v>1.1078433526134199</v>
          </cell>
          <cell r="N75">
            <v>1</v>
          </cell>
        </row>
        <row r="76">
          <cell r="E76" t="str">
            <v>Globe Equity Decree</v>
          </cell>
          <cell r="I76" t="str">
            <v>VV</v>
          </cell>
          <cell r="K76" t="str">
            <v>DSL</v>
          </cell>
          <cell r="M76">
            <v>1.02048165821453</v>
          </cell>
          <cell r="N76">
            <v>1</v>
          </cell>
        </row>
        <row r="77">
          <cell r="E77" t="str">
            <v>Globe Equity Decree</v>
          </cell>
          <cell r="I77" t="str">
            <v>VV</v>
          </cell>
          <cell r="K77" t="str">
            <v>DSL</v>
          </cell>
          <cell r="M77">
            <v>1.0031308501082801</v>
          </cell>
          <cell r="N77">
            <v>1</v>
          </cell>
        </row>
        <row r="78">
          <cell r="E78" t="str">
            <v>Globe Equity Decree</v>
          </cell>
          <cell r="I78" t="str">
            <v>VV</v>
          </cell>
          <cell r="K78" t="str">
            <v>DSL</v>
          </cell>
          <cell r="M78">
            <v>0.96179065491631899</v>
          </cell>
          <cell r="N78">
            <v>1</v>
          </cell>
        </row>
        <row r="79">
          <cell r="E79" t="str">
            <v>Globe Equity Decree</v>
          </cell>
          <cell r="I79" t="str">
            <v>VV</v>
          </cell>
          <cell r="K79" t="str">
            <v>DSL</v>
          </cell>
          <cell r="M79">
            <v>0.28203551073289201</v>
          </cell>
          <cell r="N79">
            <v>1</v>
          </cell>
        </row>
        <row r="80">
          <cell r="E80" t="str">
            <v>Globe Equity Decree</v>
          </cell>
          <cell r="I80" t="str">
            <v>VV</v>
          </cell>
          <cell r="K80" t="str">
            <v>DSL</v>
          </cell>
          <cell r="M80">
            <v>0.74692053799142999</v>
          </cell>
          <cell r="N80">
            <v>1</v>
          </cell>
        </row>
        <row r="81">
          <cell r="E81" t="str">
            <v>Globe Equity Decree</v>
          </cell>
          <cell r="I81" t="str">
            <v>VV</v>
          </cell>
          <cell r="K81" t="str">
            <v>DSL</v>
          </cell>
          <cell r="M81">
            <v>0.41094746849751401</v>
          </cell>
          <cell r="N81">
            <v>1</v>
          </cell>
        </row>
        <row r="82">
          <cell r="E82" t="str">
            <v>Globe Equity Decree</v>
          </cell>
          <cell r="I82" t="str">
            <v>VV</v>
          </cell>
          <cell r="K82" t="str">
            <v>DSL</v>
          </cell>
          <cell r="M82">
            <v>8.7673101204266995E-2</v>
          </cell>
          <cell r="N82">
            <v>1</v>
          </cell>
        </row>
        <row r="83">
          <cell r="E83" t="str">
            <v>Globe Equity Decree</v>
          </cell>
          <cell r="I83" t="str">
            <v>VV</v>
          </cell>
          <cell r="K83" t="str">
            <v>DSL</v>
          </cell>
          <cell r="M83">
            <v>0.748616803873556</v>
          </cell>
          <cell r="N83">
            <v>1</v>
          </cell>
        </row>
        <row r="84">
          <cell r="E84" t="str">
            <v>Globe Equity Decree</v>
          </cell>
          <cell r="I84" t="str">
            <v>VV</v>
          </cell>
          <cell r="K84" t="str">
            <v>DSL</v>
          </cell>
          <cell r="M84">
            <v>0.852267538102217</v>
          </cell>
          <cell r="N84">
            <v>1</v>
          </cell>
        </row>
        <row r="85">
          <cell r="E85" t="str">
            <v>Globe Equity Decree</v>
          </cell>
          <cell r="I85" t="str">
            <v>VV</v>
          </cell>
          <cell r="K85" t="str">
            <v>DSL</v>
          </cell>
          <cell r="M85">
            <v>0.79947595222876899</v>
          </cell>
          <cell r="N85">
            <v>1</v>
          </cell>
        </row>
        <row r="86">
          <cell r="E86" t="str">
            <v>Globe Equity Decree</v>
          </cell>
          <cell r="I86" t="str">
            <v>VV</v>
          </cell>
          <cell r="K86" t="str">
            <v>DSL</v>
          </cell>
          <cell r="M86">
            <v>1.1108051501717899</v>
          </cell>
          <cell r="N86">
            <v>1</v>
          </cell>
        </row>
        <row r="87">
          <cell r="E87" t="str">
            <v>Globe Equity Decree</v>
          </cell>
          <cell r="I87" t="str">
            <v>VV</v>
          </cell>
          <cell r="K87" t="str">
            <v>DSL</v>
          </cell>
          <cell r="M87">
            <v>1.087896031671</v>
          </cell>
          <cell r="N87">
            <v>1</v>
          </cell>
        </row>
        <row r="88">
          <cell r="E88" t="str">
            <v>Globe Equity Decree</v>
          </cell>
          <cell r="I88" t="str">
            <v>VV</v>
          </cell>
          <cell r="K88" t="str">
            <v>DSL</v>
          </cell>
          <cell r="M88">
            <v>1.0500133942438299</v>
          </cell>
          <cell r="N88">
            <v>1</v>
          </cell>
        </row>
        <row r="89">
          <cell r="E89" t="str">
            <v>Globe Equity Decree</v>
          </cell>
          <cell r="I89" t="str">
            <v>VV</v>
          </cell>
          <cell r="K89" t="str">
            <v>DSL</v>
          </cell>
          <cell r="M89">
            <v>1.1192722743400301</v>
          </cell>
          <cell r="N89">
            <v>1</v>
          </cell>
        </row>
        <row r="90">
          <cell r="E90" t="str">
            <v>Globe Equity Decree</v>
          </cell>
          <cell r="I90" t="str">
            <v>VV</v>
          </cell>
          <cell r="K90" t="str">
            <v>DSL</v>
          </cell>
          <cell r="M90">
            <v>1.06595479166621</v>
          </cell>
          <cell r="N90">
            <v>1</v>
          </cell>
        </row>
        <row r="91">
          <cell r="E91" t="str">
            <v>Globe Equity Decree</v>
          </cell>
          <cell r="I91" t="str">
            <v>VV</v>
          </cell>
          <cell r="K91" t="str">
            <v>DSL</v>
          </cell>
          <cell r="M91">
            <v>1.0262953730817099</v>
          </cell>
          <cell r="N91">
            <v>1</v>
          </cell>
        </row>
        <row r="92">
          <cell r="E92" t="str">
            <v>Globe Equity Decree</v>
          </cell>
          <cell r="I92" t="str">
            <v>VV</v>
          </cell>
          <cell r="K92" t="str">
            <v>DSL</v>
          </cell>
          <cell r="M92">
            <v>1.07461618204415</v>
          </cell>
          <cell r="N92">
            <v>1</v>
          </cell>
        </row>
        <row r="93">
          <cell r="E93" t="str">
            <v>Globe Equity Decree</v>
          </cell>
          <cell r="I93" t="str">
            <v>VV</v>
          </cell>
          <cell r="K93" t="str">
            <v>DSL</v>
          </cell>
          <cell r="M93">
            <v>1.08539254634841</v>
          </cell>
          <cell r="N93">
            <v>1</v>
          </cell>
        </row>
        <row r="94">
          <cell r="E94" t="str">
            <v>Globe Equity Decree</v>
          </cell>
          <cell r="I94" t="str">
            <v>VV</v>
          </cell>
          <cell r="K94" t="str">
            <v>DSL</v>
          </cell>
          <cell r="M94">
            <v>1.04581674811304</v>
          </cell>
          <cell r="N94">
            <v>1</v>
          </cell>
        </row>
        <row r="95">
          <cell r="E95" t="str">
            <v>Globe Equity Decree</v>
          </cell>
          <cell r="I95" t="str">
            <v>VV</v>
          </cell>
          <cell r="K95" t="str">
            <v>DSL</v>
          </cell>
          <cell r="M95">
            <v>1.0889513238699799</v>
          </cell>
          <cell r="N95">
            <v>1</v>
          </cell>
        </row>
        <row r="96">
          <cell r="E96" t="str">
            <v>Globe Equity Decree</v>
          </cell>
          <cell r="I96" t="str">
            <v>VV</v>
          </cell>
          <cell r="K96" t="str">
            <v>DSL</v>
          </cell>
          <cell r="M96">
            <v>1.09724205151569</v>
          </cell>
          <cell r="N96">
            <v>1</v>
          </cell>
        </row>
        <row r="97">
          <cell r="E97" t="str">
            <v>Globe Equity Decree</v>
          </cell>
          <cell r="I97" t="str">
            <v>VV</v>
          </cell>
          <cell r="K97" t="str">
            <v>DSL</v>
          </cell>
          <cell r="M97">
            <v>1.06926940160073</v>
          </cell>
          <cell r="N97">
            <v>1</v>
          </cell>
        </row>
        <row r="98">
          <cell r="E98" t="str">
            <v>Globe Equity Decree</v>
          </cell>
          <cell r="I98" t="str">
            <v>VV</v>
          </cell>
          <cell r="K98" t="str">
            <v>DSL</v>
          </cell>
          <cell r="M98">
            <v>0.610497667140662</v>
          </cell>
          <cell r="N98">
            <v>1</v>
          </cell>
        </row>
        <row r="99">
          <cell r="E99" t="str">
            <v>Globe Equity Decree</v>
          </cell>
          <cell r="I99" t="str">
            <v>VV</v>
          </cell>
          <cell r="K99" t="str">
            <v>DSL</v>
          </cell>
          <cell r="M99">
            <v>0.32606721709954101</v>
          </cell>
          <cell r="N99">
            <v>1</v>
          </cell>
        </row>
        <row r="100">
          <cell r="E100" t="str">
            <v>Globe Equity Decree</v>
          </cell>
          <cell r="I100" t="str">
            <v>VV</v>
          </cell>
          <cell r="K100" t="str">
            <v>DSL</v>
          </cell>
          <cell r="M100">
            <v>0.75848046303644601</v>
          </cell>
          <cell r="N100">
            <v>1</v>
          </cell>
        </row>
        <row r="101">
          <cell r="E101" t="str">
            <v>Globe Equity Decree</v>
          </cell>
          <cell r="I101" t="str">
            <v>VV</v>
          </cell>
          <cell r="K101" t="str">
            <v>DSL</v>
          </cell>
          <cell r="M101">
            <v>1.0753106068379801</v>
          </cell>
          <cell r="N101">
            <v>1</v>
          </cell>
        </row>
        <row r="102">
          <cell r="E102" t="str">
            <v>Globe Equity Decree</v>
          </cell>
          <cell r="I102" t="str">
            <v>VV</v>
          </cell>
          <cell r="K102" t="str">
            <v>DSL</v>
          </cell>
          <cell r="M102">
            <v>0.47594859651006799</v>
          </cell>
          <cell r="N102">
            <v>1</v>
          </cell>
        </row>
        <row r="103">
          <cell r="E103" t="str">
            <v>Globe Equity Decree</v>
          </cell>
          <cell r="I103" t="str">
            <v>VV</v>
          </cell>
          <cell r="K103" t="str">
            <v>F</v>
          </cell>
          <cell r="M103">
            <v>12.0695665293623</v>
          </cell>
          <cell r="N103">
            <v>4</v>
          </cell>
        </row>
        <row r="104">
          <cell r="E104" t="str">
            <v>Globe Equity Decree</v>
          </cell>
          <cell r="I104" t="str">
            <v>VV</v>
          </cell>
          <cell r="K104" t="str">
            <v>H</v>
          </cell>
          <cell r="M104">
            <v>23.855083982724398</v>
          </cell>
          <cell r="N104">
            <v>2</v>
          </cell>
        </row>
        <row r="105">
          <cell r="E105" t="str">
            <v>Globe Equity Decree</v>
          </cell>
          <cell r="I105" t="str">
            <v>VV</v>
          </cell>
          <cell r="K105" t="str">
            <v>F</v>
          </cell>
          <cell r="M105">
            <v>2.7148742286858201</v>
          </cell>
          <cell r="N105">
            <v>4</v>
          </cell>
        </row>
        <row r="106">
          <cell r="E106" t="str">
            <v>Globe Equity Decree</v>
          </cell>
          <cell r="I106" t="str">
            <v>VV</v>
          </cell>
          <cell r="K106" t="str">
            <v>F</v>
          </cell>
          <cell r="M106">
            <v>3.16891903104634</v>
          </cell>
          <cell r="N106">
            <v>4</v>
          </cell>
        </row>
        <row r="107">
          <cell r="E107" t="str">
            <v>Globe Equity Decree</v>
          </cell>
          <cell r="I107" t="str">
            <v>VV</v>
          </cell>
          <cell r="K107" t="str">
            <v>Pe</v>
          </cell>
          <cell r="M107">
            <v>7.1468522131981302</v>
          </cell>
          <cell r="N107">
            <v>1</v>
          </cell>
        </row>
        <row r="108">
          <cell r="E108" t="str">
            <v>Globe Equity Decree</v>
          </cell>
          <cell r="I108" t="str">
            <v>VV</v>
          </cell>
          <cell r="K108" t="str">
            <v>F</v>
          </cell>
          <cell r="M108">
            <v>5.9536137453244597</v>
          </cell>
          <cell r="N108">
            <v>4</v>
          </cell>
        </row>
        <row r="109">
          <cell r="E109" t="str">
            <v>Arizona v California</v>
          </cell>
          <cell r="I109" t="str">
            <v>VV</v>
          </cell>
          <cell r="K109" t="str">
            <v>F</v>
          </cell>
          <cell r="M109">
            <v>4.9633665321863596</v>
          </cell>
          <cell r="N109">
            <v>4</v>
          </cell>
        </row>
        <row r="110">
          <cell r="E110" t="str">
            <v>Globe Equity Decree</v>
          </cell>
          <cell r="I110" t="str">
            <v>VV</v>
          </cell>
          <cell r="K110" t="str">
            <v>Pi</v>
          </cell>
          <cell r="M110">
            <v>1.64068360493992</v>
          </cell>
          <cell r="N110">
            <v>1</v>
          </cell>
        </row>
        <row r="111">
          <cell r="E111" t="str">
            <v>Globe Equity Decree</v>
          </cell>
          <cell r="I111" t="str">
            <v>VV</v>
          </cell>
          <cell r="K111" t="str">
            <v>Pe</v>
          </cell>
          <cell r="M111">
            <v>1.67542689577863</v>
          </cell>
          <cell r="N111">
            <v>1</v>
          </cell>
        </row>
        <row r="112">
          <cell r="E112" t="str">
            <v>Globe Equity Decree</v>
          </cell>
          <cell r="I112" t="str">
            <v>VV</v>
          </cell>
          <cell r="K112" t="str">
            <v>DSL</v>
          </cell>
          <cell r="M112">
            <v>0.41413377762584502</v>
          </cell>
          <cell r="N112">
            <v>1</v>
          </cell>
        </row>
        <row r="113">
          <cell r="E113" t="str">
            <v>Globe Equity Decree</v>
          </cell>
          <cell r="I113" t="str">
            <v>VV</v>
          </cell>
          <cell r="K113" t="str">
            <v>Pe</v>
          </cell>
          <cell r="M113">
            <v>5.3680295731284202</v>
          </cell>
          <cell r="N113">
            <v>1</v>
          </cell>
        </row>
        <row r="114">
          <cell r="E114" t="str">
            <v>Globe Equity Decree</v>
          </cell>
          <cell r="I114" t="str">
            <v>VV</v>
          </cell>
          <cell r="K114" t="str">
            <v>IPP</v>
          </cell>
          <cell r="M114">
            <v>2.56151127804551</v>
          </cell>
          <cell r="N114">
            <v>1</v>
          </cell>
        </row>
        <row r="115">
          <cell r="E115" t="str">
            <v>Globe Equity Decree</v>
          </cell>
          <cell r="I115" t="str">
            <v>VV</v>
          </cell>
          <cell r="K115" t="str">
            <v>IPP</v>
          </cell>
          <cell r="M115">
            <v>13.227751589058601</v>
          </cell>
          <cell r="N115">
            <v>2</v>
          </cell>
        </row>
        <row r="116">
          <cell r="E116" t="str">
            <v>Globe Equity Decree</v>
          </cell>
          <cell r="I116" t="str">
            <v>VV</v>
          </cell>
          <cell r="K116" t="str">
            <v>IPP</v>
          </cell>
          <cell r="M116">
            <v>7.9520289708909697</v>
          </cell>
          <cell r="N116">
            <v>1</v>
          </cell>
        </row>
        <row r="117">
          <cell r="E117" t="str">
            <v>Globe Equity Decree</v>
          </cell>
          <cell r="I117" t="str">
            <v>VV</v>
          </cell>
          <cell r="K117" t="str">
            <v>IPP</v>
          </cell>
          <cell r="M117">
            <v>1.6297137988814601</v>
          </cell>
          <cell r="N117">
            <v>1</v>
          </cell>
        </row>
        <row r="118">
          <cell r="E118" t="str">
            <v>Globe Equity Decree</v>
          </cell>
          <cell r="I118" t="str">
            <v>VV</v>
          </cell>
          <cell r="K118" t="str">
            <v>Res,W</v>
          </cell>
          <cell r="M118">
            <v>0.59961224285715797</v>
          </cell>
          <cell r="N118">
            <v>4</v>
          </cell>
        </row>
        <row r="119">
          <cell r="E119" t="str">
            <v>Globe Equity Decree</v>
          </cell>
          <cell r="I119" t="str">
            <v>VV</v>
          </cell>
          <cell r="K119" t="str">
            <v>IPP</v>
          </cell>
          <cell r="M119">
            <v>3.2689098389817999</v>
          </cell>
          <cell r="N119">
            <v>1</v>
          </cell>
        </row>
        <row r="120">
          <cell r="E120" t="str">
            <v>Globe Equity Decree</v>
          </cell>
          <cell r="I120" t="str">
            <v>VV</v>
          </cell>
          <cell r="K120" t="str">
            <v>IPP</v>
          </cell>
          <cell r="M120">
            <v>8.1175193792897797</v>
          </cell>
          <cell r="N120">
            <v>1</v>
          </cell>
        </row>
        <row r="121">
          <cell r="E121" t="str">
            <v>Globe Equity Decree</v>
          </cell>
          <cell r="I121" t="str">
            <v>VV</v>
          </cell>
          <cell r="K121" t="str">
            <v>IPP</v>
          </cell>
          <cell r="M121">
            <v>29.7744646523882</v>
          </cell>
          <cell r="N121">
            <v>2</v>
          </cell>
        </row>
        <row r="122">
          <cell r="E122" t="str">
            <v>Globe Equity Decree</v>
          </cell>
          <cell r="I122" t="str">
            <v>VV</v>
          </cell>
          <cell r="K122" t="str">
            <v>IPP</v>
          </cell>
          <cell r="M122">
            <v>1.58729877475563</v>
          </cell>
          <cell r="N122">
            <v>2</v>
          </cell>
        </row>
        <row r="123">
          <cell r="E123" t="str">
            <v>Globe Equity Decree</v>
          </cell>
          <cell r="I123" t="str">
            <v>VV</v>
          </cell>
          <cell r="K123" t="str">
            <v>F</v>
          </cell>
          <cell r="M123">
            <v>4.0435650640889698</v>
          </cell>
          <cell r="N123">
            <v>4</v>
          </cell>
        </row>
        <row r="124">
          <cell r="E124" t="str">
            <v>Globe Equity Decree</v>
          </cell>
          <cell r="I124" t="str">
            <v>VV</v>
          </cell>
          <cell r="K124" t="str">
            <v>Pe</v>
          </cell>
          <cell r="M124">
            <v>2.4648828854929001</v>
          </cell>
          <cell r="N124">
            <v>1</v>
          </cell>
        </row>
        <row r="125">
          <cell r="E125" t="str">
            <v>Globe Equity Decree</v>
          </cell>
          <cell r="I125" t="str">
            <v>VV</v>
          </cell>
          <cell r="K125" t="str">
            <v>Pe</v>
          </cell>
          <cell r="M125">
            <v>0.86712798053894302</v>
          </cell>
          <cell r="N125">
            <v>1</v>
          </cell>
        </row>
        <row r="126">
          <cell r="E126" t="str">
            <v>Globe Equity Decree</v>
          </cell>
          <cell r="I126" t="str">
            <v>VV</v>
          </cell>
          <cell r="K126" t="str">
            <v>Pe</v>
          </cell>
          <cell r="M126">
            <v>1.37411641809058</v>
          </cell>
          <cell r="N126">
            <v>1</v>
          </cell>
        </row>
        <row r="127">
          <cell r="E127" t="str">
            <v>Globe Equity Decree</v>
          </cell>
          <cell r="I127" t="str">
            <v>VV</v>
          </cell>
          <cell r="K127" t="str">
            <v>Pe</v>
          </cell>
          <cell r="M127">
            <v>1.49048036922435</v>
          </cell>
          <cell r="N127">
            <v>1</v>
          </cell>
        </row>
        <row r="128">
          <cell r="E128" t="str">
            <v>Globe Equity Decree</v>
          </cell>
          <cell r="I128" t="str">
            <v>VV</v>
          </cell>
          <cell r="K128" t="str">
            <v>Pe</v>
          </cell>
          <cell r="M128">
            <v>1.15084415039717</v>
          </cell>
          <cell r="N128">
            <v>1</v>
          </cell>
        </row>
        <row r="129">
          <cell r="E129" t="str">
            <v>Globe Equity Decree</v>
          </cell>
          <cell r="I129" t="str">
            <v>VV</v>
          </cell>
          <cell r="K129" t="str">
            <v>Pe</v>
          </cell>
          <cell r="M129">
            <v>0.77149369811632695</v>
          </cell>
          <cell r="N129">
            <v>1</v>
          </cell>
        </row>
        <row r="130">
          <cell r="E130" t="str">
            <v>Globe Equity Decree</v>
          </cell>
          <cell r="I130" t="str">
            <v>VV</v>
          </cell>
          <cell r="K130" t="str">
            <v>IPP</v>
          </cell>
          <cell r="M130">
            <v>7.9705777189532903</v>
          </cell>
          <cell r="N130">
            <v>1</v>
          </cell>
        </row>
        <row r="131">
          <cell r="E131" t="str">
            <v>Globe Equity Decree</v>
          </cell>
          <cell r="I131" t="str">
            <v>VV</v>
          </cell>
          <cell r="K131" t="str">
            <v>SSG</v>
          </cell>
          <cell r="M131">
            <v>9.84351195829327</v>
          </cell>
          <cell r="N131">
            <v>1</v>
          </cell>
        </row>
        <row r="132">
          <cell r="E132" t="str">
            <v>Globe Equity Decree</v>
          </cell>
          <cell r="I132" t="str">
            <v>VV</v>
          </cell>
          <cell r="K132" t="str">
            <v>IPP</v>
          </cell>
          <cell r="M132">
            <v>40.726142141352803</v>
          </cell>
          <cell r="N132">
            <v>2</v>
          </cell>
        </row>
        <row r="133">
          <cell r="E133" t="str">
            <v>Globe Equity Decree</v>
          </cell>
          <cell r="I133" t="str">
            <v>VV</v>
          </cell>
          <cell r="K133" t="str">
            <v>F</v>
          </cell>
          <cell r="M133">
            <v>11.5981123241693</v>
          </cell>
          <cell r="N133">
            <v>4</v>
          </cell>
        </row>
        <row r="134">
          <cell r="E134" t="str">
            <v>Globe Equity Decree</v>
          </cell>
          <cell r="I134" t="str">
            <v>VV</v>
          </cell>
          <cell r="K134" t="str">
            <v>H</v>
          </cell>
          <cell r="M134">
            <v>21.208964251007998</v>
          </cell>
          <cell r="N134">
            <v>1</v>
          </cell>
        </row>
        <row r="135">
          <cell r="E135" t="str">
            <v>Globe Equity Decree</v>
          </cell>
          <cell r="I135" t="str">
            <v>VV</v>
          </cell>
          <cell r="K135" t="str">
            <v>F</v>
          </cell>
          <cell r="M135">
            <v>8.8114946243121608</v>
          </cell>
          <cell r="N135">
            <v>4</v>
          </cell>
        </row>
        <row r="136">
          <cell r="E136" t="str">
            <v>Globe Equity Decree</v>
          </cell>
          <cell r="I136" t="str">
            <v>VV</v>
          </cell>
          <cell r="K136" t="str">
            <v>H</v>
          </cell>
          <cell r="M136">
            <v>18.031947377134902</v>
          </cell>
          <cell r="N136">
            <v>1</v>
          </cell>
        </row>
        <row r="137">
          <cell r="E137" t="str">
            <v>Globe Equity Decree</v>
          </cell>
          <cell r="I137" t="str">
            <v>VV</v>
          </cell>
          <cell r="K137" t="str">
            <v>A</v>
          </cell>
          <cell r="M137">
            <v>22.938391314240199</v>
          </cell>
          <cell r="N137">
            <v>1</v>
          </cell>
        </row>
        <row r="138">
          <cell r="E138" t="str">
            <v>Arizona v California</v>
          </cell>
          <cell r="I138" t="str">
            <v>VV</v>
          </cell>
          <cell r="K138" t="str">
            <v>H</v>
          </cell>
          <cell r="M138">
            <v>11.327931846504701</v>
          </cell>
          <cell r="N138">
            <v>1</v>
          </cell>
        </row>
        <row r="139">
          <cell r="E139" t="str">
            <v>Globe Equity Decree</v>
          </cell>
          <cell r="I139" t="str">
            <v>VV</v>
          </cell>
          <cell r="K139" t="str">
            <v>IPP</v>
          </cell>
          <cell r="M139">
            <v>20.532894875671602</v>
          </cell>
          <cell r="N139">
            <v>1</v>
          </cell>
        </row>
        <row r="140">
          <cell r="E140" t="str">
            <v>Globe Equity Decree</v>
          </cell>
          <cell r="I140" t="str">
            <v>VV</v>
          </cell>
          <cell r="K140" t="str">
            <v>IPP</v>
          </cell>
          <cell r="M140">
            <v>18.5574670207065</v>
          </cell>
          <cell r="N140">
            <v>1</v>
          </cell>
        </row>
        <row r="141">
          <cell r="E141" t="str">
            <v>Globe Equity Decree</v>
          </cell>
          <cell r="I141" t="str">
            <v>VV</v>
          </cell>
          <cell r="K141" t="str">
            <v>IPP</v>
          </cell>
          <cell r="M141">
            <v>6.4300640567677902</v>
          </cell>
          <cell r="N141">
            <v>1</v>
          </cell>
        </row>
        <row r="142">
          <cell r="E142" t="str">
            <v>Globe Equity Decree</v>
          </cell>
          <cell r="I142" t="str">
            <v>VV</v>
          </cell>
          <cell r="K142" t="str">
            <v>IPP</v>
          </cell>
          <cell r="M142">
            <v>1.43275736902187</v>
          </cell>
          <cell r="N142">
            <v>1</v>
          </cell>
        </row>
        <row r="143">
          <cell r="E143" t="str">
            <v>Globe Equity Decree</v>
          </cell>
          <cell r="I143" t="str">
            <v>VV</v>
          </cell>
          <cell r="K143" t="str">
            <v>IPP</v>
          </cell>
          <cell r="M143">
            <v>10.7649013427838</v>
          </cell>
          <cell r="N143">
            <v>1</v>
          </cell>
        </row>
        <row r="144">
          <cell r="E144" t="str">
            <v>Globe Equity Decree</v>
          </cell>
          <cell r="I144" t="str">
            <v>VV</v>
          </cell>
          <cell r="K144" t="str">
            <v>H</v>
          </cell>
          <cell r="M144">
            <v>10.4686545583771</v>
          </cell>
          <cell r="N144">
            <v>1</v>
          </cell>
        </row>
        <row r="145">
          <cell r="E145" t="str">
            <v>Arizona v California</v>
          </cell>
          <cell r="I145" t="str">
            <v>VV</v>
          </cell>
          <cell r="K145" t="str">
            <v>F</v>
          </cell>
          <cell r="M145">
            <v>0.81668533028783796</v>
          </cell>
          <cell r="N145">
            <v>4</v>
          </cell>
        </row>
        <row r="146">
          <cell r="E146" t="str">
            <v>Globe Equity Decree</v>
          </cell>
          <cell r="I146" t="str">
            <v>VV</v>
          </cell>
          <cell r="K146" t="str">
            <v>H</v>
          </cell>
          <cell r="M146">
            <v>7.8459462097225003</v>
          </cell>
          <cell r="N146">
            <v>1</v>
          </cell>
        </row>
        <row r="147">
          <cell r="E147" t="str">
            <v>Arizona v California</v>
          </cell>
          <cell r="I147" t="str">
            <v>VV</v>
          </cell>
          <cell r="K147" t="str">
            <v>F</v>
          </cell>
          <cell r="M147">
            <v>21.923024597723199</v>
          </cell>
          <cell r="N147">
            <v>4</v>
          </cell>
        </row>
        <row r="148">
          <cell r="E148" t="str">
            <v>Globe Equity Decree</v>
          </cell>
          <cell r="I148" t="str">
            <v>VV</v>
          </cell>
          <cell r="K148" t="str">
            <v>IPP</v>
          </cell>
          <cell r="M148">
            <v>15.869417880075</v>
          </cell>
          <cell r="N148">
            <v>1</v>
          </cell>
        </row>
        <row r="149">
          <cell r="E149" t="str">
            <v>Globe Equity Decree</v>
          </cell>
          <cell r="I149" t="str">
            <v>VV</v>
          </cell>
          <cell r="K149" t="str">
            <v>IPP</v>
          </cell>
          <cell r="M149">
            <v>9.6414840286440295</v>
          </cell>
          <cell r="N149">
            <v>1</v>
          </cell>
        </row>
        <row r="150">
          <cell r="E150" t="str">
            <v>Globe Equity Decree</v>
          </cell>
          <cell r="I150" t="str">
            <v>VV</v>
          </cell>
          <cell r="K150" t="str">
            <v>F</v>
          </cell>
          <cell r="M150">
            <v>4.6415400511258396</v>
          </cell>
          <cell r="N150">
            <v>4</v>
          </cell>
        </row>
        <row r="151">
          <cell r="E151" t="str">
            <v>Globe Equity Decree</v>
          </cell>
          <cell r="I151" t="str">
            <v>VV</v>
          </cell>
          <cell r="K151" t="str">
            <v>F</v>
          </cell>
          <cell r="M151">
            <v>5.6900827918440404</v>
          </cell>
          <cell r="N151">
            <v>4</v>
          </cell>
        </row>
        <row r="152">
          <cell r="E152" t="str">
            <v>Globe Equity Decree</v>
          </cell>
          <cell r="I152" t="str">
            <v>VV</v>
          </cell>
          <cell r="K152" t="str">
            <v>F</v>
          </cell>
          <cell r="M152">
            <v>3.88708067559064</v>
          </cell>
          <cell r="N152">
            <v>4</v>
          </cell>
        </row>
        <row r="153">
          <cell r="E153" t="str">
            <v>Globe Equity Decree</v>
          </cell>
          <cell r="I153" t="str">
            <v>VV</v>
          </cell>
          <cell r="K153" t="str">
            <v>F</v>
          </cell>
          <cell r="M153">
            <v>4.9569195295539599</v>
          </cell>
          <cell r="N153">
            <v>4</v>
          </cell>
        </row>
        <row r="154">
          <cell r="E154" t="str">
            <v>Globe Equity Decree</v>
          </cell>
          <cell r="I154" t="str">
            <v>VV</v>
          </cell>
          <cell r="K154" t="str">
            <v>F</v>
          </cell>
          <cell r="M154">
            <v>2.9079813349853301</v>
          </cell>
          <cell r="N154">
            <v>4</v>
          </cell>
        </row>
        <row r="155">
          <cell r="E155" t="str">
            <v>Arizona v California</v>
          </cell>
          <cell r="I155" t="str">
            <v>VV</v>
          </cell>
          <cell r="K155" t="str">
            <v>Fo</v>
          </cell>
          <cell r="M155">
            <v>1.6368426087093599</v>
          </cell>
          <cell r="N155">
            <v>1</v>
          </cell>
        </row>
        <row r="156">
          <cell r="E156" t="str">
            <v>Arizona v California</v>
          </cell>
          <cell r="I156" t="str">
            <v>VV</v>
          </cell>
          <cell r="K156" t="str">
            <v>Tw</v>
          </cell>
          <cell r="M156">
            <v>0.50435544877690297</v>
          </cell>
          <cell r="N156">
            <v>2</v>
          </cell>
        </row>
        <row r="157">
          <cell r="E157" t="str">
            <v>Arizona v California</v>
          </cell>
          <cell r="I157" t="str">
            <v>VV</v>
          </cell>
          <cell r="K157" t="str">
            <v>Tw</v>
          </cell>
          <cell r="M157">
            <v>2.32300334177476</v>
          </cell>
          <cell r="N157">
            <v>2</v>
          </cell>
        </row>
        <row r="158">
          <cell r="E158" t="str">
            <v>Arizona v California</v>
          </cell>
          <cell r="I158" t="str">
            <v>VV</v>
          </cell>
          <cell r="K158" t="str">
            <v>F</v>
          </cell>
          <cell r="M158">
            <v>0.80798263427221095</v>
          </cell>
          <cell r="N158">
            <v>4</v>
          </cell>
        </row>
        <row r="159">
          <cell r="E159" t="str">
            <v>Arizona v California</v>
          </cell>
          <cell r="I159" t="str">
            <v>VV</v>
          </cell>
          <cell r="K159" t="str">
            <v>Tw</v>
          </cell>
          <cell r="M159">
            <v>2.1488305749406198</v>
          </cell>
          <cell r="N159">
            <v>2</v>
          </cell>
        </row>
        <row r="160">
          <cell r="E160" t="str">
            <v>Arizona v California</v>
          </cell>
          <cell r="I160" t="str">
            <v>VV</v>
          </cell>
          <cell r="K160" t="str">
            <v>Fo</v>
          </cell>
          <cell r="M160">
            <v>0.47255644785755202</v>
          </cell>
          <cell r="N160">
            <v>3</v>
          </cell>
        </row>
        <row r="161">
          <cell r="E161" t="str">
            <v>Globe Equity Decree</v>
          </cell>
          <cell r="I161" t="str">
            <v>VV</v>
          </cell>
          <cell r="K161" t="str">
            <v>F</v>
          </cell>
          <cell r="M161">
            <v>26.090071672073201</v>
          </cell>
          <cell r="N161">
            <v>4</v>
          </cell>
        </row>
        <row r="162">
          <cell r="E162" t="str">
            <v>Globe Equity Decree</v>
          </cell>
          <cell r="I162" t="str">
            <v>VV</v>
          </cell>
          <cell r="K162" t="str">
            <v>IPP</v>
          </cell>
          <cell r="M162">
            <v>9.3026386928937796</v>
          </cell>
          <cell r="N162">
            <v>1</v>
          </cell>
        </row>
        <row r="163">
          <cell r="E163" t="str">
            <v>Globe Equity Decree</v>
          </cell>
          <cell r="I163" t="str">
            <v>VV</v>
          </cell>
          <cell r="K163" t="str">
            <v>IPP</v>
          </cell>
          <cell r="M163">
            <v>0.68517043641303998</v>
          </cell>
          <cell r="N163">
            <v>1</v>
          </cell>
        </row>
        <row r="164">
          <cell r="E164" t="str">
            <v>Globe Equity Decree</v>
          </cell>
          <cell r="I164" t="str">
            <v>VV</v>
          </cell>
          <cell r="K164" t="str">
            <v>IPP</v>
          </cell>
          <cell r="M164">
            <v>1.29449524741113</v>
          </cell>
          <cell r="N164">
            <v>1</v>
          </cell>
        </row>
        <row r="165">
          <cell r="E165" t="str">
            <v>Globe Equity Decree</v>
          </cell>
          <cell r="I165" t="str">
            <v>VV</v>
          </cell>
          <cell r="K165" t="str">
            <v>IPP</v>
          </cell>
          <cell r="M165">
            <v>4.9898643374169396</v>
          </cell>
          <cell r="N165">
            <v>1</v>
          </cell>
        </row>
        <row r="166">
          <cell r="E166" t="str">
            <v>Globe Equity Decree</v>
          </cell>
          <cell r="I166" t="str">
            <v>VV</v>
          </cell>
          <cell r="K166" t="str">
            <v>F</v>
          </cell>
          <cell r="M166">
            <v>5.28169237484635</v>
          </cell>
          <cell r="N166">
            <v>4</v>
          </cell>
        </row>
        <row r="167">
          <cell r="E167" t="str">
            <v>Globe Equity Decree</v>
          </cell>
          <cell r="I167" t="str">
            <v>VV</v>
          </cell>
          <cell r="K167" t="str">
            <v>F</v>
          </cell>
          <cell r="M167">
            <v>9.1382423639211208</v>
          </cell>
          <cell r="N167">
            <v>4</v>
          </cell>
        </row>
        <row r="168">
          <cell r="E168" t="str">
            <v>Globe Equity Decree</v>
          </cell>
          <cell r="I168" t="str">
            <v>VV</v>
          </cell>
          <cell r="K168" t="str">
            <v>F</v>
          </cell>
          <cell r="M168">
            <v>2.62751661030061</v>
          </cell>
          <cell r="N168">
            <v>4</v>
          </cell>
        </row>
        <row r="169">
          <cell r="E169" t="str">
            <v>Globe Equity Decree</v>
          </cell>
          <cell r="I169" t="str">
            <v>VV</v>
          </cell>
          <cell r="K169" t="str">
            <v>F</v>
          </cell>
          <cell r="M169">
            <v>1.98653030473787</v>
          </cell>
          <cell r="N169">
            <v>4</v>
          </cell>
        </row>
        <row r="170">
          <cell r="E170" t="str">
            <v>Globe Equity Decree</v>
          </cell>
          <cell r="I170" t="str">
            <v>VV</v>
          </cell>
          <cell r="K170" t="str">
            <v>F</v>
          </cell>
          <cell r="M170">
            <v>8.2934163844350905</v>
          </cell>
          <cell r="N170">
            <v>4</v>
          </cell>
        </row>
        <row r="171">
          <cell r="E171" t="str">
            <v>Globe Equity Decree</v>
          </cell>
          <cell r="I171" t="str">
            <v>VV</v>
          </cell>
          <cell r="K171" t="str">
            <v>Fo</v>
          </cell>
          <cell r="M171">
            <v>0.39068598806650101</v>
          </cell>
          <cell r="N171">
            <v>1</v>
          </cell>
        </row>
        <row r="172">
          <cell r="E172" t="str">
            <v>Globe Equity Decree</v>
          </cell>
          <cell r="I172" t="str">
            <v>VV</v>
          </cell>
          <cell r="K172" t="str">
            <v>F</v>
          </cell>
          <cell r="M172">
            <v>2.37760109913427</v>
          </cell>
          <cell r="N172">
            <v>4</v>
          </cell>
        </row>
        <row r="173">
          <cell r="E173" t="str">
            <v>Arizona v California</v>
          </cell>
          <cell r="I173" t="str">
            <v>VV</v>
          </cell>
          <cell r="K173" t="str">
            <v>F</v>
          </cell>
          <cell r="M173">
            <v>2.83398928138502</v>
          </cell>
          <cell r="N173">
            <v>4</v>
          </cell>
        </row>
        <row r="174">
          <cell r="E174" t="str">
            <v>Globe Equity Decree</v>
          </cell>
          <cell r="I174" t="str">
            <v>VV</v>
          </cell>
          <cell r="K174" t="str">
            <v>Gr</v>
          </cell>
          <cell r="M174">
            <v>0.40174560747075699</v>
          </cell>
          <cell r="N174">
            <v>1</v>
          </cell>
        </row>
        <row r="175">
          <cell r="E175" t="str">
            <v>Globe Equity Decree</v>
          </cell>
          <cell r="I175" t="str">
            <v>VV</v>
          </cell>
          <cell r="K175" t="str">
            <v>Fo</v>
          </cell>
          <cell r="M175">
            <v>0.49471216305251903</v>
          </cell>
          <cell r="N175">
            <v>2</v>
          </cell>
        </row>
        <row r="176">
          <cell r="E176" t="str">
            <v>Arizona v California</v>
          </cell>
          <cell r="I176" t="str">
            <v>VV</v>
          </cell>
          <cell r="K176" t="str">
            <v>F</v>
          </cell>
          <cell r="M176">
            <v>22.335120395938802</v>
          </cell>
          <cell r="N176">
            <v>4</v>
          </cell>
        </row>
        <row r="177">
          <cell r="E177" t="str">
            <v>Arizona v California</v>
          </cell>
          <cell r="I177" t="str">
            <v>VV</v>
          </cell>
          <cell r="K177" t="str">
            <v>F</v>
          </cell>
          <cell r="M177">
            <v>178.40087284670699</v>
          </cell>
          <cell r="N177">
            <v>4</v>
          </cell>
        </row>
        <row r="178">
          <cell r="E178" t="str">
            <v>Globe Equity Decree</v>
          </cell>
          <cell r="I178" t="str">
            <v>VV</v>
          </cell>
          <cell r="K178" t="str">
            <v>F</v>
          </cell>
          <cell r="M178">
            <v>1.6003505965145799</v>
          </cell>
          <cell r="N178">
            <v>4</v>
          </cell>
        </row>
        <row r="179">
          <cell r="E179" t="str">
            <v>Arizona v California</v>
          </cell>
          <cell r="I179" t="str">
            <v>VV</v>
          </cell>
          <cell r="K179" t="str">
            <v>Ct</v>
          </cell>
          <cell r="M179">
            <v>0.34033576098402102</v>
          </cell>
          <cell r="N179">
            <v>1</v>
          </cell>
        </row>
        <row r="180">
          <cell r="E180" t="str">
            <v>Globe Equity Decree</v>
          </cell>
          <cell r="I180" t="str">
            <v>VV</v>
          </cell>
          <cell r="K180" t="str">
            <v>F</v>
          </cell>
          <cell r="M180">
            <v>9.0196116715572199</v>
          </cell>
          <cell r="N180">
            <v>4</v>
          </cell>
        </row>
        <row r="181">
          <cell r="E181" t="str">
            <v>Globe Equity Decree</v>
          </cell>
          <cell r="I181" t="str">
            <v>VV</v>
          </cell>
          <cell r="K181" t="str">
            <v>IPP</v>
          </cell>
          <cell r="M181">
            <v>0.85819009312821404</v>
          </cell>
          <cell r="N181">
            <v>1</v>
          </cell>
        </row>
        <row r="182">
          <cell r="E182" t="str">
            <v>Globe Equity Decree</v>
          </cell>
          <cell r="I182" t="str">
            <v>VV</v>
          </cell>
          <cell r="K182" t="str">
            <v>Pe</v>
          </cell>
          <cell r="M182">
            <v>2.2697946744450701</v>
          </cell>
          <cell r="N182">
            <v>1</v>
          </cell>
        </row>
        <row r="183">
          <cell r="E183" t="str">
            <v>Globe Equity Decree</v>
          </cell>
          <cell r="I183" t="str">
            <v>VV</v>
          </cell>
          <cell r="K183" t="str">
            <v>IPP</v>
          </cell>
          <cell r="M183">
            <v>6.2250737209785401</v>
          </cell>
          <cell r="N183">
            <v>1</v>
          </cell>
        </row>
        <row r="184">
          <cell r="E184" t="str">
            <v>Arizona v California</v>
          </cell>
          <cell r="I184" t="str">
            <v>VV</v>
          </cell>
          <cell r="K184" t="str">
            <v>F</v>
          </cell>
          <cell r="M184">
            <v>11.487504728884</v>
          </cell>
          <cell r="N184">
            <v>4</v>
          </cell>
        </row>
        <row r="185">
          <cell r="E185" t="str">
            <v>Arizona v California</v>
          </cell>
          <cell r="I185" t="str">
            <v>VV</v>
          </cell>
          <cell r="K185" t="str">
            <v>F</v>
          </cell>
          <cell r="M185">
            <v>3.14264337414407</v>
          </cell>
          <cell r="N185">
            <v>4</v>
          </cell>
        </row>
        <row r="186">
          <cell r="E186" t="str">
            <v>Arizona v California</v>
          </cell>
          <cell r="I186" t="str">
            <v>VV</v>
          </cell>
          <cell r="K186" t="str">
            <v>F</v>
          </cell>
          <cell r="M186">
            <v>20.270448342359401</v>
          </cell>
          <cell r="N186">
            <v>4</v>
          </cell>
        </row>
        <row r="187">
          <cell r="E187" t="str">
            <v>Globe Equity Decree</v>
          </cell>
          <cell r="I187" t="str">
            <v>VV</v>
          </cell>
          <cell r="K187" t="str">
            <v>F</v>
          </cell>
          <cell r="M187">
            <v>1.4187458592488</v>
          </cell>
          <cell r="N187">
            <v>4</v>
          </cell>
        </row>
        <row r="188">
          <cell r="E188" t="str">
            <v>Globe Equity Decree</v>
          </cell>
          <cell r="I188" t="str">
            <v>VV</v>
          </cell>
          <cell r="K188" t="str">
            <v>IPP</v>
          </cell>
          <cell r="M188">
            <v>4.5871317832310403</v>
          </cell>
          <cell r="N188">
            <v>1</v>
          </cell>
        </row>
        <row r="189">
          <cell r="E189" t="str">
            <v>Globe Equity Decree</v>
          </cell>
          <cell r="I189" t="str">
            <v>VV</v>
          </cell>
          <cell r="K189" t="str">
            <v>F</v>
          </cell>
          <cell r="M189">
            <v>20.668287597186598</v>
          </cell>
          <cell r="N189">
            <v>4</v>
          </cell>
        </row>
        <row r="190">
          <cell r="E190" t="str">
            <v>Globe Equity Decree</v>
          </cell>
          <cell r="I190" t="str">
            <v>VV</v>
          </cell>
          <cell r="K190" t="str">
            <v>F</v>
          </cell>
          <cell r="M190">
            <v>31.2091269429487</v>
          </cell>
          <cell r="N190">
            <v>4</v>
          </cell>
        </row>
        <row r="191">
          <cell r="E191" t="str">
            <v>Globe Equity Decree</v>
          </cell>
          <cell r="I191" t="str">
            <v>VV</v>
          </cell>
          <cell r="K191" t="str">
            <v>Co</v>
          </cell>
          <cell r="M191">
            <v>35.4805752971698</v>
          </cell>
          <cell r="N191">
            <v>3</v>
          </cell>
        </row>
        <row r="192">
          <cell r="E192" t="str">
            <v>Arizona v California</v>
          </cell>
          <cell r="I192" t="str">
            <v>VV</v>
          </cell>
          <cell r="K192" t="str">
            <v>A</v>
          </cell>
          <cell r="M192">
            <v>3.69119588700819</v>
          </cell>
          <cell r="N192">
            <v>1</v>
          </cell>
        </row>
        <row r="193">
          <cell r="E193" t="str">
            <v>Globe Equity Decree</v>
          </cell>
          <cell r="I193" t="str">
            <v>VV</v>
          </cell>
          <cell r="K193" t="str">
            <v>H</v>
          </cell>
          <cell r="M193">
            <v>31.4305904093899</v>
          </cell>
          <cell r="N193">
            <v>2</v>
          </cell>
        </row>
        <row r="194">
          <cell r="E194" t="str">
            <v>Globe Equity Decree</v>
          </cell>
          <cell r="I194" t="str">
            <v>VV</v>
          </cell>
          <cell r="K194" t="str">
            <v>F</v>
          </cell>
          <cell r="M194">
            <v>6.4525342506901397</v>
          </cell>
          <cell r="N194">
            <v>4</v>
          </cell>
        </row>
        <row r="195">
          <cell r="E195" t="str">
            <v>Globe Equity Decree</v>
          </cell>
          <cell r="I195" t="str">
            <v>VV</v>
          </cell>
          <cell r="K195" t="str">
            <v>F</v>
          </cell>
          <cell r="M195">
            <v>15.782507585461699</v>
          </cell>
          <cell r="N195">
            <v>4</v>
          </cell>
        </row>
        <row r="196">
          <cell r="E196" t="str">
            <v>Globe Equity Decree</v>
          </cell>
          <cell r="I196" t="str">
            <v>VV</v>
          </cell>
          <cell r="K196" t="str">
            <v>Pe</v>
          </cell>
          <cell r="M196">
            <v>0.661472059746262</v>
          </cell>
          <cell r="N196">
            <v>1</v>
          </cell>
        </row>
        <row r="197">
          <cell r="E197" t="str">
            <v>Globe Equity Decree</v>
          </cell>
          <cell r="I197" t="str">
            <v>VV</v>
          </cell>
          <cell r="K197" t="str">
            <v>IPP</v>
          </cell>
          <cell r="M197">
            <v>0.90208567267164297</v>
          </cell>
          <cell r="N197">
            <v>1</v>
          </cell>
        </row>
        <row r="198">
          <cell r="E198" t="str">
            <v>Globe Equity Decree</v>
          </cell>
          <cell r="I198" t="str">
            <v>VV</v>
          </cell>
          <cell r="K198" t="str">
            <v>IPP</v>
          </cell>
          <cell r="M198">
            <v>1.66098420960918</v>
          </cell>
          <cell r="N198">
            <v>1</v>
          </cell>
        </row>
        <row r="199">
          <cell r="E199" t="str">
            <v>Globe Equity Decree</v>
          </cell>
          <cell r="I199" t="str">
            <v>VV</v>
          </cell>
          <cell r="K199" t="str">
            <v>IPP</v>
          </cell>
          <cell r="M199">
            <v>1.55577989491599</v>
          </cell>
          <cell r="N199">
            <v>1</v>
          </cell>
        </row>
        <row r="200">
          <cell r="E200" t="str">
            <v>Globe Equity Decree</v>
          </cell>
          <cell r="I200" t="str">
            <v>VV</v>
          </cell>
          <cell r="K200" t="str">
            <v>IPP</v>
          </cell>
          <cell r="M200">
            <v>14.8538114269153</v>
          </cell>
          <cell r="N200">
            <v>1</v>
          </cell>
        </row>
        <row r="201">
          <cell r="E201" t="str">
            <v>Globe Equity Decree</v>
          </cell>
          <cell r="I201" t="str">
            <v>VV</v>
          </cell>
          <cell r="K201" t="str">
            <v>IPP</v>
          </cell>
          <cell r="M201">
            <v>4.30733616511215</v>
          </cell>
          <cell r="N201">
            <v>1</v>
          </cell>
        </row>
        <row r="202">
          <cell r="E202" t="str">
            <v>Globe Equity Decree</v>
          </cell>
          <cell r="I202" t="str">
            <v>VV</v>
          </cell>
          <cell r="K202" t="str">
            <v>IPP</v>
          </cell>
          <cell r="M202">
            <v>13.630023332705999</v>
          </cell>
          <cell r="N202">
            <v>1</v>
          </cell>
        </row>
        <row r="203">
          <cell r="E203" t="str">
            <v>Globe Equity Decree</v>
          </cell>
          <cell r="I203" t="str">
            <v>VV</v>
          </cell>
          <cell r="K203" t="str">
            <v>Res,W</v>
          </cell>
          <cell r="M203">
            <v>0.96094632609354802</v>
          </cell>
          <cell r="N203">
            <v>4</v>
          </cell>
        </row>
        <row r="204">
          <cell r="E204" t="str">
            <v>Globe Equity Decree</v>
          </cell>
          <cell r="I204" t="str">
            <v>VV</v>
          </cell>
          <cell r="K204" t="str">
            <v>IPP</v>
          </cell>
          <cell r="M204">
            <v>19.447613400602201</v>
          </cell>
          <cell r="N204">
            <v>1</v>
          </cell>
        </row>
        <row r="205">
          <cell r="E205" t="str">
            <v>Globe Equity Decree</v>
          </cell>
          <cell r="I205" t="str">
            <v>VV</v>
          </cell>
          <cell r="K205" t="str">
            <v>IPP</v>
          </cell>
          <cell r="M205">
            <v>3.0598279602673299</v>
          </cell>
          <cell r="N205">
            <v>1</v>
          </cell>
        </row>
        <row r="206">
          <cell r="E206" t="str">
            <v>Globe Equity Decree</v>
          </cell>
          <cell r="I206" t="str">
            <v>VV</v>
          </cell>
          <cell r="K206" t="str">
            <v>IPP</v>
          </cell>
          <cell r="M206">
            <v>4.4734660632551302</v>
          </cell>
          <cell r="N206">
            <v>1</v>
          </cell>
        </row>
        <row r="207">
          <cell r="E207" t="str">
            <v>Globe Equity Decree</v>
          </cell>
          <cell r="I207" t="str">
            <v>VV</v>
          </cell>
          <cell r="K207" t="str">
            <v>IPP</v>
          </cell>
          <cell r="M207">
            <v>4.3029460746196602</v>
          </cell>
          <cell r="N207">
            <v>1</v>
          </cell>
        </row>
        <row r="208">
          <cell r="E208" t="str">
            <v>Globe Equity Decree</v>
          </cell>
          <cell r="I208" t="str">
            <v>VV</v>
          </cell>
          <cell r="K208" t="str">
            <v>F</v>
          </cell>
          <cell r="M208">
            <v>33.617808062416202</v>
          </cell>
          <cell r="N208">
            <v>4</v>
          </cell>
        </row>
        <row r="209">
          <cell r="E209" t="str">
            <v>Globe Equity Decree</v>
          </cell>
          <cell r="I209" t="str">
            <v>VV</v>
          </cell>
          <cell r="K209" t="str">
            <v>IPP</v>
          </cell>
          <cell r="M209">
            <v>26.2672099221347</v>
          </cell>
          <cell r="N209">
            <v>1</v>
          </cell>
        </row>
        <row r="210">
          <cell r="E210" t="str">
            <v>Globe Equity Decree</v>
          </cell>
          <cell r="I210" t="str">
            <v>VV</v>
          </cell>
          <cell r="K210" t="str">
            <v>IPP</v>
          </cell>
          <cell r="M210">
            <v>6.1591818828760196</v>
          </cell>
          <cell r="N210">
            <v>1</v>
          </cell>
        </row>
        <row r="211">
          <cell r="E211" t="str">
            <v>Globe Equity Decree</v>
          </cell>
          <cell r="I211" t="str">
            <v>VV</v>
          </cell>
          <cell r="K211" t="str">
            <v>F</v>
          </cell>
          <cell r="M211">
            <v>6.1532808220642803</v>
          </cell>
          <cell r="N211">
            <v>4</v>
          </cell>
        </row>
        <row r="212">
          <cell r="E212" t="str">
            <v>Globe Equity Decree</v>
          </cell>
          <cell r="I212" t="str">
            <v>VV</v>
          </cell>
          <cell r="K212" t="str">
            <v>IPP</v>
          </cell>
          <cell r="M212">
            <v>1.26340406982333</v>
          </cell>
          <cell r="N212">
            <v>2</v>
          </cell>
        </row>
        <row r="213">
          <cell r="E213" t="str">
            <v>Globe Equity Decree</v>
          </cell>
          <cell r="I213" t="str">
            <v>VV</v>
          </cell>
          <cell r="K213" t="str">
            <v>IPP</v>
          </cell>
          <cell r="M213">
            <v>1.1392079624971201</v>
          </cell>
          <cell r="N213">
            <v>1</v>
          </cell>
        </row>
        <row r="214">
          <cell r="E214" t="str">
            <v>Globe Equity Decree</v>
          </cell>
          <cell r="I214" t="str">
            <v>VV</v>
          </cell>
          <cell r="K214" t="str">
            <v>IPP</v>
          </cell>
          <cell r="M214">
            <v>1.2599414435320699</v>
          </cell>
          <cell r="N214">
            <v>1</v>
          </cell>
        </row>
        <row r="215">
          <cell r="E215" t="str">
            <v>Globe Equity Decree</v>
          </cell>
          <cell r="I215" t="str">
            <v>VV</v>
          </cell>
          <cell r="K215" t="str">
            <v>IPP</v>
          </cell>
          <cell r="M215">
            <v>6.00597820466266</v>
          </cell>
          <cell r="N215">
            <v>1</v>
          </cell>
        </row>
        <row r="216">
          <cell r="E216" t="str">
            <v>Globe Equity Decree</v>
          </cell>
          <cell r="I216" t="str">
            <v>VV</v>
          </cell>
          <cell r="K216" t="str">
            <v>IPP</v>
          </cell>
          <cell r="M216">
            <v>16.9106515058653</v>
          </cell>
          <cell r="N216">
            <v>1</v>
          </cell>
        </row>
        <row r="217">
          <cell r="E217" t="str">
            <v>Globe Equity Decree</v>
          </cell>
          <cell r="I217" t="str">
            <v>VV</v>
          </cell>
          <cell r="K217" t="str">
            <v>IPP</v>
          </cell>
          <cell r="M217">
            <v>6.2588185748076803</v>
          </cell>
          <cell r="N217">
            <v>1</v>
          </cell>
        </row>
        <row r="218">
          <cell r="E218" t="str">
            <v>Globe Equity Decree</v>
          </cell>
          <cell r="I218" t="str">
            <v>VV</v>
          </cell>
          <cell r="K218" t="str">
            <v>Ct</v>
          </cell>
          <cell r="M218">
            <v>0.333593053220816</v>
          </cell>
          <cell r="N218">
            <v>1</v>
          </cell>
        </row>
        <row r="219">
          <cell r="E219" t="str">
            <v>Globe Equity Decree</v>
          </cell>
          <cell r="I219" t="str">
            <v>VV</v>
          </cell>
          <cell r="K219" t="str">
            <v>F</v>
          </cell>
          <cell r="M219">
            <v>1.61422213040944</v>
          </cell>
          <cell r="N219">
            <v>4</v>
          </cell>
        </row>
        <row r="220">
          <cell r="E220" t="str">
            <v>Globe Equity Decree</v>
          </cell>
          <cell r="I220" t="str">
            <v>VV</v>
          </cell>
          <cell r="K220" t="str">
            <v>Ct</v>
          </cell>
          <cell r="M220">
            <v>2.2191495763561702</v>
          </cell>
          <cell r="N220">
            <v>1</v>
          </cell>
        </row>
        <row r="221">
          <cell r="E221" t="str">
            <v>Globe Equity Decree</v>
          </cell>
          <cell r="I221" t="str">
            <v>VV</v>
          </cell>
          <cell r="K221" t="str">
            <v>F</v>
          </cell>
          <cell r="M221">
            <v>7.6672311222630896</v>
          </cell>
          <cell r="N221">
            <v>4</v>
          </cell>
        </row>
        <row r="222">
          <cell r="E222" t="str">
            <v>Globe Equity Decree</v>
          </cell>
          <cell r="I222" t="str">
            <v>VV</v>
          </cell>
          <cell r="K222" t="str">
            <v>F</v>
          </cell>
          <cell r="M222">
            <v>2.4150047437836299</v>
          </cell>
          <cell r="N222">
            <v>4</v>
          </cell>
        </row>
        <row r="223">
          <cell r="E223" t="str">
            <v>Globe Equity Decree</v>
          </cell>
          <cell r="I223" t="str">
            <v>VV</v>
          </cell>
          <cell r="K223" t="str">
            <v>Cs</v>
          </cell>
          <cell r="M223">
            <v>19.9126234643416</v>
          </cell>
          <cell r="N223">
            <v>1</v>
          </cell>
        </row>
        <row r="224">
          <cell r="E224" t="str">
            <v>Globe Equity Decree</v>
          </cell>
          <cell r="I224" t="str">
            <v>VV</v>
          </cell>
          <cell r="K224" t="str">
            <v>Cs</v>
          </cell>
          <cell r="M224">
            <v>17.287799651589999</v>
          </cell>
          <cell r="N224">
            <v>1</v>
          </cell>
        </row>
        <row r="225">
          <cell r="E225" t="str">
            <v>Globe Equity Decree</v>
          </cell>
          <cell r="I225" t="str">
            <v>VV</v>
          </cell>
          <cell r="K225" t="str">
            <v>Co</v>
          </cell>
          <cell r="M225">
            <v>8.0509925771009598</v>
          </cell>
          <cell r="N225">
            <v>1</v>
          </cell>
        </row>
        <row r="226">
          <cell r="E226" t="str">
            <v>Globe Equity Decree</v>
          </cell>
          <cell r="I226" t="str">
            <v>VV</v>
          </cell>
          <cell r="K226" t="str">
            <v>Cs</v>
          </cell>
          <cell r="M226">
            <v>14.327912771106201</v>
          </cell>
          <cell r="N226">
            <v>1</v>
          </cell>
        </row>
        <row r="227">
          <cell r="E227" t="str">
            <v>Arizona v California</v>
          </cell>
          <cell r="I227" t="str">
            <v>VV</v>
          </cell>
          <cell r="K227" t="str">
            <v>F</v>
          </cell>
          <cell r="M227">
            <v>3.8805467755609699</v>
          </cell>
          <cell r="N227">
            <v>4</v>
          </cell>
        </row>
        <row r="228">
          <cell r="E228" t="str">
            <v>Globe Equity Decree</v>
          </cell>
          <cell r="I228" t="str">
            <v>VV</v>
          </cell>
          <cell r="K228" t="str">
            <v>F</v>
          </cell>
          <cell r="M228">
            <v>19.7065687656096</v>
          </cell>
          <cell r="N228">
            <v>4</v>
          </cell>
        </row>
        <row r="229">
          <cell r="E229" t="str">
            <v>Globe Equity Decree</v>
          </cell>
          <cell r="I229" t="str">
            <v>VV</v>
          </cell>
          <cell r="K229" t="str">
            <v>F</v>
          </cell>
          <cell r="M229">
            <v>26.351191182545399</v>
          </cell>
          <cell r="N229">
            <v>4</v>
          </cell>
        </row>
        <row r="230">
          <cell r="E230" t="str">
            <v>Arizona v California</v>
          </cell>
          <cell r="I230" t="str">
            <v>VV</v>
          </cell>
          <cell r="K230" t="str">
            <v>IPP</v>
          </cell>
          <cell r="M230">
            <v>10.7395146650419</v>
          </cell>
          <cell r="N230">
            <v>1</v>
          </cell>
        </row>
        <row r="231">
          <cell r="E231" t="str">
            <v>Globe Equity Decree</v>
          </cell>
          <cell r="I231" t="str">
            <v>VV</v>
          </cell>
          <cell r="K231" t="str">
            <v>AN</v>
          </cell>
          <cell r="M231">
            <v>10.2236193014141</v>
          </cell>
          <cell r="N231">
            <v>1</v>
          </cell>
        </row>
        <row r="232">
          <cell r="E232" t="str">
            <v>Globe Equity Decree</v>
          </cell>
          <cell r="I232" t="str">
            <v>VV</v>
          </cell>
          <cell r="K232" t="str">
            <v>AN</v>
          </cell>
          <cell r="M232">
            <v>18.443240637932298</v>
          </cell>
          <cell r="N232">
            <v>1</v>
          </cell>
        </row>
        <row r="233">
          <cell r="E233" t="str">
            <v>Globe Equity Decree</v>
          </cell>
          <cell r="I233" t="str">
            <v>VV</v>
          </cell>
          <cell r="K233" t="str">
            <v>F</v>
          </cell>
          <cell r="M233">
            <v>11.3042701419878</v>
          </cell>
          <cell r="N233">
            <v>4</v>
          </cell>
        </row>
        <row r="234">
          <cell r="E234" t="str">
            <v>Globe Equity Decree</v>
          </cell>
          <cell r="I234" t="str">
            <v>VV</v>
          </cell>
          <cell r="K234" t="str">
            <v>Co</v>
          </cell>
          <cell r="M234">
            <v>14.9184143868008</v>
          </cell>
          <cell r="N234">
            <v>1</v>
          </cell>
        </row>
        <row r="235">
          <cell r="E235" t="str">
            <v>Globe Equity Decree</v>
          </cell>
          <cell r="I235" t="str">
            <v>VV</v>
          </cell>
          <cell r="K235" t="str">
            <v>Co</v>
          </cell>
          <cell r="M235">
            <v>7.7545822989534301</v>
          </cell>
          <cell r="N235">
            <v>1</v>
          </cell>
        </row>
        <row r="236">
          <cell r="E236" t="str">
            <v>Globe Equity Decree</v>
          </cell>
          <cell r="I236" t="str">
            <v>VV</v>
          </cell>
          <cell r="K236" t="str">
            <v>Co</v>
          </cell>
          <cell r="M236">
            <v>3.3113953364693902</v>
          </cell>
          <cell r="N236">
            <v>1</v>
          </cell>
        </row>
        <row r="237">
          <cell r="E237" t="str">
            <v>Globe Equity Decree</v>
          </cell>
          <cell r="I237" t="str">
            <v>VV</v>
          </cell>
          <cell r="K237" t="str">
            <v>F</v>
          </cell>
          <cell r="M237">
            <v>0.80945320975986101</v>
          </cell>
          <cell r="N237">
            <v>4</v>
          </cell>
        </row>
        <row r="238">
          <cell r="E238" t="str">
            <v>Globe Equity Decree</v>
          </cell>
          <cell r="I238" t="str">
            <v>VV</v>
          </cell>
          <cell r="K238" t="str">
            <v>F</v>
          </cell>
          <cell r="M238">
            <v>0.25253667067339802</v>
          </cell>
          <cell r="N238">
            <v>4</v>
          </cell>
        </row>
        <row r="239">
          <cell r="E239" t="str">
            <v>Globe Equity Decree</v>
          </cell>
          <cell r="I239" t="str">
            <v>VV</v>
          </cell>
          <cell r="K239" t="str">
            <v>F</v>
          </cell>
          <cell r="M239">
            <v>0.30595326905848502</v>
          </cell>
          <cell r="N239">
            <v>4</v>
          </cell>
        </row>
        <row r="240">
          <cell r="E240" t="str">
            <v>Globe Equity Decree</v>
          </cell>
          <cell r="I240" t="str">
            <v>VV</v>
          </cell>
          <cell r="K240" t="str">
            <v>F</v>
          </cell>
          <cell r="M240">
            <v>1.15399784601839</v>
          </cell>
          <cell r="N240">
            <v>4</v>
          </cell>
        </row>
        <row r="241">
          <cell r="E241" t="str">
            <v>Globe Equity Decree</v>
          </cell>
          <cell r="I241" t="str">
            <v>VV</v>
          </cell>
          <cell r="K241" t="str">
            <v>Cs</v>
          </cell>
          <cell r="M241">
            <v>15.224449717499899</v>
          </cell>
          <cell r="N241">
            <v>1</v>
          </cell>
        </row>
        <row r="242">
          <cell r="E242" t="str">
            <v>Globe Equity Decree</v>
          </cell>
          <cell r="I242" t="str">
            <v>VV</v>
          </cell>
          <cell r="K242" t="str">
            <v>Co</v>
          </cell>
          <cell r="M242">
            <v>6.6414484531606899</v>
          </cell>
          <cell r="N242">
            <v>1</v>
          </cell>
        </row>
        <row r="243">
          <cell r="E243" t="str">
            <v>Globe Equity Decree</v>
          </cell>
          <cell r="I243" t="str">
            <v>VV</v>
          </cell>
          <cell r="K243" t="str">
            <v>Co</v>
          </cell>
          <cell r="M243">
            <v>11.411176707692899</v>
          </cell>
          <cell r="N243">
            <v>1</v>
          </cell>
        </row>
        <row r="244">
          <cell r="E244" t="str">
            <v>Globe Equity Decree</v>
          </cell>
          <cell r="I244" t="str">
            <v>VV</v>
          </cell>
          <cell r="K244" t="str">
            <v>H</v>
          </cell>
          <cell r="M244">
            <v>7.1840601371725699</v>
          </cell>
          <cell r="N244">
            <v>1</v>
          </cell>
        </row>
        <row r="245">
          <cell r="E245" t="str">
            <v>Globe Equity Decree</v>
          </cell>
          <cell r="I245" t="str">
            <v>VV</v>
          </cell>
          <cell r="K245" t="str">
            <v>F</v>
          </cell>
          <cell r="M245">
            <v>2.0308461532321398</v>
          </cell>
          <cell r="N245">
            <v>4</v>
          </cell>
        </row>
        <row r="246">
          <cell r="E246" t="str">
            <v>Globe Equity Decree</v>
          </cell>
          <cell r="I246" t="str">
            <v>VV</v>
          </cell>
          <cell r="K246" t="str">
            <v>F</v>
          </cell>
          <cell r="M246">
            <v>0.70273654774986305</v>
          </cell>
          <cell r="N246">
            <v>4</v>
          </cell>
        </row>
        <row r="247">
          <cell r="E247" t="str">
            <v>Globe Equity Decree</v>
          </cell>
          <cell r="I247" t="str">
            <v>VV</v>
          </cell>
          <cell r="K247" t="str">
            <v>F</v>
          </cell>
          <cell r="M247">
            <v>6.9095462223075197</v>
          </cell>
          <cell r="N247">
            <v>4</v>
          </cell>
        </row>
        <row r="248">
          <cell r="E248" t="str">
            <v>Globe Equity Decree</v>
          </cell>
          <cell r="I248" t="str">
            <v>VV</v>
          </cell>
          <cell r="K248" t="str">
            <v>Res,D</v>
          </cell>
          <cell r="M248">
            <v>0.37265839440589599</v>
          </cell>
          <cell r="N248">
            <v>4</v>
          </cell>
        </row>
        <row r="249">
          <cell r="E249" t="str">
            <v>Globe Equity Decree</v>
          </cell>
          <cell r="I249" t="str">
            <v>VV</v>
          </cell>
          <cell r="K249" t="str">
            <v>Cs</v>
          </cell>
          <cell r="M249">
            <v>9.4281199419485606</v>
          </cell>
          <cell r="N249">
            <v>1</v>
          </cell>
        </row>
        <row r="250">
          <cell r="E250" t="str">
            <v>Globe Equity Decree</v>
          </cell>
          <cell r="I250" t="str">
            <v>VV</v>
          </cell>
          <cell r="K250" t="str">
            <v>H</v>
          </cell>
          <cell r="M250">
            <v>14.354131220836599</v>
          </cell>
          <cell r="N250">
            <v>1</v>
          </cell>
        </row>
        <row r="251">
          <cell r="E251" t="str">
            <v>Globe Equity Decree</v>
          </cell>
          <cell r="I251" t="str">
            <v>VV</v>
          </cell>
          <cell r="K251" t="str">
            <v>H</v>
          </cell>
          <cell r="M251">
            <v>9.1915994046220799</v>
          </cell>
          <cell r="N251">
            <v>1</v>
          </cell>
        </row>
        <row r="252">
          <cell r="E252" t="str">
            <v>Globe Equity Decree</v>
          </cell>
          <cell r="I252" t="str">
            <v>VV</v>
          </cell>
          <cell r="K252" t="str">
            <v>IPP</v>
          </cell>
          <cell r="M252">
            <v>5.6428683420348804</v>
          </cell>
          <cell r="N252">
            <v>1</v>
          </cell>
        </row>
        <row r="253">
          <cell r="E253" t="str">
            <v>Globe Equity Decree</v>
          </cell>
          <cell r="I253" t="str">
            <v>VV</v>
          </cell>
          <cell r="K253" t="str">
            <v>IPP</v>
          </cell>
          <cell r="M253">
            <v>1.3236605478447101</v>
          </cell>
          <cell r="N253">
            <v>1</v>
          </cell>
        </row>
        <row r="254">
          <cell r="E254" t="str">
            <v>Globe Equity Decree</v>
          </cell>
          <cell r="I254" t="str">
            <v>VV</v>
          </cell>
          <cell r="K254" t="str">
            <v>IPP</v>
          </cell>
          <cell r="M254">
            <v>3.8341813881639801</v>
          </cell>
          <cell r="N254">
            <v>1</v>
          </cell>
        </row>
        <row r="255">
          <cell r="E255" t="str">
            <v>Globe Equity Decree</v>
          </cell>
          <cell r="I255" t="str">
            <v>VV</v>
          </cell>
          <cell r="K255" t="str">
            <v>Pi</v>
          </cell>
          <cell r="M255">
            <v>2.2540968094963798</v>
          </cell>
          <cell r="N255">
            <v>1</v>
          </cell>
        </row>
        <row r="256">
          <cell r="E256" t="str">
            <v>Globe Equity Decree</v>
          </cell>
          <cell r="I256" t="str">
            <v>VV</v>
          </cell>
          <cell r="K256" t="str">
            <v>F</v>
          </cell>
          <cell r="M256">
            <v>1.2092511693825101</v>
          </cell>
          <cell r="N256">
            <v>4</v>
          </cell>
        </row>
        <row r="257">
          <cell r="E257" t="str">
            <v>Globe Equity Decree</v>
          </cell>
          <cell r="I257" t="str">
            <v>VV</v>
          </cell>
          <cell r="K257" t="str">
            <v>IPP</v>
          </cell>
          <cell r="M257">
            <v>13.825141109876499</v>
          </cell>
          <cell r="N257">
            <v>1</v>
          </cell>
        </row>
        <row r="258">
          <cell r="E258" t="str">
            <v>Globe Equity Decree</v>
          </cell>
          <cell r="I258" t="str">
            <v>VV</v>
          </cell>
          <cell r="K258" t="str">
            <v>A</v>
          </cell>
          <cell r="M258">
            <v>4.3914431596271797</v>
          </cell>
          <cell r="N258">
            <v>1</v>
          </cell>
        </row>
        <row r="259">
          <cell r="E259" t="str">
            <v>Globe Equity Decree</v>
          </cell>
          <cell r="I259" t="str">
            <v>VV</v>
          </cell>
          <cell r="K259" t="str">
            <v>A</v>
          </cell>
          <cell r="M259">
            <v>9.6778166549350697</v>
          </cell>
          <cell r="N259">
            <v>1</v>
          </cell>
        </row>
        <row r="260">
          <cell r="E260" t="str">
            <v>Globe Equity Decree</v>
          </cell>
          <cell r="I260" t="str">
            <v>VV</v>
          </cell>
          <cell r="K260" t="str">
            <v>A</v>
          </cell>
          <cell r="M260">
            <v>6.4914896895261904</v>
          </cell>
          <cell r="N260">
            <v>1</v>
          </cell>
        </row>
        <row r="261">
          <cell r="E261" t="str">
            <v>Globe Equity Decree</v>
          </cell>
          <cell r="I261" t="str">
            <v>VV</v>
          </cell>
          <cell r="K261" t="str">
            <v>F</v>
          </cell>
          <cell r="M261">
            <v>1.11101748231179</v>
          </cell>
          <cell r="N261">
            <v>4</v>
          </cell>
        </row>
        <row r="262">
          <cell r="E262" t="str">
            <v>Globe Equity Decree</v>
          </cell>
          <cell r="I262" t="str">
            <v>VV</v>
          </cell>
          <cell r="K262" t="str">
            <v>F</v>
          </cell>
          <cell r="M262">
            <v>0.307365401336195</v>
          </cell>
          <cell r="N262">
            <v>4</v>
          </cell>
        </row>
        <row r="263">
          <cell r="E263" t="str">
            <v>Globe Equity Decree</v>
          </cell>
          <cell r="I263" t="str">
            <v>VV</v>
          </cell>
          <cell r="K263" t="str">
            <v>F</v>
          </cell>
          <cell r="M263">
            <v>0.15002927443108599</v>
          </cell>
          <cell r="N263">
            <v>4</v>
          </cell>
        </row>
        <row r="264">
          <cell r="E264" t="str">
            <v>Globe Equity Decree</v>
          </cell>
          <cell r="I264" t="str">
            <v>VV</v>
          </cell>
          <cell r="K264" t="str">
            <v>F</v>
          </cell>
          <cell r="M264">
            <v>0.87236870588870297</v>
          </cell>
          <cell r="N264">
            <v>4</v>
          </cell>
        </row>
        <row r="265">
          <cell r="E265" t="str">
            <v>Globe Equity Decree</v>
          </cell>
          <cell r="I265" t="str">
            <v>VV</v>
          </cell>
          <cell r="K265" t="str">
            <v>F</v>
          </cell>
          <cell r="M265">
            <v>0.68042611001155295</v>
          </cell>
          <cell r="N265">
            <v>4</v>
          </cell>
        </row>
        <row r="266">
          <cell r="E266" t="str">
            <v>Globe Equity Decree</v>
          </cell>
          <cell r="I266" t="str">
            <v>VV</v>
          </cell>
          <cell r="K266" t="str">
            <v>F</v>
          </cell>
          <cell r="M266">
            <v>0.64052650189379101</v>
          </cell>
          <cell r="N266">
            <v>4</v>
          </cell>
        </row>
        <row r="267">
          <cell r="E267" t="str">
            <v>Globe Equity Decree</v>
          </cell>
          <cell r="I267" t="str">
            <v>VV</v>
          </cell>
          <cell r="K267" t="str">
            <v>F</v>
          </cell>
          <cell r="M267">
            <v>0.17253250435255299</v>
          </cell>
          <cell r="N267">
            <v>4</v>
          </cell>
        </row>
        <row r="268">
          <cell r="E268" t="str">
            <v>Globe Equity Decree</v>
          </cell>
          <cell r="I268" t="str">
            <v>VV</v>
          </cell>
          <cell r="K268" t="str">
            <v>F</v>
          </cell>
          <cell r="M268">
            <v>0.24829558343241501</v>
          </cell>
          <cell r="N268">
            <v>4</v>
          </cell>
        </row>
        <row r="269">
          <cell r="E269" t="str">
            <v>Globe Equity Decree</v>
          </cell>
          <cell r="I269" t="str">
            <v>VV</v>
          </cell>
          <cell r="K269" t="str">
            <v>F</v>
          </cell>
          <cell r="M269">
            <v>1.66628724972179</v>
          </cell>
          <cell r="N269">
            <v>4</v>
          </cell>
        </row>
        <row r="270">
          <cell r="E270" t="str">
            <v>Globe Equity Decree</v>
          </cell>
          <cell r="I270" t="str">
            <v>VV</v>
          </cell>
          <cell r="K270" t="str">
            <v>F</v>
          </cell>
          <cell r="M270">
            <v>0.70947766495239095</v>
          </cell>
          <cell r="N270">
            <v>4</v>
          </cell>
        </row>
        <row r="271">
          <cell r="E271" t="str">
            <v>Globe Equity Decree</v>
          </cell>
          <cell r="I271" t="str">
            <v>VV</v>
          </cell>
          <cell r="K271" t="str">
            <v>F</v>
          </cell>
          <cell r="M271">
            <v>5.0475496169195297</v>
          </cell>
          <cell r="N271">
            <v>4</v>
          </cell>
        </row>
        <row r="272">
          <cell r="E272" t="str">
            <v>Globe Equity Decree</v>
          </cell>
          <cell r="I272" t="str">
            <v>VV</v>
          </cell>
          <cell r="K272" t="str">
            <v>F</v>
          </cell>
          <cell r="M272">
            <v>0.48692483078454701</v>
          </cell>
          <cell r="N272">
            <v>4</v>
          </cell>
        </row>
        <row r="273">
          <cell r="E273" t="str">
            <v>Globe Equity Decree</v>
          </cell>
          <cell r="I273" t="str">
            <v>VV</v>
          </cell>
          <cell r="K273" t="str">
            <v>F</v>
          </cell>
          <cell r="M273">
            <v>0.703336586682622</v>
          </cell>
          <cell r="N273">
            <v>4</v>
          </cell>
        </row>
        <row r="274">
          <cell r="E274" t="str">
            <v>Globe Equity Decree</v>
          </cell>
          <cell r="I274" t="str">
            <v>VV</v>
          </cell>
          <cell r="K274" t="str">
            <v>Cs</v>
          </cell>
          <cell r="M274">
            <v>0.357755563491296</v>
          </cell>
          <cell r="N274">
            <v>1</v>
          </cell>
        </row>
        <row r="275">
          <cell r="E275" t="str">
            <v>Globe Equity Decree</v>
          </cell>
          <cell r="I275" t="str">
            <v>VV</v>
          </cell>
          <cell r="K275" t="str">
            <v>F</v>
          </cell>
          <cell r="M275">
            <v>0.483770073578634</v>
          </cell>
          <cell r="N275">
            <v>4</v>
          </cell>
        </row>
        <row r="276">
          <cell r="E276" t="str">
            <v>Globe Equity Decree</v>
          </cell>
          <cell r="I276" t="str">
            <v>VV</v>
          </cell>
          <cell r="K276" t="str">
            <v>IPP</v>
          </cell>
          <cell r="M276">
            <v>2.61165084227172</v>
          </cell>
          <cell r="N276">
            <v>1</v>
          </cell>
        </row>
        <row r="277">
          <cell r="E277" t="str">
            <v>Globe Equity Decree</v>
          </cell>
          <cell r="I277" t="str">
            <v>VV</v>
          </cell>
          <cell r="K277" t="str">
            <v>IPP</v>
          </cell>
          <cell r="M277">
            <v>0.45820376277540797</v>
          </cell>
          <cell r="N277">
            <v>2</v>
          </cell>
        </row>
        <row r="278">
          <cell r="E278" t="str">
            <v>Globe Equity Decree</v>
          </cell>
          <cell r="I278" t="str">
            <v>VV</v>
          </cell>
          <cell r="K278" t="str">
            <v>IPP</v>
          </cell>
          <cell r="M278">
            <v>2.5753744732718098</v>
          </cell>
          <cell r="N278">
            <v>2</v>
          </cell>
        </row>
        <row r="279">
          <cell r="E279" t="str">
            <v>Globe Equity Decree</v>
          </cell>
          <cell r="I279" t="str">
            <v>VV</v>
          </cell>
          <cell r="K279" t="str">
            <v>IPP</v>
          </cell>
          <cell r="M279">
            <v>0.51421741169694801</v>
          </cell>
          <cell r="N279">
            <v>2</v>
          </cell>
        </row>
        <row r="280">
          <cell r="E280" t="str">
            <v>Globe Equity Decree</v>
          </cell>
          <cell r="I280" t="str">
            <v>VV</v>
          </cell>
          <cell r="K280" t="str">
            <v>F</v>
          </cell>
          <cell r="M280">
            <v>0.39146396338998102</v>
          </cell>
          <cell r="N280">
            <v>4</v>
          </cell>
        </row>
        <row r="281">
          <cell r="E281" t="str">
            <v>Globe Equity Decree</v>
          </cell>
          <cell r="I281" t="str">
            <v>VV</v>
          </cell>
          <cell r="K281" t="str">
            <v>A</v>
          </cell>
          <cell r="M281">
            <v>5.30346443120599</v>
          </cell>
          <cell r="N281">
            <v>1</v>
          </cell>
        </row>
        <row r="282">
          <cell r="E282" t="str">
            <v>Globe Equity Decree</v>
          </cell>
          <cell r="I282" t="str">
            <v>VV</v>
          </cell>
          <cell r="K282" t="str">
            <v>Co</v>
          </cell>
          <cell r="M282">
            <v>62.060916325771103</v>
          </cell>
          <cell r="N282">
            <v>1</v>
          </cell>
        </row>
        <row r="283">
          <cell r="E283" t="str">
            <v>Globe Equity Decree</v>
          </cell>
          <cell r="I283" t="str">
            <v>VV</v>
          </cell>
          <cell r="K283" t="str">
            <v>F</v>
          </cell>
          <cell r="M283">
            <v>21.0550748477377</v>
          </cell>
          <cell r="N283">
            <v>4</v>
          </cell>
        </row>
        <row r="284">
          <cell r="E284" t="str">
            <v>Globe Equity Decree</v>
          </cell>
          <cell r="I284" t="str">
            <v>VV</v>
          </cell>
          <cell r="K284" t="str">
            <v>F</v>
          </cell>
          <cell r="M284">
            <v>1.98064413187821</v>
          </cell>
          <cell r="N284">
            <v>4</v>
          </cell>
        </row>
        <row r="285">
          <cell r="E285" t="str">
            <v>Globe Equity Decree</v>
          </cell>
          <cell r="I285" t="str">
            <v>VV</v>
          </cell>
          <cell r="K285" t="str">
            <v>Pe</v>
          </cell>
          <cell r="M285">
            <v>1.5870461420864399</v>
          </cell>
          <cell r="N285">
            <v>1</v>
          </cell>
        </row>
        <row r="286">
          <cell r="E286" t="str">
            <v>Globe Equity Decree</v>
          </cell>
          <cell r="I286" t="str">
            <v>VV</v>
          </cell>
          <cell r="K286" t="str">
            <v>Pe</v>
          </cell>
          <cell r="M286">
            <v>1.6795985933673501</v>
          </cell>
          <cell r="N286">
            <v>1</v>
          </cell>
        </row>
        <row r="287">
          <cell r="E287" t="str">
            <v>Globe Equity Decree</v>
          </cell>
          <cell r="I287" t="str">
            <v>VV</v>
          </cell>
          <cell r="K287" t="str">
            <v>F</v>
          </cell>
          <cell r="M287">
            <v>2.1681089923721202</v>
          </cell>
          <cell r="N287">
            <v>4</v>
          </cell>
        </row>
        <row r="288">
          <cell r="E288" t="str">
            <v>Globe Equity Decree</v>
          </cell>
          <cell r="I288" t="str">
            <v>VV</v>
          </cell>
          <cell r="K288" t="str">
            <v>A</v>
          </cell>
          <cell r="M288">
            <v>11.3429825645253</v>
          </cell>
          <cell r="N288">
            <v>1</v>
          </cell>
        </row>
        <row r="289">
          <cell r="E289" t="str">
            <v>Globe Equity Decree</v>
          </cell>
          <cell r="I289" t="str">
            <v>VV</v>
          </cell>
          <cell r="K289" t="str">
            <v>H</v>
          </cell>
          <cell r="M289">
            <v>16.043121678629099</v>
          </cell>
          <cell r="N289">
            <v>1</v>
          </cell>
        </row>
        <row r="290">
          <cell r="E290" t="str">
            <v>Globe Equity Decree</v>
          </cell>
          <cell r="I290" t="str">
            <v>VV</v>
          </cell>
          <cell r="K290" t="str">
            <v>Pe</v>
          </cell>
          <cell r="M290">
            <v>0.402450046169405</v>
          </cell>
          <cell r="N290">
            <v>1</v>
          </cell>
        </row>
        <row r="291">
          <cell r="E291" t="str">
            <v>Globe Equity Decree</v>
          </cell>
          <cell r="I291" t="str">
            <v>VV</v>
          </cell>
          <cell r="K291" t="str">
            <v>Pe</v>
          </cell>
          <cell r="M291">
            <v>1.1898623082519899</v>
          </cell>
          <cell r="N291">
            <v>1</v>
          </cell>
        </row>
        <row r="292">
          <cell r="E292" t="str">
            <v>Arizona v California</v>
          </cell>
          <cell r="I292" t="str">
            <v>VV</v>
          </cell>
          <cell r="K292" t="str">
            <v>Pe</v>
          </cell>
          <cell r="M292">
            <v>4.7402802047258499</v>
          </cell>
          <cell r="N292">
            <v>1</v>
          </cell>
        </row>
        <row r="293">
          <cell r="E293" t="str">
            <v>Globe Equity Decree</v>
          </cell>
          <cell r="I293" t="str">
            <v>VV</v>
          </cell>
          <cell r="K293" t="str">
            <v>H</v>
          </cell>
          <cell r="M293">
            <v>11.2861644975236</v>
          </cell>
          <cell r="N293">
            <v>1</v>
          </cell>
        </row>
        <row r="294">
          <cell r="E294" t="str">
            <v>Arizona v California</v>
          </cell>
          <cell r="I294" t="str">
            <v>VV</v>
          </cell>
          <cell r="K294" t="str">
            <v>H</v>
          </cell>
          <cell r="M294">
            <v>3.0683971785819102</v>
          </cell>
          <cell r="N294">
            <v>1</v>
          </cell>
        </row>
        <row r="295">
          <cell r="E295" t="str">
            <v>Globe Equity Decree</v>
          </cell>
          <cell r="I295" t="str">
            <v>VV</v>
          </cell>
          <cell r="K295" t="str">
            <v>A</v>
          </cell>
          <cell r="M295">
            <v>2.3292403170810401</v>
          </cell>
          <cell r="N295">
            <v>1</v>
          </cell>
        </row>
        <row r="296">
          <cell r="E296" t="str">
            <v>Arizona v California</v>
          </cell>
          <cell r="I296" t="str">
            <v>VV</v>
          </cell>
          <cell r="K296" t="str">
            <v>F</v>
          </cell>
          <cell r="M296">
            <v>4.5395254325294401</v>
          </cell>
          <cell r="N296">
            <v>4</v>
          </cell>
        </row>
        <row r="297">
          <cell r="E297" t="str">
            <v>Globe Equity Decree</v>
          </cell>
          <cell r="I297" t="str">
            <v>VV</v>
          </cell>
          <cell r="K297" t="str">
            <v>Cs</v>
          </cell>
          <cell r="M297">
            <v>9.2249779156422004E-2</v>
          </cell>
          <cell r="N297">
            <v>1</v>
          </cell>
        </row>
        <row r="298">
          <cell r="E298" t="str">
            <v>Globe Equity Decree</v>
          </cell>
          <cell r="I298" t="str">
            <v>VV</v>
          </cell>
          <cell r="K298" t="str">
            <v>IPP</v>
          </cell>
          <cell r="M298">
            <v>1.7305781160687199</v>
          </cell>
          <cell r="N298">
            <v>1</v>
          </cell>
        </row>
        <row r="299">
          <cell r="E299" t="str">
            <v>Globe Equity Decree</v>
          </cell>
          <cell r="I299" t="str">
            <v>VV</v>
          </cell>
          <cell r="K299" t="str">
            <v>IPP</v>
          </cell>
          <cell r="M299">
            <v>8.1086288050388493</v>
          </cell>
          <cell r="N299">
            <v>1</v>
          </cell>
        </row>
        <row r="300">
          <cell r="E300" t="str">
            <v>Arizona v California</v>
          </cell>
          <cell r="I300" t="str">
            <v>VV</v>
          </cell>
          <cell r="K300" t="str">
            <v>F</v>
          </cell>
          <cell r="M300">
            <v>0.27546932593088802</v>
          </cell>
          <cell r="N300">
            <v>4</v>
          </cell>
        </row>
        <row r="301">
          <cell r="E301" t="str">
            <v>Arizona v California</v>
          </cell>
          <cell r="I301" t="str">
            <v>VV</v>
          </cell>
          <cell r="K301" t="str">
            <v>F</v>
          </cell>
          <cell r="M301">
            <v>1.11688739795141</v>
          </cell>
          <cell r="N301">
            <v>4</v>
          </cell>
        </row>
        <row r="302">
          <cell r="E302" t="str">
            <v>Globe Equity Decree</v>
          </cell>
          <cell r="I302" t="str">
            <v>VV</v>
          </cell>
          <cell r="K302" t="str">
            <v>Ct</v>
          </cell>
          <cell r="M302">
            <v>1.1080890054691599</v>
          </cell>
          <cell r="N302">
            <v>1</v>
          </cell>
        </row>
        <row r="303">
          <cell r="E303" t="str">
            <v>Globe Equity Decree</v>
          </cell>
          <cell r="I303" t="str">
            <v>VV</v>
          </cell>
          <cell r="K303" t="str">
            <v>IPP</v>
          </cell>
          <cell r="M303">
            <v>0.418980553951245</v>
          </cell>
          <cell r="N303">
            <v>2</v>
          </cell>
        </row>
        <row r="304">
          <cell r="I304" t="str">
            <v>SS</v>
          </cell>
          <cell r="K304" t="str">
            <v>F</v>
          </cell>
          <cell r="M304">
            <v>36.181704256286899</v>
          </cell>
          <cell r="N304">
            <v>4</v>
          </cell>
        </row>
        <row r="305">
          <cell r="I305" t="str">
            <v>SS</v>
          </cell>
          <cell r="K305" t="str">
            <v>F</v>
          </cell>
          <cell r="M305">
            <v>2.4911964860761202</v>
          </cell>
          <cell r="N305">
            <v>4</v>
          </cell>
        </row>
        <row r="306">
          <cell r="I306" t="str">
            <v>SS</v>
          </cell>
          <cell r="K306" t="str">
            <v>F</v>
          </cell>
          <cell r="M306">
            <v>4.2400641717694896</v>
          </cell>
          <cell r="N306">
            <v>4</v>
          </cell>
        </row>
        <row r="307">
          <cell r="I307" t="str">
            <v>SS</v>
          </cell>
          <cell r="K307" t="str">
            <v>F</v>
          </cell>
          <cell r="M307">
            <v>0.96811345928720005</v>
          </cell>
          <cell r="N307">
            <v>4</v>
          </cell>
        </row>
        <row r="308">
          <cell r="I308" t="str">
            <v>SS</v>
          </cell>
          <cell r="K308" t="str">
            <v>F</v>
          </cell>
          <cell r="M308">
            <v>2.4860369115637702</v>
          </cell>
          <cell r="N308">
            <v>4</v>
          </cell>
        </row>
        <row r="309">
          <cell r="I309" t="str">
            <v>SS</v>
          </cell>
          <cell r="K309" t="str">
            <v>F</v>
          </cell>
          <cell r="M309">
            <v>3.8738959521534801</v>
          </cell>
          <cell r="N309">
            <v>4</v>
          </cell>
        </row>
        <row r="310">
          <cell r="I310" t="str">
            <v>SS</v>
          </cell>
          <cell r="K310" t="str">
            <v>F</v>
          </cell>
          <cell r="M310">
            <v>10.6067223983807</v>
          </cell>
          <cell r="N310">
            <v>4</v>
          </cell>
        </row>
        <row r="311">
          <cell r="I311" t="str">
            <v>SS</v>
          </cell>
          <cell r="K311" t="str">
            <v>F</v>
          </cell>
          <cell r="M311">
            <v>39.515881250588301</v>
          </cell>
          <cell r="N311">
            <v>4</v>
          </cell>
        </row>
        <row r="312">
          <cell r="I312" t="str">
            <v>SS</v>
          </cell>
          <cell r="K312" t="str">
            <v>F</v>
          </cell>
          <cell r="M312">
            <v>9.4226596235240905</v>
          </cell>
          <cell r="N312">
            <v>4</v>
          </cell>
        </row>
        <row r="313">
          <cell r="I313" t="str">
            <v>SS</v>
          </cell>
          <cell r="K313" t="str">
            <v>F</v>
          </cell>
          <cell r="M313">
            <v>0.119743583338594</v>
          </cell>
          <cell r="N313">
            <v>4</v>
          </cell>
        </row>
        <row r="314">
          <cell r="I314" t="str">
            <v>SS</v>
          </cell>
          <cell r="K314" t="str">
            <v>F</v>
          </cell>
          <cell r="M314">
            <v>9.7494597667636004E-2</v>
          </cell>
          <cell r="N314">
            <v>4</v>
          </cell>
        </row>
        <row r="315">
          <cell r="I315" t="str">
            <v>SS</v>
          </cell>
          <cell r="K315" t="str">
            <v>F</v>
          </cell>
          <cell r="M315">
            <v>44.840628215963001</v>
          </cell>
          <cell r="N315">
            <v>4</v>
          </cell>
        </row>
        <row r="316">
          <cell r="I316" t="str">
            <v>SS</v>
          </cell>
          <cell r="K316" t="str">
            <v>F</v>
          </cell>
          <cell r="M316">
            <v>9.0248871063512995E-2</v>
          </cell>
          <cell r="N316">
            <v>4</v>
          </cell>
        </row>
        <row r="317">
          <cell r="I317" t="str">
            <v>SS</v>
          </cell>
          <cell r="K317" t="str">
            <v>F</v>
          </cell>
          <cell r="M317">
            <v>0.83197255227451505</v>
          </cell>
          <cell r="N317">
            <v>4</v>
          </cell>
        </row>
        <row r="318">
          <cell r="I318" t="str">
            <v>SS</v>
          </cell>
          <cell r="K318" t="str">
            <v>F</v>
          </cell>
          <cell r="M318">
            <v>22.195609663039601</v>
          </cell>
          <cell r="N318">
            <v>4</v>
          </cell>
        </row>
        <row r="319">
          <cell r="I319" t="str">
            <v>SS</v>
          </cell>
          <cell r="K319" t="str">
            <v>F</v>
          </cell>
          <cell r="M319">
            <v>1.8443293138380601</v>
          </cell>
          <cell r="N319">
            <v>4</v>
          </cell>
        </row>
        <row r="320">
          <cell r="I320" t="str">
            <v>SS</v>
          </cell>
          <cell r="K320" t="str">
            <v>F</v>
          </cell>
          <cell r="M320">
            <v>3.5364988962758002</v>
          </cell>
          <cell r="N320">
            <v>4</v>
          </cell>
        </row>
        <row r="321">
          <cell r="I321" t="str">
            <v>SS</v>
          </cell>
          <cell r="K321" t="str">
            <v>F</v>
          </cell>
          <cell r="M321">
            <v>5.6817791826998096</v>
          </cell>
          <cell r="N321">
            <v>4</v>
          </cell>
        </row>
        <row r="322">
          <cell r="I322" t="str">
            <v>SS</v>
          </cell>
          <cell r="K322" t="str">
            <v>F</v>
          </cell>
          <cell r="M322">
            <v>0.440740369332913</v>
          </cell>
          <cell r="N322">
            <v>4</v>
          </cell>
        </row>
        <row r="323">
          <cell r="I323" t="str">
            <v>SS</v>
          </cell>
          <cell r="K323" t="str">
            <v>F</v>
          </cell>
          <cell r="M323">
            <v>2.1257265769387699</v>
          </cell>
          <cell r="N323">
            <v>4</v>
          </cell>
        </row>
        <row r="324">
          <cell r="I324" t="str">
            <v>SS</v>
          </cell>
          <cell r="K324" t="str">
            <v>Res,D</v>
          </cell>
          <cell r="M324">
            <v>2.9315943703982002E-2</v>
          </cell>
          <cell r="N324">
            <v>4</v>
          </cell>
        </row>
        <row r="325">
          <cell r="I325" t="str">
            <v>SS</v>
          </cell>
          <cell r="K325" t="str">
            <v>F</v>
          </cell>
          <cell r="M325">
            <v>3.0322846838987898</v>
          </cell>
          <cell r="N325">
            <v>4</v>
          </cell>
        </row>
        <row r="326">
          <cell r="I326" t="str">
            <v>SS</v>
          </cell>
          <cell r="K326" t="str">
            <v>F</v>
          </cell>
          <cell r="M326">
            <v>7.3465962211325699</v>
          </cell>
          <cell r="N326">
            <v>4</v>
          </cell>
        </row>
        <row r="327">
          <cell r="I327" t="str">
            <v>SS</v>
          </cell>
          <cell r="K327" t="str">
            <v>Res,W</v>
          </cell>
          <cell r="M327">
            <v>0.38382202520129899</v>
          </cell>
          <cell r="N327">
            <v>4</v>
          </cell>
        </row>
        <row r="328">
          <cell r="I328" t="str">
            <v>SS</v>
          </cell>
          <cell r="K328" t="str">
            <v>F</v>
          </cell>
          <cell r="M328">
            <v>0.73781320519534499</v>
          </cell>
          <cell r="N328">
            <v>4</v>
          </cell>
        </row>
        <row r="329">
          <cell r="I329" t="str">
            <v>SS</v>
          </cell>
          <cell r="K329" t="str">
            <v>F</v>
          </cell>
          <cell r="M329">
            <v>0.63779236381644699</v>
          </cell>
          <cell r="N329">
            <v>4</v>
          </cell>
        </row>
        <row r="330">
          <cell r="I330" t="str">
            <v>SS</v>
          </cell>
          <cell r="K330" t="str">
            <v>Res,D</v>
          </cell>
          <cell r="M330">
            <v>2.9760599800281999E-2</v>
          </cell>
          <cell r="N330">
            <v>4</v>
          </cell>
        </row>
        <row r="331">
          <cell r="I331" t="str">
            <v>SS</v>
          </cell>
          <cell r="K331" t="str">
            <v>Res,D</v>
          </cell>
          <cell r="M331">
            <v>8.2388495391865005E-2</v>
          </cell>
          <cell r="N331">
            <v>4</v>
          </cell>
        </row>
        <row r="332">
          <cell r="I332" t="str">
            <v>SS</v>
          </cell>
          <cell r="K332" t="str">
            <v>Res,D</v>
          </cell>
          <cell r="M332">
            <v>3.3709577108004998E-2</v>
          </cell>
          <cell r="N332">
            <v>4</v>
          </cell>
        </row>
        <row r="333">
          <cell r="I333" t="str">
            <v>SS</v>
          </cell>
          <cell r="K333" t="str">
            <v>IPP</v>
          </cell>
          <cell r="M333">
            <v>52.409159560495098</v>
          </cell>
          <cell r="N333">
            <v>2</v>
          </cell>
        </row>
        <row r="334">
          <cell r="I334" t="str">
            <v>SS</v>
          </cell>
          <cell r="K334" t="str">
            <v>F</v>
          </cell>
          <cell r="M334">
            <v>32.010196170790003</v>
          </cell>
          <cell r="N334">
            <v>4</v>
          </cell>
        </row>
        <row r="335">
          <cell r="I335" t="str">
            <v>SS</v>
          </cell>
          <cell r="K335" t="str">
            <v>F</v>
          </cell>
          <cell r="M335">
            <v>30.957418425556899</v>
          </cell>
          <cell r="N335">
            <v>4</v>
          </cell>
        </row>
        <row r="336">
          <cell r="I336" t="str">
            <v>SS</v>
          </cell>
          <cell r="K336" t="str">
            <v>F</v>
          </cell>
          <cell r="M336">
            <v>13.992452138646501</v>
          </cell>
          <cell r="N336">
            <v>4</v>
          </cell>
        </row>
        <row r="337">
          <cell r="I337" t="str">
            <v>SS</v>
          </cell>
          <cell r="K337" t="str">
            <v>F</v>
          </cell>
          <cell r="M337">
            <v>9.9720880552150994</v>
          </cell>
          <cell r="N337">
            <v>4</v>
          </cell>
        </row>
        <row r="338">
          <cell r="I338" t="str">
            <v>SS</v>
          </cell>
          <cell r="K338" t="str">
            <v>F</v>
          </cell>
          <cell r="M338">
            <v>89.115456764151801</v>
          </cell>
          <cell r="N338">
            <v>4</v>
          </cell>
        </row>
        <row r="339">
          <cell r="I339" t="str">
            <v>SS</v>
          </cell>
          <cell r="K339" t="str">
            <v>F</v>
          </cell>
          <cell r="M339">
            <v>20.732667445773401</v>
          </cell>
          <cell r="N339">
            <v>4</v>
          </cell>
        </row>
        <row r="340">
          <cell r="I340" t="str">
            <v>SS</v>
          </cell>
          <cell r="K340" t="str">
            <v>F</v>
          </cell>
          <cell r="M340">
            <v>17.465261329572801</v>
          </cell>
          <cell r="N340">
            <v>4</v>
          </cell>
        </row>
        <row r="341">
          <cell r="I341" t="str">
            <v>SS</v>
          </cell>
          <cell r="K341" t="str">
            <v>F</v>
          </cell>
          <cell r="M341">
            <v>7.8160873430610902</v>
          </cell>
          <cell r="N341">
            <v>4</v>
          </cell>
        </row>
        <row r="342">
          <cell r="I342" t="str">
            <v>SS</v>
          </cell>
          <cell r="K342" t="str">
            <v>F</v>
          </cell>
          <cell r="M342">
            <v>24.044314215993001</v>
          </cell>
          <cell r="N342">
            <v>4</v>
          </cell>
        </row>
        <row r="343">
          <cell r="I343" t="str">
            <v>SS</v>
          </cell>
          <cell r="K343" t="str">
            <v>F</v>
          </cell>
          <cell r="M343">
            <v>0.207578235915508</v>
          </cell>
          <cell r="N343">
            <v>4</v>
          </cell>
        </row>
        <row r="344">
          <cell r="I344" t="str">
            <v>SS</v>
          </cell>
          <cell r="K344" t="str">
            <v>F</v>
          </cell>
          <cell r="M344">
            <v>1.79120208407229</v>
          </cell>
          <cell r="N344">
            <v>4</v>
          </cell>
        </row>
        <row r="345">
          <cell r="I345" t="str">
            <v>SS</v>
          </cell>
          <cell r="K345" t="str">
            <v>Res,D</v>
          </cell>
          <cell r="M345">
            <v>0.23997425538331299</v>
          </cell>
          <cell r="N345">
            <v>4</v>
          </cell>
        </row>
        <row r="346">
          <cell r="I346" t="str">
            <v>SS</v>
          </cell>
          <cell r="K346" t="str">
            <v>F</v>
          </cell>
          <cell r="M346">
            <v>0.447036541136624</v>
          </cell>
          <cell r="N346">
            <v>4</v>
          </cell>
        </row>
        <row r="347">
          <cell r="I347" t="str">
            <v>SS</v>
          </cell>
          <cell r="K347" t="str">
            <v>F</v>
          </cell>
          <cell r="M347">
            <v>18.488831365544598</v>
          </cell>
          <cell r="N347">
            <v>4</v>
          </cell>
        </row>
        <row r="348">
          <cell r="I348" t="str">
            <v>SS</v>
          </cell>
          <cell r="K348" t="str">
            <v>F</v>
          </cell>
          <cell r="M348">
            <v>2.8399447059487302</v>
          </cell>
          <cell r="N348">
            <v>4</v>
          </cell>
        </row>
        <row r="349">
          <cell r="I349" t="str">
            <v>SS</v>
          </cell>
          <cell r="K349" t="str">
            <v>F</v>
          </cell>
          <cell r="M349">
            <v>8.3129344415492703</v>
          </cell>
          <cell r="N349">
            <v>4</v>
          </cell>
        </row>
        <row r="350">
          <cell r="I350" t="str">
            <v>SS</v>
          </cell>
          <cell r="K350" t="str">
            <v>Stk,D</v>
          </cell>
          <cell r="M350">
            <v>0.79433023331515895</v>
          </cell>
          <cell r="N350">
            <v>4</v>
          </cell>
        </row>
        <row r="351">
          <cell r="I351" t="str">
            <v>SS</v>
          </cell>
          <cell r="K351" t="str">
            <v>F</v>
          </cell>
          <cell r="M351">
            <v>9.48694221633483</v>
          </cell>
          <cell r="N351">
            <v>4</v>
          </cell>
        </row>
        <row r="352">
          <cell r="I352" t="str">
            <v>SS</v>
          </cell>
          <cell r="K352" t="str">
            <v>F</v>
          </cell>
          <cell r="M352">
            <v>36.223893416117399</v>
          </cell>
          <cell r="N352">
            <v>4</v>
          </cell>
        </row>
        <row r="353">
          <cell r="I353" t="str">
            <v>SS</v>
          </cell>
          <cell r="K353" t="str">
            <v>F</v>
          </cell>
          <cell r="M353">
            <v>0.29974335936414997</v>
          </cell>
          <cell r="N353">
            <v>4</v>
          </cell>
        </row>
        <row r="354">
          <cell r="I354" t="str">
            <v>SS</v>
          </cell>
          <cell r="K354" t="str">
            <v>F</v>
          </cell>
          <cell r="M354">
            <v>2.8513802603388898</v>
          </cell>
          <cell r="N354">
            <v>4</v>
          </cell>
        </row>
        <row r="355">
          <cell r="I355" t="str">
            <v>SS</v>
          </cell>
          <cell r="K355" t="str">
            <v>F</v>
          </cell>
          <cell r="M355">
            <v>2.0127077102153601</v>
          </cell>
          <cell r="N355">
            <v>4</v>
          </cell>
        </row>
        <row r="356">
          <cell r="I356" t="str">
            <v>SS</v>
          </cell>
          <cell r="K356" t="str">
            <v>F</v>
          </cell>
          <cell r="M356">
            <v>17.6547527559207</v>
          </cell>
          <cell r="N356">
            <v>4</v>
          </cell>
        </row>
        <row r="357">
          <cell r="I357" t="str">
            <v>SS</v>
          </cell>
          <cell r="K357" t="str">
            <v>F</v>
          </cell>
          <cell r="M357">
            <v>0.38943096009740003</v>
          </cell>
          <cell r="N357">
            <v>4</v>
          </cell>
        </row>
        <row r="358">
          <cell r="I358" t="str">
            <v>SS</v>
          </cell>
          <cell r="K358" t="str">
            <v>H</v>
          </cell>
          <cell r="M358">
            <v>16.745444257062701</v>
          </cell>
          <cell r="N358">
            <v>1</v>
          </cell>
        </row>
        <row r="359">
          <cell r="I359" t="str">
            <v>SS</v>
          </cell>
          <cell r="K359" t="str">
            <v>F</v>
          </cell>
          <cell r="M359">
            <v>2.5928556385103301</v>
          </cell>
          <cell r="N359">
            <v>4</v>
          </cell>
        </row>
        <row r="360">
          <cell r="I360" t="str">
            <v>SS</v>
          </cell>
          <cell r="K360" t="str">
            <v>F</v>
          </cell>
          <cell r="M360">
            <v>51.953226136370098</v>
          </cell>
          <cell r="N360">
            <v>4</v>
          </cell>
        </row>
        <row r="361">
          <cell r="I361" t="str">
            <v>SS</v>
          </cell>
          <cell r="K361" t="str">
            <v>F</v>
          </cell>
          <cell r="M361">
            <v>7.3579957458113396</v>
          </cell>
          <cell r="N361">
            <v>4</v>
          </cell>
        </row>
        <row r="362">
          <cell r="I362" t="str">
            <v>SS</v>
          </cell>
          <cell r="K362" t="str">
            <v>F</v>
          </cell>
          <cell r="M362">
            <v>34.838202061212399</v>
          </cell>
          <cell r="N362">
            <v>4</v>
          </cell>
        </row>
        <row r="363">
          <cell r="I363" t="str">
            <v>SS</v>
          </cell>
          <cell r="K363" t="str">
            <v>F</v>
          </cell>
          <cell r="M363">
            <v>0.86556914216076697</v>
          </cell>
          <cell r="N363">
            <v>4</v>
          </cell>
        </row>
        <row r="364">
          <cell r="I364" t="str">
            <v>SS</v>
          </cell>
          <cell r="K364" t="str">
            <v>F</v>
          </cell>
          <cell r="M364">
            <v>3.7486625414208099</v>
          </cell>
          <cell r="N364">
            <v>4</v>
          </cell>
        </row>
        <row r="365">
          <cell r="I365" t="str">
            <v>SS</v>
          </cell>
          <cell r="K365" t="str">
            <v>DSL</v>
          </cell>
          <cell r="M365">
            <v>0.84310499639302094</v>
          </cell>
          <cell r="N365">
            <v>2</v>
          </cell>
        </row>
        <row r="366">
          <cell r="I366" t="str">
            <v>SS</v>
          </cell>
          <cell r="K366" t="str">
            <v>F</v>
          </cell>
          <cell r="M366">
            <v>2.4921016856585498</v>
          </cell>
          <cell r="N366">
            <v>4</v>
          </cell>
        </row>
        <row r="367">
          <cell r="I367" t="str">
            <v>SS</v>
          </cell>
          <cell r="K367" t="str">
            <v>F</v>
          </cell>
          <cell r="M367">
            <v>1.2841178652883101</v>
          </cell>
          <cell r="N367">
            <v>4</v>
          </cell>
        </row>
        <row r="368">
          <cell r="I368" t="str">
            <v>SS</v>
          </cell>
          <cell r="K368" t="str">
            <v>F</v>
          </cell>
          <cell r="M368">
            <v>0.40315196443129903</v>
          </cell>
          <cell r="N368">
            <v>4</v>
          </cell>
        </row>
        <row r="369">
          <cell r="I369" t="str">
            <v>SS</v>
          </cell>
          <cell r="K369" t="str">
            <v>F</v>
          </cell>
          <cell r="M369">
            <v>0.58560351657925702</v>
          </cell>
          <cell r="N369">
            <v>4</v>
          </cell>
        </row>
        <row r="370">
          <cell r="I370" t="str">
            <v>SS</v>
          </cell>
          <cell r="K370" t="str">
            <v>F</v>
          </cell>
          <cell r="M370">
            <v>1.5410142293834499</v>
          </cell>
          <cell r="N370">
            <v>4</v>
          </cell>
        </row>
        <row r="371">
          <cell r="I371" t="str">
            <v>SS</v>
          </cell>
          <cell r="K371" t="str">
            <v>F</v>
          </cell>
          <cell r="M371">
            <v>40.069454371443697</v>
          </cell>
          <cell r="N371">
            <v>4</v>
          </cell>
        </row>
        <row r="372">
          <cell r="I372" t="str">
            <v>SS</v>
          </cell>
          <cell r="K372" t="str">
            <v>F</v>
          </cell>
          <cell r="M372">
            <v>0.233770107582703</v>
          </cell>
          <cell r="N372">
            <v>4</v>
          </cell>
        </row>
        <row r="373">
          <cell r="I373" t="str">
            <v>SS</v>
          </cell>
          <cell r="K373" t="str">
            <v>F</v>
          </cell>
          <cell r="M373">
            <v>10.763121435770501</v>
          </cell>
          <cell r="N373">
            <v>4</v>
          </cell>
        </row>
        <row r="374">
          <cell r="I374" t="str">
            <v>SS</v>
          </cell>
          <cell r="K374" t="str">
            <v>F</v>
          </cell>
          <cell r="M374">
            <v>50.482145990957797</v>
          </cell>
          <cell r="N374">
            <v>4</v>
          </cell>
        </row>
        <row r="375">
          <cell r="I375" t="str">
            <v>SS</v>
          </cell>
          <cell r="K375" t="str">
            <v>F</v>
          </cell>
          <cell r="M375">
            <v>11.4142373330104</v>
          </cell>
          <cell r="N375">
            <v>4</v>
          </cell>
        </row>
        <row r="376">
          <cell r="I376" t="str">
            <v>SS</v>
          </cell>
          <cell r="K376" t="str">
            <v>F</v>
          </cell>
          <cell r="M376">
            <v>36.842220132651399</v>
          </cell>
          <cell r="N376">
            <v>4</v>
          </cell>
        </row>
        <row r="377">
          <cell r="I377" t="str">
            <v>SS</v>
          </cell>
          <cell r="K377" t="str">
            <v>F</v>
          </cell>
          <cell r="M377">
            <v>33.406532545492297</v>
          </cell>
          <cell r="N377">
            <v>4</v>
          </cell>
        </row>
        <row r="378">
          <cell r="I378" t="str">
            <v>SS</v>
          </cell>
          <cell r="K378" t="str">
            <v>F</v>
          </cell>
          <cell r="M378">
            <v>4.27723434471228</v>
          </cell>
          <cell r="N378">
            <v>4</v>
          </cell>
        </row>
        <row r="379">
          <cell r="I379" t="str">
            <v>SS</v>
          </cell>
          <cell r="K379" t="str">
            <v>F</v>
          </cell>
          <cell r="M379">
            <v>5.7443554924971698</v>
          </cell>
          <cell r="N379">
            <v>4</v>
          </cell>
        </row>
        <row r="380">
          <cell r="I380" t="str">
            <v>SS</v>
          </cell>
          <cell r="K380" t="str">
            <v>F</v>
          </cell>
          <cell r="M380">
            <v>41.257745365920997</v>
          </cell>
          <cell r="N380">
            <v>4</v>
          </cell>
        </row>
        <row r="381">
          <cell r="I381" t="str">
            <v>SS</v>
          </cell>
          <cell r="K381" t="str">
            <v>F</v>
          </cell>
          <cell r="M381">
            <v>9.9955854395242696</v>
          </cell>
          <cell r="N381">
            <v>4</v>
          </cell>
        </row>
        <row r="382">
          <cell r="I382" t="str">
            <v>SS</v>
          </cell>
          <cell r="K382" t="str">
            <v>F</v>
          </cell>
          <cell r="M382">
            <v>4.7663960445369096</v>
          </cell>
          <cell r="N382">
            <v>4</v>
          </cell>
        </row>
        <row r="383">
          <cell r="I383" t="str">
            <v>SS</v>
          </cell>
          <cell r="K383" t="str">
            <v>F</v>
          </cell>
          <cell r="M383">
            <v>6.5134696378214603</v>
          </cell>
          <cell r="N383">
            <v>4</v>
          </cell>
        </row>
        <row r="384">
          <cell r="I384" t="str">
            <v>SS</v>
          </cell>
          <cell r="K384" t="str">
            <v>F</v>
          </cell>
          <cell r="M384">
            <v>43.342744031198897</v>
          </cell>
          <cell r="N384">
            <v>4</v>
          </cell>
        </row>
        <row r="385">
          <cell r="I385" t="str">
            <v>SS</v>
          </cell>
          <cell r="K385" t="str">
            <v>F</v>
          </cell>
          <cell r="M385">
            <v>18.377123942440502</v>
          </cell>
          <cell r="N385">
            <v>4</v>
          </cell>
        </row>
        <row r="386">
          <cell r="I386" t="str">
            <v>SS</v>
          </cell>
          <cell r="K386" t="str">
            <v>F</v>
          </cell>
          <cell r="M386">
            <v>1.6721964489913499</v>
          </cell>
          <cell r="N386">
            <v>4</v>
          </cell>
        </row>
        <row r="387">
          <cell r="I387" t="str">
            <v>SS</v>
          </cell>
          <cell r="K387" t="str">
            <v>F</v>
          </cell>
          <cell r="M387">
            <v>58.6396880156029</v>
          </cell>
          <cell r="N387">
            <v>4</v>
          </cell>
        </row>
        <row r="388">
          <cell r="I388" t="str">
            <v>SS</v>
          </cell>
          <cell r="K388" t="str">
            <v>F</v>
          </cell>
          <cell r="M388">
            <v>0.20145103498740599</v>
          </cell>
          <cell r="N388">
            <v>4</v>
          </cell>
        </row>
        <row r="389">
          <cell r="I389" t="str">
            <v>SS</v>
          </cell>
          <cell r="K389" t="str">
            <v>Pe</v>
          </cell>
          <cell r="M389">
            <v>8.8011554244807595</v>
          </cell>
          <cell r="N389">
            <v>2</v>
          </cell>
        </row>
        <row r="390">
          <cell r="I390" t="str">
            <v>SS</v>
          </cell>
          <cell r="K390" t="str">
            <v>F</v>
          </cell>
          <cell r="M390">
            <v>0.95775295477968103</v>
          </cell>
          <cell r="N390">
            <v>4</v>
          </cell>
        </row>
        <row r="391">
          <cell r="I391" t="str">
            <v>SS</v>
          </cell>
          <cell r="K391" t="str">
            <v>F</v>
          </cell>
          <cell r="M391">
            <v>54.465130729013403</v>
          </cell>
          <cell r="N391">
            <v>4</v>
          </cell>
        </row>
        <row r="392">
          <cell r="I392" t="str">
            <v>SS</v>
          </cell>
          <cell r="K392" t="str">
            <v>F</v>
          </cell>
          <cell r="M392">
            <v>1.2589307568975601</v>
          </cell>
          <cell r="N392">
            <v>4</v>
          </cell>
        </row>
        <row r="393">
          <cell r="I393" t="str">
            <v>SS</v>
          </cell>
          <cell r="K393" t="str">
            <v>F</v>
          </cell>
          <cell r="M393">
            <v>67.912623936570498</v>
          </cell>
          <cell r="N393">
            <v>4</v>
          </cell>
        </row>
        <row r="394">
          <cell r="I394" t="str">
            <v>SS</v>
          </cell>
          <cell r="K394" t="str">
            <v>F</v>
          </cell>
          <cell r="M394">
            <v>31.237770381237901</v>
          </cell>
          <cell r="N394">
            <v>4</v>
          </cell>
        </row>
        <row r="395">
          <cell r="I395" t="str">
            <v>SS</v>
          </cell>
          <cell r="K395" t="str">
            <v>F</v>
          </cell>
          <cell r="M395">
            <v>9.0052016156736805</v>
          </cell>
          <cell r="N395">
            <v>4</v>
          </cell>
        </row>
        <row r="396">
          <cell r="I396" t="str">
            <v>SS</v>
          </cell>
          <cell r="K396" t="str">
            <v>F</v>
          </cell>
          <cell r="M396">
            <v>16.785077553593101</v>
          </cell>
          <cell r="N396">
            <v>4</v>
          </cell>
        </row>
        <row r="397">
          <cell r="I397" t="str">
            <v>SS</v>
          </cell>
          <cell r="K397" t="str">
            <v>F</v>
          </cell>
          <cell r="M397">
            <v>12.221261927621001</v>
          </cell>
          <cell r="N397">
            <v>4</v>
          </cell>
        </row>
        <row r="398">
          <cell r="I398" t="str">
            <v>SS</v>
          </cell>
          <cell r="K398" t="str">
            <v>F</v>
          </cell>
          <cell r="M398">
            <v>59.300742216039197</v>
          </cell>
          <cell r="N398">
            <v>4</v>
          </cell>
        </row>
        <row r="399">
          <cell r="I399" t="str">
            <v>SS</v>
          </cell>
          <cell r="K399" t="str">
            <v>F</v>
          </cell>
          <cell r="M399">
            <v>64.959319310494493</v>
          </cell>
          <cell r="N399">
            <v>4</v>
          </cell>
        </row>
        <row r="400">
          <cell r="I400" t="str">
            <v>SS</v>
          </cell>
          <cell r="K400" t="str">
            <v>F</v>
          </cell>
          <cell r="M400">
            <v>5.6700954965051498</v>
          </cell>
          <cell r="N400">
            <v>4</v>
          </cell>
        </row>
        <row r="401">
          <cell r="I401" t="str">
            <v>SS</v>
          </cell>
          <cell r="K401" t="str">
            <v>F</v>
          </cell>
          <cell r="M401">
            <v>37.261812359664397</v>
          </cell>
          <cell r="N401">
            <v>4</v>
          </cell>
        </row>
        <row r="402">
          <cell r="I402" t="str">
            <v>SS</v>
          </cell>
          <cell r="K402" t="str">
            <v>F</v>
          </cell>
          <cell r="M402">
            <v>5.0774115378022397</v>
          </cell>
          <cell r="N402">
            <v>4</v>
          </cell>
        </row>
        <row r="403">
          <cell r="I403" t="str">
            <v>SS</v>
          </cell>
          <cell r="K403" t="str">
            <v>F</v>
          </cell>
          <cell r="M403">
            <v>35.995556031254701</v>
          </cell>
          <cell r="N403">
            <v>4</v>
          </cell>
        </row>
        <row r="404">
          <cell r="I404" t="str">
            <v>SS</v>
          </cell>
          <cell r="K404" t="str">
            <v>F</v>
          </cell>
          <cell r="M404">
            <v>1.1759727143638701</v>
          </cell>
          <cell r="N404">
            <v>4</v>
          </cell>
        </row>
        <row r="405">
          <cell r="I405" t="str">
            <v>SS</v>
          </cell>
          <cell r="K405" t="str">
            <v>F</v>
          </cell>
          <cell r="M405">
            <v>0.97269165161075999</v>
          </cell>
          <cell r="N405">
            <v>4</v>
          </cell>
        </row>
        <row r="406">
          <cell r="I406" t="str">
            <v>SS</v>
          </cell>
          <cell r="K406" t="str">
            <v>F</v>
          </cell>
          <cell r="M406">
            <v>17.2332430253065</v>
          </cell>
          <cell r="N406">
            <v>4</v>
          </cell>
        </row>
        <row r="407">
          <cell r="I407" t="str">
            <v>SS</v>
          </cell>
          <cell r="K407" t="str">
            <v>MV</v>
          </cell>
          <cell r="M407">
            <v>0.323600829178813</v>
          </cell>
          <cell r="N407">
            <v>2</v>
          </cell>
        </row>
        <row r="408">
          <cell r="I408" t="str">
            <v>SS</v>
          </cell>
          <cell r="K408" t="str">
            <v>F</v>
          </cell>
          <cell r="M408">
            <v>7.24871504222211</v>
          </cell>
          <cell r="N408">
            <v>4</v>
          </cell>
        </row>
        <row r="409">
          <cell r="I409" t="str">
            <v>SS</v>
          </cell>
          <cell r="K409" t="str">
            <v>F</v>
          </cell>
          <cell r="M409">
            <v>8.0092599496278503</v>
          </cell>
          <cell r="N409">
            <v>4</v>
          </cell>
        </row>
        <row r="410">
          <cell r="I410" t="str">
            <v>SS</v>
          </cell>
          <cell r="K410" t="str">
            <v>F</v>
          </cell>
          <cell r="M410">
            <v>8.5802670579985492</v>
          </cell>
          <cell r="N410">
            <v>4</v>
          </cell>
        </row>
        <row r="411">
          <cell r="I411" t="str">
            <v>SS</v>
          </cell>
          <cell r="K411" t="str">
            <v>F</v>
          </cell>
          <cell r="M411">
            <v>18.791781886887598</v>
          </cell>
          <cell r="N411">
            <v>4</v>
          </cell>
        </row>
        <row r="412">
          <cell r="I412" t="str">
            <v>SS</v>
          </cell>
          <cell r="K412" t="str">
            <v>F</v>
          </cell>
          <cell r="M412">
            <v>13.2515970699235</v>
          </cell>
          <cell r="N412">
            <v>4</v>
          </cell>
        </row>
        <row r="413">
          <cell r="I413" t="str">
            <v>SS</v>
          </cell>
          <cell r="K413" t="str">
            <v>F</v>
          </cell>
          <cell r="M413">
            <v>1.24971412044471</v>
          </cell>
          <cell r="N413">
            <v>4</v>
          </cell>
        </row>
        <row r="414">
          <cell r="I414" t="str">
            <v>SS</v>
          </cell>
          <cell r="K414" t="str">
            <v>F</v>
          </cell>
          <cell r="M414">
            <v>10.2589111585098</v>
          </cell>
          <cell r="N414">
            <v>4</v>
          </cell>
        </row>
        <row r="415">
          <cell r="I415" t="str">
            <v>SS</v>
          </cell>
          <cell r="K415" t="str">
            <v>F</v>
          </cell>
          <cell r="M415">
            <v>12.472946545559701</v>
          </cell>
          <cell r="N415">
            <v>4</v>
          </cell>
        </row>
        <row r="416">
          <cell r="I416" t="str">
            <v>SS</v>
          </cell>
          <cell r="K416" t="str">
            <v>F</v>
          </cell>
          <cell r="M416">
            <v>18.7490875890505</v>
          </cell>
          <cell r="N416">
            <v>4</v>
          </cell>
        </row>
        <row r="417">
          <cell r="I417" t="str">
            <v>SS</v>
          </cell>
          <cell r="K417" t="str">
            <v>F</v>
          </cell>
          <cell r="M417">
            <v>0.98772951028842104</v>
          </cell>
          <cell r="N417">
            <v>4</v>
          </cell>
        </row>
        <row r="418">
          <cell r="I418" t="str">
            <v>SS</v>
          </cell>
          <cell r="K418" t="str">
            <v>F</v>
          </cell>
          <cell r="M418">
            <v>17.276910684653402</v>
          </cell>
          <cell r="N418">
            <v>4</v>
          </cell>
        </row>
        <row r="419">
          <cell r="I419" t="str">
            <v>SS</v>
          </cell>
          <cell r="K419" t="str">
            <v>F</v>
          </cell>
          <cell r="M419">
            <v>4.8300160073830999E-2</v>
          </cell>
          <cell r="N419">
            <v>4</v>
          </cell>
        </row>
        <row r="420">
          <cell r="I420" t="str">
            <v>SS</v>
          </cell>
          <cell r="K420" t="str">
            <v>F</v>
          </cell>
          <cell r="M420">
            <v>3.4553820924054901</v>
          </cell>
          <cell r="N420">
            <v>4</v>
          </cell>
        </row>
        <row r="421">
          <cell r="I421" t="str">
            <v>SS</v>
          </cell>
          <cell r="K421" t="str">
            <v>F</v>
          </cell>
          <cell r="M421">
            <v>5.4366940325557902</v>
          </cell>
          <cell r="N421">
            <v>4</v>
          </cell>
        </row>
        <row r="422">
          <cell r="I422" t="str">
            <v>SS</v>
          </cell>
          <cell r="K422" t="str">
            <v>F</v>
          </cell>
          <cell r="M422">
            <v>0.54483448449635996</v>
          </cell>
          <cell r="N422">
            <v>4</v>
          </cell>
        </row>
        <row r="423">
          <cell r="I423" t="str">
            <v>SS</v>
          </cell>
          <cell r="K423" t="str">
            <v>F</v>
          </cell>
          <cell r="M423">
            <v>7.6326027122660403</v>
          </cell>
          <cell r="N423">
            <v>4</v>
          </cell>
        </row>
        <row r="424">
          <cell r="I424" t="str">
            <v>SS</v>
          </cell>
          <cell r="K424" t="str">
            <v>F</v>
          </cell>
          <cell r="M424">
            <v>9.2567111369963797</v>
          </cell>
          <cell r="N424">
            <v>4</v>
          </cell>
        </row>
        <row r="425">
          <cell r="I425" t="str">
            <v>SS</v>
          </cell>
          <cell r="K425" t="str">
            <v>F</v>
          </cell>
          <cell r="M425">
            <v>44.899380382054602</v>
          </cell>
          <cell r="N425">
            <v>4</v>
          </cell>
        </row>
        <row r="426">
          <cell r="I426" t="str">
            <v>SS</v>
          </cell>
          <cell r="K426" t="str">
            <v>F</v>
          </cell>
          <cell r="M426">
            <v>34.397907757860402</v>
          </cell>
          <cell r="N426">
            <v>4</v>
          </cell>
        </row>
        <row r="427">
          <cell r="I427" t="str">
            <v>SS</v>
          </cell>
          <cell r="K427" t="str">
            <v>Res,D</v>
          </cell>
          <cell r="M427">
            <v>0.80674251602671498</v>
          </cell>
          <cell r="N427">
            <v>4</v>
          </cell>
        </row>
        <row r="428">
          <cell r="I428" t="str">
            <v>SS</v>
          </cell>
          <cell r="K428" t="str">
            <v>Res,D</v>
          </cell>
          <cell r="M428">
            <v>1.7245102103182799</v>
          </cell>
          <cell r="N428">
            <v>4</v>
          </cell>
        </row>
        <row r="429">
          <cell r="I429" t="str">
            <v>SS</v>
          </cell>
          <cell r="K429" t="str">
            <v>Res,D</v>
          </cell>
          <cell r="M429">
            <v>0.68444697001244403</v>
          </cell>
          <cell r="N429">
            <v>4</v>
          </cell>
        </row>
        <row r="430">
          <cell r="I430" t="str">
            <v>SS</v>
          </cell>
          <cell r="K430" t="str">
            <v>F</v>
          </cell>
          <cell r="M430">
            <v>0.69648982173037599</v>
          </cell>
          <cell r="N430">
            <v>4</v>
          </cell>
        </row>
        <row r="431">
          <cell r="I431" t="str">
            <v>SS</v>
          </cell>
          <cell r="K431" t="str">
            <v>F</v>
          </cell>
          <cell r="M431">
            <v>1.5966051052508901</v>
          </cell>
          <cell r="N431">
            <v>4</v>
          </cell>
        </row>
        <row r="432">
          <cell r="I432" t="str">
            <v>SS</v>
          </cell>
          <cell r="K432" t="str">
            <v>F</v>
          </cell>
          <cell r="M432">
            <v>0.27182091435632899</v>
          </cell>
          <cell r="N432">
            <v>4</v>
          </cell>
        </row>
        <row r="433">
          <cell r="I433" t="str">
            <v>SS</v>
          </cell>
          <cell r="K433" t="str">
            <v>Res,D</v>
          </cell>
          <cell r="M433">
            <v>1.13046245375098</v>
          </cell>
          <cell r="N433">
            <v>4</v>
          </cell>
        </row>
        <row r="434">
          <cell r="I434" t="str">
            <v>SS</v>
          </cell>
          <cell r="K434" t="str">
            <v>F</v>
          </cell>
          <cell r="M434">
            <v>1.9177461037939401</v>
          </cell>
          <cell r="N434">
            <v>4</v>
          </cell>
        </row>
        <row r="435">
          <cell r="I435" t="str">
            <v>SS</v>
          </cell>
          <cell r="K435" t="str">
            <v>F</v>
          </cell>
          <cell r="M435">
            <v>0.89258437812223101</v>
          </cell>
          <cell r="N435">
            <v>4</v>
          </cell>
        </row>
        <row r="436">
          <cell r="I436" t="str">
            <v>SS</v>
          </cell>
          <cell r="K436" t="str">
            <v>F</v>
          </cell>
          <cell r="M436">
            <v>11.2471291667428</v>
          </cell>
          <cell r="N436">
            <v>4</v>
          </cell>
        </row>
        <row r="437">
          <cell r="I437" t="str">
            <v>SS</v>
          </cell>
          <cell r="K437" t="str">
            <v>F</v>
          </cell>
          <cell r="M437">
            <v>6.1278271249714598</v>
          </cell>
          <cell r="N437">
            <v>4</v>
          </cell>
        </row>
        <row r="438">
          <cell r="I438" t="str">
            <v>SS</v>
          </cell>
          <cell r="K438" t="str">
            <v>F</v>
          </cell>
          <cell r="M438">
            <v>3.7971732769374</v>
          </cell>
          <cell r="N438">
            <v>4</v>
          </cell>
        </row>
        <row r="439">
          <cell r="I439" t="str">
            <v>SS</v>
          </cell>
          <cell r="K439" t="str">
            <v>F</v>
          </cell>
          <cell r="M439">
            <v>2.8891140958230701</v>
          </cell>
          <cell r="N439">
            <v>4</v>
          </cell>
        </row>
        <row r="440">
          <cell r="I440" t="str">
            <v>SS</v>
          </cell>
          <cell r="K440" t="str">
            <v>F</v>
          </cell>
          <cell r="M440">
            <v>22.898146087995201</v>
          </cell>
          <cell r="N440">
            <v>4</v>
          </cell>
        </row>
        <row r="441">
          <cell r="I441" t="str">
            <v>SS</v>
          </cell>
          <cell r="K441" t="str">
            <v>F</v>
          </cell>
          <cell r="M441">
            <v>16.280322900716701</v>
          </cell>
          <cell r="N441">
            <v>4</v>
          </cell>
        </row>
        <row r="442">
          <cell r="I442" t="str">
            <v>SS</v>
          </cell>
          <cell r="K442" t="str">
            <v>F</v>
          </cell>
          <cell r="M442">
            <v>0.57965883469050705</v>
          </cell>
          <cell r="N442">
            <v>4</v>
          </cell>
        </row>
        <row r="443">
          <cell r="I443" t="str">
            <v>SS</v>
          </cell>
          <cell r="K443" t="str">
            <v>F</v>
          </cell>
          <cell r="M443">
            <v>1.47865347358904</v>
          </cell>
          <cell r="N443">
            <v>4</v>
          </cell>
        </row>
        <row r="444">
          <cell r="I444" t="str">
            <v>SS</v>
          </cell>
          <cell r="K444" t="str">
            <v>F</v>
          </cell>
          <cell r="M444">
            <v>4.9997202611514</v>
          </cell>
          <cell r="N444">
            <v>4</v>
          </cell>
        </row>
        <row r="445">
          <cell r="I445" t="str">
            <v>SS</v>
          </cell>
          <cell r="K445" t="str">
            <v>F</v>
          </cell>
          <cell r="M445">
            <v>30.4273384440455</v>
          </cell>
          <cell r="N445">
            <v>4</v>
          </cell>
        </row>
        <row r="446">
          <cell r="I446" t="str">
            <v>SS</v>
          </cell>
          <cell r="K446" t="str">
            <v>F</v>
          </cell>
          <cell r="M446">
            <v>30.673384327805898</v>
          </cell>
          <cell r="N446">
            <v>4</v>
          </cell>
        </row>
        <row r="447">
          <cell r="I447" t="str">
            <v>SS</v>
          </cell>
          <cell r="K447" t="str">
            <v>F</v>
          </cell>
          <cell r="M447">
            <v>136.377058102566</v>
          </cell>
          <cell r="N447">
            <v>4</v>
          </cell>
        </row>
        <row r="448">
          <cell r="I448" t="str">
            <v>SS</v>
          </cell>
          <cell r="K448" t="str">
            <v>F</v>
          </cell>
          <cell r="M448">
            <v>141.91473363400499</v>
          </cell>
          <cell r="N448">
            <v>4</v>
          </cell>
        </row>
        <row r="449">
          <cell r="I449" t="str">
            <v>SS</v>
          </cell>
          <cell r="K449" t="str">
            <v>IPP</v>
          </cell>
          <cell r="M449">
            <v>120.316475254621</v>
          </cell>
          <cell r="N449">
            <v>2</v>
          </cell>
        </row>
        <row r="450">
          <cell r="I450" t="str">
            <v>SS</v>
          </cell>
          <cell r="K450" t="str">
            <v>H</v>
          </cell>
          <cell r="M450">
            <v>119.050054599098</v>
          </cell>
          <cell r="N450">
            <v>2</v>
          </cell>
        </row>
        <row r="451">
          <cell r="I451" t="str">
            <v>SS</v>
          </cell>
          <cell r="K451" t="str">
            <v>A</v>
          </cell>
          <cell r="M451">
            <v>125.72336596796499</v>
          </cell>
          <cell r="N451">
            <v>2</v>
          </cell>
        </row>
        <row r="452">
          <cell r="I452" t="str">
            <v>SS</v>
          </cell>
          <cell r="K452" t="str">
            <v>IPP</v>
          </cell>
          <cell r="M452">
            <v>43.343795642506699</v>
          </cell>
          <cell r="N452">
            <v>2</v>
          </cell>
        </row>
        <row r="453">
          <cell r="I453" t="str">
            <v>SS</v>
          </cell>
          <cell r="K453" t="str">
            <v>DSL</v>
          </cell>
          <cell r="M453">
            <v>0.26217608318449998</v>
          </cell>
          <cell r="N453">
            <v>2</v>
          </cell>
        </row>
        <row r="454">
          <cell r="I454" t="str">
            <v>SS</v>
          </cell>
          <cell r="K454" t="str">
            <v>F</v>
          </cell>
          <cell r="M454">
            <v>17.783873842744999</v>
          </cell>
          <cell r="N454">
            <v>4</v>
          </cell>
        </row>
        <row r="455">
          <cell r="I455" t="str">
            <v>SS</v>
          </cell>
          <cell r="K455" t="str">
            <v>F</v>
          </cell>
          <cell r="M455">
            <v>58.341181438930597</v>
          </cell>
          <cell r="N455">
            <v>4</v>
          </cell>
        </row>
        <row r="456">
          <cell r="I456" t="str">
            <v>SS</v>
          </cell>
          <cell r="K456" t="str">
            <v>F</v>
          </cell>
          <cell r="M456">
            <v>96.042738308678594</v>
          </cell>
          <cell r="N456">
            <v>4</v>
          </cell>
        </row>
        <row r="457">
          <cell r="I457" t="str">
            <v>SS</v>
          </cell>
          <cell r="K457" t="str">
            <v>Res,D</v>
          </cell>
          <cell r="M457">
            <v>0.54272128621168803</v>
          </cell>
          <cell r="N457">
            <v>4</v>
          </cell>
        </row>
        <row r="458">
          <cell r="I458" t="str">
            <v>SS</v>
          </cell>
          <cell r="K458" t="str">
            <v>F</v>
          </cell>
          <cell r="M458">
            <v>16.708914716582001</v>
          </cell>
          <cell r="N458">
            <v>4</v>
          </cell>
        </row>
        <row r="459">
          <cell r="I459" t="str">
            <v>SS</v>
          </cell>
          <cell r="K459" t="str">
            <v>F</v>
          </cell>
          <cell r="M459">
            <v>3.9513318419625798</v>
          </cell>
          <cell r="N459">
            <v>4</v>
          </cell>
        </row>
        <row r="460">
          <cell r="I460" t="str">
            <v>SS</v>
          </cell>
          <cell r="K460" t="str">
            <v>F</v>
          </cell>
          <cell r="M460">
            <v>19.671440363165502</v>
          </cell>
          <cell r="N460">
            <v>4</v>
          </cell>
        </row>
        <row r="461">
          <cell r="I461" t="str">
            <v>SS</v>
          </cell>
          <cell r="K461" t="str">
            <v>Res,D</v>
          </cell>
          <cell r="M461">
            <v>0.94006741240727998</v>
          </cell>
          <cell r="N461">
            <v>4</v>
          </cell>
        </row>
        <row r="462">
          <cell r="I462" t="str">
            <v>SS</v>
          </cell>
          <cell r="K462" t="str">
            <v>H</v>
          </cell>
          <cell r="M462">
            <v>114.222954698827</v>
          </cell>
          <cell r="N462">
            <v>2</v>
          </cell>
        </row>
        <row r="463">
          <cell r="I463" t="str">
            <v>SS</v>
          </cell>
          <cell r="K463" t="str">
            <v>Res,D</v>
          </cell>
          <cell r="M463">
            <v>0.93585829260535502</v>
          </cell>
          <cell r="N463">
            <v>4</v>
          </cell>
        </row>
        <row r="464">
          <cell r="I464" t="str">
            <v>SS</v>
          </cell>
          <cell r="K464" t="str">
            <v>F</v>
          </cell>
          <cell r="M464">
            <v>20.841462467946499</v>
          </cell>
          <cell r="N464">
            <v>4</v>
          </cell>
        </row>
        <row r="465">
          <cell r="I465" t="str">
            <v>SS</v>
          </cell>
          <cell r="K465" t="str">
            <v>Res,D</v>
          </cell>
          <cell r="M465">
            <v>1.0120035695106699</v>
          </cell>
          <cell r="N465">
            <v>4</v>
          </cell>
        </row>
        <row r="466">
          <cell r="I466" t="str">
            <v>SS</v>
          </cell>
          <cell r="K466" t="str">
            <v>F</v>
          </cell>
          <cell r="M466">
            <v>11.145832137559699</v>
          </cell>
          <cell r="N466">
            <v>4</v>
          </cell>
        </row>
        <row r="467">
          <cell r="I467" t="str">
            <v>SS</v>
          </cell>
          <cell r="K467" t="str">
            <v>Out</v>
          </cell>
          <cell r="M467">
            <v>0.33275798291997999</v>
          </cell>
          <cell r="N467">
            <v>4</v>
          </cell>
        </row>
        <row r="468">
          <cell r="I468" t="str">
            <v>SS</v>
          </cell>
          <cell r="K468" t="str">
            <v>F</v>
          </cell>
          <cell r="M468">
            <v>4.9123540804737598</v>
          </cell>
          <cell r="N468">
            <v>4</v>
          </cell>
        </row>
        <row r="469">
          <cell r="I469" t="str">
            <v>SS</v>
          </cell>
          <cell r="K469" t="str">
            <v>F</v>
          </cell>
          <cell r="M469">
            <v>7.4810775249077404</v>
          </cell>
          <cell r="N469">
            <v>4</v>
          </cell>
        </row>
        <row r="470">
          <cell r="I470" t="str">
            <v>SS</v>
          </cell>
          <cell r="K470" t="str">
            <v>F</v>
          </cell>
          <cell r="M470">
            <v>2.9104535763429</v>
          </cell>
          <cell r="N470">
            <v>4</v>
          </cell>
        </row>
        <row r="471">
          <cell r="I471" t="str">
            <v>SS</v>
          </cell>
          <cell r="K471" t="str">
            <v>F</v>
          </cell>
          <cell r="M471">
            <v>57.493438590893298</v>
          </cell>
          <cell r="N471">
            <v>4</v>
          </cell>
        </row>
        <row r="472">
          <cell r="I472" t="str">
            <v>SS</v>
          </cell>
          <cell r="K472" t="str">
            <v>H</v>
          </cell>
          <cell r="M472">
            <v>35.320374616818903</v>
          </cell>
          <cell r="N472">
            <v>2</v>
          </cell>
        </row>
        <row r="473">
          <cell r="I473" t="str">
            <v>SS</v>
          </cell>
          <cell r="K473" t="str">
            <v>F</v>
          </cell>
          <cell r="M473">
            <v>57.979418977397302</v>
          </cell>
          <cell r="N473">
            <v>4</v>
          </cell>
        </row>
        <row r="474">
          <cell r="I474" t="str">
            <v>SS</v>
          </cell>
          <cell r="K474" t="str">
            <v>F</v>
          </cell>
          <cell r="M474">
            <v>26.2644029798725</v>
          </cell>
          <cell r="N474">
            <v>4</v>
          </cell>
        </row>
        <row r="475">
          <cell r="I475" t="str">
            <v>SS</v>
          </cell>
          <cell r="K475" t="str">
            <v>F</v>
          </cell>
          <cell r="M475">
            <v>19.6886700869848</v>
          </cell>
          <cell r="N475">
            <v>4</v>
          </cell>
        </row>
        <row r="476">
          <cell r="I476" t="str">
            <v>SS</v>
          </cell>
          <cell r="K476" t="str">
            <v>F</v>
          </cell>
          <cell r="M476">
            <v>6.8830344081709196</v>
          </cell>
          <cell r="N476">
            <v>4</v>
          </cell>
        </row>
        <row r="477">
          <cell r="I477" t="str">
            <v>SS</v>
          </cell>
          <cell r="K477" t="str">
            <v>Stk,D</v>
          </cell>
          <cell r="M477">
            <v>0.37099896264729898</v>
          </cell>
          <cell r="N477">
            <v>4</v>
          </cell>
        </row>
        <row r="478">
          <cell r="I478" t="str">
            <v>SS</v>
          </cell>
          <cell r="K478" t="str">
            <v>PG</v>
          </cell>
          <cell r="M478">
            <v>111.847874762084</v>
          </cell>
          <cell r="N478">
            <v>1</v>
          </cell>
        </row>
        <row r="479">
          <cell r="I479" t="str">
            <v>SS</v>
          </cell>
          <cell r="K479" t="str">
            <v>H</v>
          </cell>
          <cell r="M479">
            <v>4.9552332497349996</v>
          </cell>
          <cell r="N479">
            <v>2</v>
          </cell>
        </row>
        <row r="480">
          <cell r="E480" t="str">
            <v>Arizona v California</v>
          </cell>
          <cell r="I480" t="str">
            <v>UG</v>
          </cell>
          <cell r="K480" t="str">
            <v>F</v>
          </cell>
          <cell r="M480">
            <v>1.1344268900174701</v>
          </cell>
          <cell r="N480">
            <v>4</v>
          </cell>
        </row>
        <row r="481">
          <cell r="E481" t="str">
            <v>Arizona v California</v>
          </cell>
          <cell r="I481" t="str">
            <v>UG</v>
          </cell>
          <cell r="K481" t="str">
            <v>F</v>
          </cell>
          <cell r="M481">
            <v>0.349689832803951</v>
          </cell>
          <cell r="N481">
            <v>4</v>
          </cell>
        </row>
        <row r="482">
          <cell r="E482" t="str">
            <v>Arizona v California</v>
          </cell>
          <cell r="I482" t="str">
            <v>UG</v>
          </cell>
          <cell r="K482" t="str">
            <v>F</v>
          </cell>
          <cell r="M482">
            <v>0.10805053233588401</v>
          </cell>
          <cell r="N482">
            <v>4</v>
          </cell>
        </row>
        <row r="483">
          <cell r="E483" t="str">
            <v>Arizona v California</v>
          </cell>
          <cell r="I483" t="str">
            <v>UG</v>
          </cell>
          <cell r="K483" t="str">
            <v>F</v>
          </cell>
          <cell r="M483">
            <v>6.1167240262423997E-2</v>
          </cell>
          <cell r="N483">
            <v>4</v>
          </cell>
        </row>
        <row r="484">
          <cell r="E484" t="str">
            <v>Arizona v California</v>
          </cell>
          <cell r="I484" t="str">
            <v>UG</v>
          </cell>
          <cell r="K484" t="str">
            <v>Res,D</v>
          </cell>
          <cell r="M484">
            <v>2.9927295054081999E-2</v>
          </cell>
          <cell r="N484">
            <v>4</v>
          </cell>
        </row>
        <row r="485">
          <cell r="E485" t="str">
            <v>Arizona v California</v>
          </cell>
          <cell r="I485" t="str">
            <v>UG</v>
          </cell>
          <cell r="K485" t="str">
            <v>Res,D</v>
          </cell>
          <cell r="M485">
            <v>0.76348177059564704</v>
          </cell>
          <cell r="N485">
            <v>4</v>
          </cell>
        </row>
        <row r="486">
          <cell r="E486" t="str">
            <v>Arizona v California</v>
          </cell>
          <cell r="I486" t="str">
            <v>UG</v>
          </cell>
          <cell r="K486" t="str">
            <v>F</v>
          </cell>
          <cell r="M486">
            <v>3.73531728353161</v>
          </cell>
          <cell r="N486">
            <v>4</v>
          </cell>
        </row>
        <row r="487">
          <cell r="E487" t="str">
            <v>Arizona v California</v>
          </cell>
          <cell r="I487" t="str">
            <v>UG</v>
          </cell>
          <cell r="K487" t="str">
            <v>F</v>
          </cell>
          <cell r="M487">
            <v>3.3268962779366502</v>
          </cell>
          <cell r="N487">
            <v>4</v>
          </cell>
        </row>
        <row r="488">
          <cell r="E488" t="str">
            <v>Arizona v California</v>
          </cell>
          <cell r="I488" t="str">
            <v>UG</v>
          </cell>
          <cell r="K488" t="str">
            <v>F</v>
          </cell>
          <cell r="M488">
            <v>2.8593617996749998</v>
          </cell>
          <cell r="N488">
            <v>4</v>
          </cell>
        </row>
        <row r="489">
          <cell r="E489" t="str">
            <v>Arizona v California</v>
          </cell>
          <cell r="I489" t="str">
            <v>UG</v>
          </cell>
          <cell r="K489" t="str">
            <v>INP</v>
          </cell>
          <cell r="M489">
            <v>20.426472689664099</v>
          </cell>
          <cell r="N489">
            <v>2</v>
          </cell>
        </row>
        <row r="490">
          <cell r="E490" t="str">
            <v>Arizona v California</v>
          </cell>
          <cell r="I490" t="str">
            <v>UG</v>
          </cell>
          <cell r="K490" t="str">
            <v>F</v>
          </cell>
          <cell r="M490">
            <v>4.0707239377769904</v>
          </cell>
          <cell r="N490">
            <v>4</v>
          </cell>
        </row>
        <row r="491">
          <cell r="E491" t="str">
            <v>Arizona v California</v>
          </cell>
          <cell r="I491" t="str">
            <v>UG</v>
          </cell>
          <cell r="K491" t="str">
            <v>F</v>
          </cell>
          <cell r="M491">
            <v>8.1970424199856708</v>
          </cell>
          <cell r="N491">
            <v>4</v>
          </cell>
        </row>
        <row r="492">
          <cell r="E492" t="str">
            <v>Arizona v California</v>
          </cell>
          <cell r="I492" t="str">
            <v>UG</v>
          </cell>
          <cell r="K492" t="str">
            <v>F</v>
          </cell>
          <cell r="M492">
            <v>7.1962897003409401</v>
          </cell>
          <cell r="N492">
            <v>4</v>
          </cell>
        </row>
        <row r="493">
          <cell r="E493" t="str">
            <v>Arizona v California</v>
          </cell>
          <cell r="I493" t="str">
            <v>UG</v>
          </cell>
          <cell r="K493" t="str">
            <v>F</v>
          </cell>
          <cell r="M493">
            <v>6.1337709115973702</v>
          </cell>
          <cell r="N493">
            <v>4</v>
          </cell>
        </row>
        <row r="494">
          <cell r="E494" t="str">
            <v>Arizona v California</v>
          </cell>
          <cell r="I494" t="str">
            <v>UG</v>
          </cell>
          <cell r="K494" t="str">
            <v>INP</v>
          </cell>
          <cell r="M494">
            <v>2.4227282518634299</v>
          </cell>
          <cell r="N494">
            <v>1</v>
          </cell>
        </row>
        <row r="495">
          <cell r="E495" t="str">
            <v>Arizona v California</v>
          </cell>
          <cell r="I495" t="str">
            <v>UG</v>
          </cell>
          <cell r="K495" t="str">
            <v>INP</v>
          </cell>
          <cell r="M495">
            <v>0.34711000776417</v>
          </cell>
          <cell r="N495">
            <v>1</v>
          </cell>
        </row>
        <row r="496">
          <cell r="E496" t="str">
            <v>Arizona v California</v>
          </cell>
          <cell r="I496" t="str">
            <v>UG</v>
          </cell>
          <cell r="K496" t="str">
            <v>Res,W</v>
          </cell>
          <cell r="M496">
            <v>0.21376481571917599</v>
          </cell>
          <cell r="N496">
            <v>4</v>
          </cell>
        </row>
        <row r="497">
          <cell r="E497" t="str">
            <v>Arizona v California</v>
          </cell>
          <cell r="I497" t="str">
            <v>UG</v>
          </cell>
          <cell r="K497" t="str">
            <v>F</v>
          </cell>
          <cell r="M497">
            <v>6.2598534255531897</v>
          </cell>
          <cell r="N497">
            <v>4</v>
          </cell>
        </row>
        <row r="498">
          <cell r="E498" t="str">
            <v>Arizona v California</v>
          </cell>
          <cell r="I498" t="str">
            <v>UG</v>
          </cell>
          <cell r="K498" t="str">
            <v>IPP</v>
          </cell>
          <cell r="M498">
            <v>5.2160970524870196</v>
          </cell>
          <cell r="N498">
            <v>1</v>
          </cell>
        </row>
        <row r="499">
          <cell r="E499" t="str">
            <v>Arizona v California</v>
          </cell>
          <cell r="I499" t="str">
            <v>UG</v>
          </cell>
          <cell r="K499" t="str">
            <v>IPP</v>
          </cell>
          <cell r="M499">
            <v>8.8975985657753291</v>
          </cell>
          <cell r="N499">
            <v>1</v>
          </cell>
        </row>
        <row r="500">
          <cell r="E500" t="str">
            <v>Arizona v California</v>
          </cell>
          <cell r="I500" t="str">
            <v>UG</v>
          </cell>
          <cell r="K500" t="str">
            <v>Fo</v>
          </cell>
          <cell r="M500">
            <v>0.33377080178109397</v>
          </cell>
          <cell r="N500">
            <v>1</v>
          </cell>
        </row>
        <row r="501">
          <cell r="E501" t="str">
            <v>Arizona v California</v>
          </cell>
          <cell r="I501" t="str">
            <v>UG</v>
          </cell>
          <cell r="K501" t="str">
            <v>INP</v>
          </cell>
          <cell r="M501">
            <v>6.7589929921799801</v>
          </cell>
          <cell r="N501">
            <v>1</v>
          </cell>
        </row>
        <row r="502">
          <cell r="E502" t="str">
            <v>Arizona v California</v>
          </cell>
          <cell r="I502" t="str">
            <v>UG</v>
          </cell>
          <cell r="K502" t="str">
            <v>F</v>
          </cell>
          <cell r="M502">
            <v>4.3440434255271496</v>
          </cell>
          <cell r="N502">
            <v>4</v>
          </cell>
        </row>
        <row r="503">
          <cell r="E503" t="str">
            <v>Arizona v California</v>
          </cell>
          <cell r="I503" t="str">
            <v>UG</v>
          </cell>
          <cell r="K503" t="str">
            <v>F</v>
          </cell>
          <cell r="M503">
            <v>4.0837177498288497</v>
          </cell>
          <cell r="N503">
            <v>4</v>
          </cell>
        </row>
        <row r="504">
          <cell r="E504" t="str">
            <v>Arizona v California</v>
          </cell>
          <cell r="I504" t="str">
            <v>UG</v>
          </cell>
          <cell r="K504" t="str">
            <v>F</v>
          </cell>
          <cell r="M504">
            <v>4.3237979240827098</v>
          </cell>
          <cell r="N504">
            <v>4</v>
          </cell>
        </row>
        <row r="505">
          <cell r="E505" t="str">
            <v>Arizona v California</v>
          </cell>
          <cell r="I505" t="str">
            <v>UG</v>
          </cell>
          <cell r="K505" t="str">
            <v>F</v>
          </cell>
          <cell r="M505">
            <v>9.1173778210481</v>
          </cell>
          <cell r="N505">
            <v>4</v>
          </cell>
        </row>
        <row r="506">
          <cell r="E506" t="str">
            <v>Arizona v California</v>
          </cell>
          <cell r="I506" t="str">
            <v>UG</v>
          </cell>
          <cell r="K506" t="str">
            <v>F</v>
          </cell>
          <cell r="M506">
            <v>8.2367170087185606</v>
          </cell>
          <cell r="N506">
            <v>4</v>
          </cell>
        </row>
        <row r="507">
          <cell r="E507" t="str">
            <v>Arizona v California</v>
          </cell>
          <cell r="I507" t="str">
            <v>UG</v>
          </cell>
          <cell r="K507" t="str">
            <v>F</v>
          </cell>
          <cell r="M507">
            <v>7.9074384510092504</v>
          </cell>
          <cell r="N507">
            <v>4</v>
          </cell>
        </row>
        <row r="508">
          <cell r="E508" t="str">
            <v>Arizona v California</v>
          </cell>
          <cell r="I508" t="str">
            <v>UG</v>
          </cell>
          <cell r="K508" t="str">
            <v>F</v>
          </cell>
          <cell r="M508">
            <v>7.3188168712119799</v>
          </cell>
          <cell r="N508">
            <v>4</v>
          </cell>
        </row>
        <row r="509">
          <cell r="E509" t="str">
            <v>Arizona v California</v>
          </cell>
          <cell r="I509" t="str">
            <v>UG</v>
          </cell>
          <cell r="K509" t="str">
            <v>NI</v>
          </cell>
          <cell r="M509">
            <v>0.243022655923718</v>
          </cell>
          <cell r="N509">
            <v>4</v>
          </cell>
        </row>
        <row r="510">
          <cell r="E510" t="str">
            <v>Arizona v California</v>
          </cell>
          <cell r="I510" t="str">
            <v>UG</v>
          </cell>
          <cell r="K510" t="str">
            <v>NI</v>
          </cell>
          <cell r="M510">
            <v>0.75770061258934995</v>
          </cell>
          <cell r="N510">
            <v>4</v>
          </cell>
        </row>
        <row r="511">
          <cell r="E511" t="str">
            <v>Arizona v California</v>
          </cell>
          <cell r="I511" t="str">
            <v>UG</v>
          </cell>
          <cell r="K511" t="str">
            <v>IPP</v>
          </cell>
          <cell r="M511">
            <v>1.31049843394988</v>
          </cell>
          <cell r="N511">
            <v>2</v>
          </cell>
        </row>
        <row r="512">
          <cell r="E512" t="str">
            <v>Arizona v California</v>
          </cell>
          <cell r="I512" t="str">
            <v>UG</v>
          </cell>
          <cell r="K512" t="str">
            <v>IPP</v>
          </cell>
          <cell r="M512">
            <v>1.7138624942287599</v>
          </cell>
          <cell r="N512">
            <v>2</v>
          </cell>
        </row>
        <row r="513">
          <cell r="E513" t="str">
            <v>Arizona v California</v>
          </cell>
          <cell r="I513" t="str">
            <v>UG</v>
          </cell>
          <cell r="K513" t="str">
            <v>INP</v>
          </cell>
          <cell r="M513">
            <v>0.667489563504165</v>
          </cell>
          <cell r="N513">
            <v>1</v>
          </cell>
        </row>
        <row r="514">
          <cell r="E514" t="str">
            <v>Arizona v California</v>
          </cell>
          <cell r="I514" t="str">
            <v>UG</v>
          </cell>
          <cell r="K514" t="str">
            <v>INP</v>
          </cell>
          <cell r="M514">
            <v>0.489744890942023</v>
          </cell>
          <cell r="N514">
            <v>1</v>
          </cell>
        </row>
        <row r="515">
          <cell r="E515" t="str">
            <v>Arizona v California</v>
          </cell>
          <cell r="I515" t="str">
            <v>UG</v>
          </cell>
          <cell r="K515" t="str">
            <v>DSL</v>
          </cell>
          <cell r="M515">
            <v>0.50406342099749901</v>
          </cell>
          <cell r="N515">
            <v>1</v>
          </cell>
        </row>
        <row r="516">
          <cell r="E516" t="str">
            <v>Arizona v California</v>
          </cell>
          <cell r="I516" t="str">
            <v>UG</v>
          </cell>
          <cell r="K516" t="str">
            <v>INP</v>
          </cell>
          <cell r="M516">
            <v>0.54057230547603596</v>
          </cell>
          <cell r="N516">
            <v>1</v>
          </cell>
        </row>
        <row r="517">
          <cell r="E517" t="str">
            <v>Arizona v California</v>
          </cell>
          <cell r="I517" t="str">
            <v>UG</v>
          </cell>
          <cell r="K517" t="str">
            <v>INP</v>
          </cell>
          <cell r="M517">
            <v>0.40288390107765398</v>
          </cell>
          <cell r="N517">
            <v>1</v>
          </cell>
        </row>
        <row r="518">
          <cell r="E518" t="str">
            <v>Arizona v California</v>
          </cell>
          <cell r="I518" t="str">
            <v>UG</v>
          </cell>
          <cell r="K518" t="str">
            <v>DSL</v>
          </cell>
          <cell r="M518">
            <v>0.52679794010653402</v>
          </cell>
          <cell r="N518">
            <v>2</v>
          </cell>
        </row>
        <row r="519">
          <cell r="E519" t="str">
            <v>Arizona v California</v>
          </cell>
          <cell r="I519" t="str">
            <v>UG</v>
          </cell>
          <cell r="K519" t="str">
            <v>INP</v>
          </cell>
          <cell r="M519">
            <v>0.55464220544305998</v>
          </cell>
          <cell r="N519">
            <v>1</v>
          </cell>
        </row>
        <row r="520">
          <cell r="E520" t="str">
            <v>Arizona v California</v>
          </cell>
          <cell r="I520" t="str">
            <v>UG</v>
          </cell>
          <cell r="K520" t="str">
            <v>INP</v>
          </cell>
          <cell r="M520">
            <v>0.50537187238571202</v>
          </cell>
          <cell r="N520">
            <v>1</v>
          </cell>
        </row>
        <row r="521">
          <cell r="E521" t="str">
            <v>Arizona v California</v>
          </cell>
          <cell r="I521" t="str">
            <v>UG</v>
          </cell>
          <cell r="K521" t="str">
            <v>INP</v>
          </cell>
          <cell r="M521">
            <v>0.69694054752756196</v>
          </cell>
          <cell r="N521">
            <v>1</v>
          </cell>
        </row>
        <row r="522">
          <cell r="E522" t="str">
            <v>Arizona v California</v>
          </cell>
          <cell r="I522" t="str">
            <v>UG</v>
          </cell>
          <cell r="K522" t="str">
            <v>F</v>
          </cell>
          <cell r="M522">
            <v>0.428939539039073</v>
          </cell>
          <cell r="N522">
            <v>4</v>
          </cell>
        </row>
        <row r="523">
          <cell r="E523" t="str">
            <v>Arizona v California</v>
          </cell>
          <cell r="I523" t="str">
            <v>UG</v>
          </cell>
          <cell r="K523" t="str">
            <v>INP</v>
          </cell>
          <cell r="M523">
            <v>4.0496086627951504</v>
          </cell>
          <cell r="N523">
            <v>1</v>
          </cell>
        </row>
        <row r="524">
          <cell r="E524" t="str">
            <v>Arizona v California</v>
          </cell>
          <cell r="I524" t="str">
            <v>UG</v>
          </cell>
          <cell r="K524" t="str">
            <v>INP</v>
          </cell>
          <cell r="M524">
            <v>0.77543196938297498</v>
          </cell>
          <cell r="N524">
            <v>1</v>
          </cell>
        </row>
        <row r="525">
          <cell r="E525" t="str">
            <v>Arizona v California</v>
          </cell>
          <cell r="I525" t="str">
            <v>UG</v>
          </cell>
          <cell r="K525" t="str">
            <v>INP</v>
          </cell>
          <cell r="M525">
            <v>0.63605173623904798</v>
          </cell>
          <cell r="N525">
            <v>1</v>
          </cell>
        </row>
        <row r="526">
          <cell r="E526" t="str">
            <v>Arizona v California</v>
          </cell>
          <cell r="I526" t="str">
            <v>UG</v>
          </cell>
          <cell r="K526" t="str">
            <v>INP</v>
          </cell>
          <cell r="M526">
            <v>1.3371773995751399</v>
          </cell>
          <cell r="N526">
            <v>1</v>
          </cell>
        </row>
        <row r="527">
          <cell r="E527" t="str">
            <v>Arizona v California</v>
          </cell>
          <cell r="I527" t="str">
            <v>UG</v>
          </cell>
          <cell r="K527" t="str">
            <v>Tw</v>
          </cell>
          <cell r="M527">
            <v>0.39381382084293098</v>
          </cell>
          <cell r="N527">
            <v>1</v>
          </cell>
        </row>
        <row r="528">
          <cell r="E528" t="str">
            <v>Arizona v California</v>
          </cell>
          <cell r="I528" t="str">
            <v>UG</v>
          </cell>
          <cell r="K528" t="str">
            <v>Fo</v>
          </cell>
          <cell r="M528">
            <v>0.68020703233796498</v>
          </cell>
          <cell r="N528">
            <v>1</v>
          </cell>
        </row>
        <row r="529">
          <cell r="E529" t="str">
            <v>Arizona v California</v>
          </cell>
          <cell r="I529" t="str">
            <v>UG</v>
          </cell>
          <cell r="K529" t="str">
            <v>INP</v>
          </cell>
          <cell r="M529">
            <v>0.95170736059250505</v>
          </cell>
          <cell r="N529">
            <v>1</v>
          </cell>
        </row>
        <row r="530">
          <cell r="E530" t="str">
            <v>Arizona v California</v>
          </cell>
          <cell r="I530" t="str">
            <v>UG</v>
          </cell>
          <cell r="K530" t="str">
            <v>IPP</v>
          </cell>
          <cell r="M530">
            <v>2.4492689654316102</v>
          </cell>
          <cell r="N530">
            <v>1</v>
          </cell>
        </row>
        <row r="531">
          <cell r="E531" t="str">
            <v>Arizona v California</v>
          </cell>
          <cell r="I531" t="str">
            <v>UG</v>
          </cell>
          <cell r="K531" t="str">
            <v>F</v>
          </cell>
          <cell r="M531">
            <v>1.81428321208268</v>
          </cell>
          <cell r="N531">
            <v>4</v>
          </cell>
        </row>
        <row r="532">
          <cell r="E532" t="str">
            <v>Arizona v California</v>
          </cell>
          <cell r="I532" t="str">
            <v>UG</v>
          </cell>
          <cell r="K532" t="str">
            <v>Res,W</v>
          </cell>
          <cell r="M532">
            <v>0.44059415039219002</v>
          </cell>
          <cell r="N532">
            <v>4</v>
          </cell>
        </row>
        <row r="533">
          <cell r="E533" t="str">
            <v>Arizona v California</v>
          </cell>
          <cell r="I533" t="str">
            <v>UG</v>
          </cell>
          <cell r="K533" t="str">
            <v>F</v>
          </cell>
          <cell r="M533">
            <v>4.3101857396528303</v>
          </cell>
          <cell r="N533">
            <v>4</v>
          </cell>
        </row>
        <row r="534">
          <cell r="E534" t="str">
            <v>Arizona v California</v>
          </cell>
          <cell r="I534" t="str">
            <v>UG</v>
          </cell>
          <cell r="K534" t="str">
            <v>F</v>
          </cell>
          <cell r="M534">
            <v>2.8804135258731098</v>
          </cell>
          <cell r="N534">
            <v>4</v>
          </cell>
        </row>
        <row r="535">
          <cell r="E535" t="str">
            <v>Arizona v California</v>
          </cell>
          <cell r="I535" t="str">
            <v>UG</v>
          </cell>
          <cell r="K535" t="str">
            <v>F</v>
          </cell>
          <cell r="M535">
            <v>1.42933392427946</v>
          </cell>
          <cell r="N535">
            <v>4</v>
          </cell>
        </row>
        <row r="536">
          <cell r="E536" t="str">
            <v>Arizona v California</v>
          </cell>
          <cell r="I536" t="str">
            <v>UG</v>
          </cell>
          <cell r="K536" t="str">
            <v>F</v>
          </cell>
          <cell r="M536">
            <v>11.3990636137046</v>
          </cell>
          <cell r="N536">
            <v>4</v>
          </cell>
        </row>
        <row r="537">
          <cell r="E537" t="str">
            <v>Arizona v California</v>
          </cell>
          <cell r="I537" t="str">
            <v>UG</v>
          </cell>
          <cell r="K537" t="str">
            <v>F</v>
          </cell>
          <cell r="M537">
            <v>9.5857845567912996</v>
          </cell>
          <cell r="N537">
            <v>4</v>
          </cell>
        </row>
        <row r="538">
          <cell r="E538" t="str">
            <v>Arizona v California</v>
          </cell>
          <cell r="I538" t="str">
            <v>UG</v>
          </cell>
          <cell r="K538" t="str">
            <v>F</v>
          </cell>
          <cell r="M538">
            <v>2.4717577202528598</v>
          </cell>
          <cell r="N538">
            <v>4</v>
          </cell>
        </row>
        <row r="539">
          <cell r="E539" t="str">
            <v>Arizona v California</v>
          </cell>
          <cell r="I539" t="str">
            <v>UG</v>
          </cell>
          <cell r="K539" t="str">
            <v>F</v>
          </cell>
          <cell r="M539">
            <v>2.4927830789963998</v>
          </cell>
          <cell r="N539">
            <v>4</v>
          </cell>
        </row>
        <row r="540">
          <cell r="E540" t="str">
            <v>Arizona v California</v>
          </cell>
          <cell r="I540" t="str">
            <v>UG</v>
          </cell>
          <cell r="K540" t="str">
            <v>F</v>
          </cell>
          <cell r="M540">
            <v>3.1037292979518298</v>
          </cell>
          <cell r="N540">
            <v>4</v>
          </cell>
        </row>
        <row r="541">
          <cell r="E541" t="str">
            <v>Arizona v California</v>
          </cell>
          <cell r="I541" t="str">
            <v>UG</v>
          </cell>
          <cell r="K541" t="str">
            <v>F</v>
          </cell>
          <cell r="M541">
            <v>0.86808394404073297</v>
          </cell>
          <cell r="N541">
            <v>4</v>
          </cell>
        </row>
        <row r="542">
          <cell r="E542" t="str">
            <v>Arizona v California</v>
          </cell>
          <cell r="I542" t="str">
            <v>UG</v>
          </cell>
          <cell r="K542" t="str">
            <v>F</v>
          </cell>
          <cell r="M542">
            <v>0.98057232742681599</v>
          </cell>
          <cell r="N542">
            <v>4</v>
          </cell>
        </row>
        <row r="543">
          <cell r="E543" t="str">
            <v>Arizona v California</v>
          </cell>
          <cell r="I543" t="str">
            <v>UG</v>
          </cell>
          <cell r="K543" t="str">
            <v>F</v>
          </cell>
          <cell r="M543">
            <v>5.0568433808842297</v>
          </cell>
          <cell r="N543">
            <v>4</v>
          </cell>
        </row>
        <row r="544">
          <cell r="E544" t="str">
            <v>Arizona v California</v>
          </cell>
          <cell r="I544" t="str">
            <v>UG</v>
          </cell>
          <cell r="K544" t="str">
            <v>NI</v>
          </cell>
          <cell r="M544">
            <v>0.47707173861627</v>
          </cell>
          <cell r="N544">
            <v>4</v>
          </cell>
        </row>
        <row r="545">
          <cell r="E545" t="str">
            <v>Arizona v California</v>
          </cell>
          <cell r="I545" t="str">
            <v>UG</v>
          </cell>
          <cell r="K545" t="str">
            <v>NI</v>
          </cell>
          <cell r="M545">
            <v>0.53653696067177004</v>
          </cell>
          <cell r="N545">
            <v>4</v>
          </cell>
        </row>
        <row r="546">
          <cell r="E546" t="str">
            <v>Arizona v California</v>
          </cell>
          <cell r="I546" t="str">
            <v>UG</v>
          </cell>
          <cell r="K546" t="str">
            <v>F</v>
          </cell>
          <cell r="M546">
            <v>8.6113947111370006</v>
          </cell>
          <cell r="N546">
            <v>4</v>
          </cell>
        </row>
        <row r="547">
          <cell r="E547" t="str">
            <v>Arizona v California</v>
          </cell>
          <cell r="I547" t="str">
            <v>UG</v>
          </cell>
          <cell r="K547" t="str">
            <v>F</v>
          </cell>
          <cell r="M547">
            <v>2.6483834216919102</v>
          </cell>
          <cell r="N547">
            <v>4</v>
          </cell>
        </row>
        <row r="548">
          <cell r="E548" t="str">
            <v>Arizona v California</v>
          </cell>
          <cell r="I548" t="str">
            <v>UG</v>
          </cell>
          <cell r="K548" t="str">
            <v>F</v>
          </cell>
          <cell r="M548">
            <v>1.11784780803624</v>
          </cell>
          <cell r="N548">
            <v>4</v>
          </cell>
        </row>
        <row r="549">
          <cell r="E549" t="str">
            <v>Arizona v California</v>
          </cell>
          <cell r="I549" t="str">
            <v>UG</v>
          </cell>
          <cell r="K549" t="str">
            <v>F</v>
          </cell>
          <cell r="M549">
            <v>1.6186976620462099</v>
          </cell>
          <cell r="N549">
            <v>4</v>
          </cell>
        </row>
        <row r="550">
          <cell r="E550" t="str">
            <v>Arizona v California</v>
          </cell>
          <cell r="I550" t="str">
            <v>UG</v>
          </cell>
          <cell r="K550" t="str">
            <v>F</v>
          </cell>
          <cell r="M550">
            <v>0.87330162590475202</v>
          </cell>
          <cell r="N550">
            <v>4</v>
          </cell>
        </row>
        <row r="551">
          <cell r="E551" t="str">
            <v>Arizona v California</v>
          </cell>
          <cell r="I551" t="str">
            <v>UG</v>
          </cell>
          <cell r="K551" t="str">
            <v>F</v>
          </cell>
          <cell r="M551">
            <v>5.2497785646353403</v>
          </cell>
          <cell r="N551">
            <v>4</v>
          </cell>
        </row>
        <row r="552">
          <cell r="E552" t="str">
            <v>Arizona v California</v>
          </cell>
          <cell r="I552" t="str">
            <v>UG</v>
          </cell>
          <cell r="K552" t="str">
            <v>F</v>
          </cell>
          <cell r="M552">
            <v>1.0279420109455</v>
          </cell>
          <cell r="N552">
            <v>4</v>
          </cell>
        </row>
        <row r="553">
          <cell r="E553" t="str">
            <v>Arizona v California</v>
          </cell>
          <cell r="I553" t="str">
            <v>UG</v>
          </cell>
          <cell r="K553" t="str">
            <v>F</v>
          </cell>
          <cell r="M553">
            <v>1.1344630621897001</v>
          </cell>
          <cell r="N553">
            <v>4</v>
          </cell>
        </row>
        <row r="554">
          <cell r="E554" t="str">
            <v>Arizona v California</v>
          </cell>
          <cell r="I554" t="str">
            <v>UG</v>
          </cell>
          <cell r="K554" t="str">
            <v>F</v>
          </cell>
          <cell r="M554">
            <v>1.90979845761671</v>
          </cell>
          <cell r="N554">
            <v>4</v>
          </cell>
        </row>
        <row r="555">
          <cell r="E555" t="str">
            <v>Arizona v California</v>
          </cell>
          <cell r="I555" t="str">
            <v>UG</v>
          </cell>
          <cell r="K555" t="str">
            <v>F</v>
          </cell>
          <cell r="M555">
            <v>2.0995019037823899</v>
          </cell>
          <cell r="N555">
            <v>4</v>
          </cell>
        </row>
        <row r="556">
          <cell r="E556" t="str">
            <v>Arizona v California</v>
          </cell>
          <cell r="I556" t="str">
            <v>UG</v>
          </cell>
          <cell r="K556" t="str">
            <v>F</v>
          </cell>
          <cell r="M556">
            <v>2.61973663924099</v>
          </cell>
          <cell r="N556">
            <v>4</v>
          </cell>
        </row>
        <row r="557">
          <cell r="E557" t="str">
            <v>Arizona v California</v>
          </cell>
          <cell r="I557" t="str">
            <v>UG</v>
          </cell>
          <cell r="K557" t="str">
            <v>F</v>
          </cell>
          <cell r="M557">
            <v>5.0224621133691798</v>
          </cell>
          <cell r="N557">
            <v>4</v>
          </cell>
        </row>
        <row r="558">
          <cell r="E558" t="str">
            <v>Arizona v California</v>
          </cell>
          <cell r="I558" t="str">
            <v>UG</v>
          </cell>
          <cell r="K558" t="str">
            <v>F</v>
          </cell>
          <cell r="M558">
            <v>1.70901325068383</v>
          </cell>
          <cell r="N558">
            <v>4</v>
          </cell>
        </row>
        <row r="559">
          <cell r="E559" t="str">
            <v>Arizona v California</v>
          </cell>
          <cell r="I559" t="str">
            <v>UG</v>
          </cell>
          <cell r="K559" t="str">
            <v>F</v>
          </cell>
          <cell r="M559">
            <v>4.9219154859979998E-2</v>
          </cell>
          <cell r="N559">
            <v>4</v>
          </cell>
        </row>
        <row r="560">
          <cell r="E560" t="str">
            <v>Arizona v California</v>
          </cell>
          <cell r="I560" t="str">
            <v>UG</v>
          </cell>
          <cell r="K560" t="str">
            <v>F</v>
          </cell>
          <cell r="M560">
            <v>1.45509869336091</v>
          </cell>
          <cell r="N560">
            <v>4</v>
          </cell>
        </row>
        <row r="561">
          <cell r="E561" t="str">
            <v>Arizona v California</v>
          </cell>
          <cell r="I561" t="str">
            <v>UG</v>
          </cell>
          <cell r="K561" t="str">
            <v>F</v>
          </cell>
          <cell r="M561">
            <v>1.00729722722149</v>
          </cell>
          <cell r="N561">
            <v>4</v>
          </cell>
        </row>
        <row r="562">
          <cell r="E562" t="str">
            <v>Arizona v California</v>
          </cell>
          <cell r="I562" t="str">
            <v>UG</v>
          </cell>
          <cell r="K562" t="str">
            <v>F</v>
          </cell>
          <cell r="M562">
            <v>7.5243610170933399</v>
          </cell>
          <cell r="N562">
            <v>4</v>
          </cell>
        </row>
        <row r="563">
          <cell r="E563" t="str">
            <v>Arizona v California</v>
          </cell>
          <cell r="I563" t="str">
            <v>UG</v>
          </cell>
          <cell r="K563" t="str">
            <v>F</v>
          </cell>
          <cell r="M563">
            <v>0.34125933723040802</v>
          </cell>
          <cell r="N563">
            <v>4</v>
          </cell>
        </row>
        <row r="564">
          <cell r="E564" t="str">
            <v>Arizona v California</v>
          </cell>
          <cell r="I564" t="str">
            <v>UG</v>
          </cell>
          <cell r="K564" t="str">
            <v>F</v>
          </cell>
          <cell r="M564">
            <v>1.1657438243159699</v>
          </cell>
          <cell r="N564">
            <v>4</v>
          </cell>
        </row>
        <row r="565">
          <cell r="E565" t="str">
            <v>Arizona v California</v>
          </cell>
          <cell r="I565" t="str">
            <v>UG</v>
          </cell>
          <cell r="K565" t="str">
            <v>F</v>
          </cell>
          <cell r="M565">
            <v>3.3277298747974098</v>
          </cell>
          <cell r="N565">
            <v>4</v>
          </cell>
        </row>
        <row r="566">
          <cell r="E566" t="str">
            <v>Arizona v California</v>
          </cell>
          <cell r="I566" t="str">
            <v>UG</v>
          </cell>
          <cell r="K566" t="str">
            <v>DSL</v>
          </cell>
          <cell r="M566">
            <v>4.7845673065916999E-2</v>
          </cell>
          <cell r="N566">
            <v>2</v>
          </cell>
        </row>
        <row r="567">
          <cell r="E567" t="str">
            <v>Arizona v California</v>
          </cell>
          <cell r="I567" t="str">
            <v>UG</v>
          </cell>
          <cell r="K567" t="str">
            <v>DSL</v>
          </cell>
          <cell r="M567">
            <v>0.12520262188575501</v>
          </cell>
          <cell r="N567">
            <v>2</v>
          </cell>
        </row>
        <row r="568">
          <cell r="E568" t="str">
            <v>Arizona v California</v>
          </cell>
          <cell r="I568" t="str">
            <v>UG</v>
          </cell>
          <cell r="K568" t="str">
            <v>F</v>
          </cell>
          <cell r="M568">
            <v>0.96046019650659398</v>
          </cell>
          <cell r="N568">
            <v>4</v>
          </cell>
        </row>
        <row r="569">
          <cell r="E569" t="str">
            <v>Arizona v California</v>
          </cell>
          <cell r="I569" t="str">
            <v>UG</v>
          </cell>
          <cell r="K569" t="str">
            <v>F</v>
          </cell>
          <cell r="M569">
            <v>1.0306225642229001</v>
          </cell>
          <cell r="N569">
            <v>4</v>
          </cell>
        </row>
        <row r="570">
          <cell r="E570" t="str">
            <v>Arizona v California</v>
          </cell>
          <cell r="I570" t="str">
            <v>UG</v>
          </cell>
          <cell r="K570" t="str">
            <v>DSL</v>
          </cell>
          <cell r="M570">
            <v>0.804179513656615</v>
          </cell>
          <cell r="N570">
            <v>2</v>
          </cell>
        </row>
        <row r="571">
          <cell r="E571" t="str">
            <v>Arizona v California</v>
          </cell>
          <cell r="I571" t="str">
            <v>UG</v>
          </cell>
          <cell r="K571" t="str">
            <v>DSL</v>
          </cell>
          <cell r="M571">
            <v>0.13818167592994099</v>
          </cell>
          <cell r="N571">
            <v>2</v>
          </cell>
        </row>
        <row r="572">
          <cell r="E572" t="str">
            <v>Arizona v California</v>
          </cell>
          <cell r="I572" t="str">
            <v>UG</v>
          </cell>
          <cell r="K572" t="str">
            <v>DSL</v>
          </cell>
          <cell r="M572">
            <v>6.5583689851020005E-2</v>
          </cell>
          <cell r="N572">
            <v>2</v>
          </cell>
        </row>
        <row r="573">
          <cell r="E573" t="str">
            <v>Arizona v California</v>
          </cell>
          <cell r="I573" t="str">
            <v>UG</v>
          </cell>
          <cell r="K573" t="str">
            <v>DSL</v>
          </cell>
          <cell r="M573">
            <v>6.6069704348695996E-2</v>
          </cell>
          <cell r="N573">
            <v>2</v>
          </cell>
        </row>
        <row r="574">
          <cell r="E574" t="str">
            <v>Arizona v California</v>
          </cell>
          <cell r="I574" t="str">
            <v>UG</v>
          </cell>
          <cell r="K574" t="str">
            <v>DSL</v>
          </cell>
          <cell r="M574">
            <v>6.8338013007682996E-2</v>
          </cell>
          <cell r="N574">
            <v>2</v>
          </cell>
        </row>
        <row r="575">
          <cell r="E575" t="str">
            <v>Arizona v California</v>
          </cell>
          <cell r="I575" t="str">
            <v>UG</v>
          </cell>
          <cell r="K575" t="str">
            <v>IPP</v>
          </cell>
          <cell r="M575">
            <v>0.53765532973233598</v>
          </cell>
          <cell r="N575">
            <v>2</v>
          </cell>
        </row>
        <row r="576">
          <cell r="E576" t="str">
            <v>Arizona v California</v>
          </cell>
          <cell r="I576" t="str">
            <v>UG</v>
          </cell>
          <cell r="K576" t="str">
            <v>Fo</v>
          </cell>
          <cell r="M576">
            <v>6.1923502858738003E-2</v>
          </cell>
          <cell r="N576">
            <v>2</v>
          </cell>
        </row>
        <row r="577">
          <cell r="E577" t="str">
            <v>Arizona v California</v>
          </cell>
          <cell r="I577" t="str">
            <v>UG</v>
          </cell>
          <cell r="K577" t="str">
            <v>MV</v>
          </cell>
          <cell r="M577">
            <v>9.7828169699040006E-3</v>
          </cell>
          <cell r="N577">
            <v>2</v>
          </cell>
        </row>
        <row r="578">
          <cell r="E578" t="str">
            <v>Arizona v California</v>
          </cell>
          <cell r="I578" t="str">
            <v>UG</v>
          </cell>
          <cell r="K578" t="str">
            <v>MV</v>
          </cell>
          <cell r="M578">
            <v>0.16750493335017899</v>
          </cell>
          <cell r="N578">
            <v>3</v>
          </cell>
        </row>
        <row r="579">
          <cell r="E579" t="str">
            <v>Arizona v California</v>
          </cell>
          <cell r="I579" t="str">
            <v>UG</v>
          </cell>
          <cell r="K579" t="str">
            <v>F</v>
          </cell>
          <cell r="M579">
            <v>1.466447259278E-2</v>
          </cell>
          <cell r="N579">
            <v>4</v>
          </cell>
        </row>
        <row r="580">
          <cell r="E580" t="str">
            <v>Arizona v California</v>
          </cell>
          <cell r="I580" t="str">
            <v>UG</v>
          </cell>
          <cell r="K580" t="str">
            <v>F</v>
          </cell>
          <cell r="M580">
            <v>0.43829717844245802</v>
          </cell>
          <cell r="N580">
            <v>4</v>
          </cell>
        </row>
        <row r="581">
          <cell r="E581" t="str">
            <v>Arizona v California</v>
          </cell>
          <cell r="I581" t="str">
            <v>UG</v>
          </cell>
          <cell r="K581" t="str">
            <v>Res,W</v>
          </cell>
          <cell r="M581">
            <v>0.96474361692953503</v>
          </cell>
          <cell r="N581">
            <v>4</v>
          </cell>
        </row>
        <row r="582">
          <cell r="E582" t="str">
            <v>Arizona v California</v>
          </cell>
          <cell r="I582" t="str">
            <v>UG</v>
          </cell>
          <cell r="K582" t="str">
            <v>IPP</v>
          </cell>
          <cell r="M582">
            <v>4.9789547435710402</v>
          </cell>
          <cell r="N582">
            <v>1</v>
          </cell>
        </row>
        <row r="583">
          <cell r="E583" t="str">
            <v>Arizona v California</v>
          </cell>
          <cell r="I583" t="str">
            <v>UG</v>
          </cell>
          <cell r="K583" t="str">
            <v>DSL</v>
          </cell>
          <cell r="M583">
            <v>0.42280121889125299</v>
          </cell>
          <cell r="N583">
            <v>2</v>
          </cell>
        </row>
        <row r="584">
          <cell r="E584" t="str">
            <v>Arizona v California</v>
          </cell>
          <cell r="I584" t="str">
            <v>UG</v>
          </cell>
          <cell r="K584" t="str">
            <v>INP</v>
          </cell>
          <cell r="M584">
            <v>0.58705682181781205</v>
          </cell>
          <cell r="N584">
            <v>1</v>
          </cell>
        </row>
        <row r="585">
          <cell r="E585" t="str">
            <v>Arizona v California</v>
          </cell>
          <cell r="I585" t="str">
            <v>UG</v>
          </cell>
          <cell r="K585" t="str">
            <v>F</v>
          </cell>
          <cell r="M585">
            <v>0.31908438650656201</v>
          </cell>
          <cell r="N585">
            <v>4</v>
          </cell>
        </row>
        <row r="586">
          <cell r="E586" t="str">
            <v>Arizona v California</v>
          </cell>
          <cell r="I586" t="str">
            <v>UG</v>
          </cell>
          <cell r="K586" t="str">
            <v>F</v>
          </cell>
          <cell r="M586">
            <v>1.87851120541496</v>
          </cell>
          <cell r="N586">
            <v>4</v>
          </cell>
        </row>
        <row r="587">
          <cell r="E587" t="str">
            <v>Arizona v California</v>
          </cell>
          <cell r="I587" t="str">
            <v>UG</v>
          </cell>
          <cell r="K587" t="str">
            <v>DSL</v>
          </cell>
          <cell r="M587">
            <v>0.24601595385957001</v>
          </cell>
          <cell r="N587">
            <v>2</v>
          </cell>
        </row>
        <row r="588">
          <cell r="E588" t="str">
            <v>Arizona v California</v>
          </cell>
          <cell r="I588" t="str">
            <v>UG</v>
          </cell>
          <cell r="K588" t="str">
            <v>DSL</v>
          </cell>
          <cell r="M588">
            <v>7.7026163999270994E-2</v>
          </cell>
          <cell r="N588">
            <v>2</v>
          </cell>
        </row>
        <row r="589">
          <cell r="E589" t="str">
            <v>Arizona v California</v>
          </cell>
          <cell r="I589" t="str">
            <v>UG</v>
          </cell>
          <cell r="K589" t="str">
            <v>DSL</v>
          </cell>
          <cell r="M589">
            <v>5.5741976997689999E-2</v>
          </cell>
          <cell r="N589">
            <v>2</v>
          </cell>
        </row>
        <row r="590">
          <cell r="E590" t="str">
            <v>Arizona v California</v>
          </cell>
          <cell r="I590" t="str">
            <v>UG</v>
          </cell>
          <cell r="K590" t="str">
            <v>DSL</v>
          </cell>
          <cell r="M590">
            <v>9.9906055454850005E-3</v>
          </cell>
          <cell r="N590">
            <v>2</v>
          </cell>
        </row>
        <row r="591">
          <cell r="E591" t="str">
            <v>Arizona v California</v>
          </cell>
          <cell r="I591" t="str">
            <v>UG</v>
          </cell>
          <cell r="K591" t="str">
            <v>DSL</v>
          </cell>
          <cell r="M591">
            <v>9.8780302775851994E-2</v>
          </cell>
          <cell r="N591">
            <v>2</v>
          </cell>
        </row>
        <row r="592">
          <cell r="E592" t="str">
            <v>Arizona v California</v>
          </cell>
          <cell r="I592" t="str">
            <v>UG</v>
          </cell>
          <cell r="K592" t="str">
            <v>IPP</v>
          </cell>
          <cell r="M592">
            <v>1.6110958670143201</v>
          </cell>
          <cell r="N592">
            <v>2</v>
          </cell>
        </row>
        <row r="593">
          <cell r="E593" t="str">
            <v>Arizona v California</v>
          </cell>
          <cell r="I593" t="str">
            <v>UG</v>
          </cell>
          <cell r="K593" t="str">
            <v>IPP</v>
          </cell>
          <cell r="M593">
            <v>2.4841576024015501</v>
          </cell>
          <cell r="N593">
            <v>2</v>
          </cell>
        </row>
        <row r="594">
          <cell r="E594" t="str">
            <v>Arizona v California</v>
          </cell>
          <cell r="I594" t="str">
            <v>UG</v>
          </cell>
          <cell r="K594" t="str">
            <v>IPP</v>
          </cell>
          <cell r="M594">
            <v>0.95407531857038197</v>
          </cell>
          <cell r="N594">
            <v>2</v>
          </cell>
        </row>
        <row r="595">
          <cell r="E595" t="str">
            <v>Arizona v California</v>
          </cell>
          <cell r="I595" t="str">
            <v>UG</v>
          </cell>
          <cell r="K595" t="str">
            <v>Res,W</v>
          </cell>
          <cell r="M595">
            <v>1.2488866850832601</v>
          </cell>
          <cell r="N595">
            <v>4</v>
          </cell>
        </row>
        <row r="596">
          <cell r="E596" t="str">
            <v>Arizona v California</v>
          </cell>
          <cell r="I596" t="str">
            <v>UG</v>
          </cell>
          <cell r="K596" t="str">
            <v>Res,D</v>
          </cell>
          <cell r="M596">
            <v>8.2639060516220404</v>
          </cell>
          <cell r="N596">
            <v>4</v>
          </cell>
        </row>
        <row r="597">
          <cell r="E597" t="str">
            <v>Arizona v California</v>
          </cell>
          <cell r="I597" t="str">
            <v>UG</v>
          </cell>
          <cell r="K597" t="str">
            <v>DSL</v>
          </cell>
          <cell r="M597">
            <v>0.121411273936508</v>
          </cell>
          <cell r="N597">
            <v>2</v>
          </cell>
        </row>
        <row r="598">
          <cell r="E598" t="str">
            <v>Arizona v California</v>
          </cell>
          <cell r="I598" t="str">
            <v>UG</v>
          </cell>
          <cell r="K598" t="str">
            <v>DSL</v>
          </cell>
          <cell r="M598">
            <v>3.5847674939709999E-3</v>
          </cell>
          <cell r="N598">
            <v>2</v>
          </cell>
        </row>
        <row r="599">
          <cell r="E599" t="str">
            <v>Arizona v California</v>
          </cell>
          <cell r="I599" t="str">
            <v>UG</v>
          </cell>
          <cell r="K599" t="str">
            <v>INP</v>
          </cell>
          <cell r="M599">
            <v>1.0864119497442399</v>
          </cell>
          <cell r="N599">
            <v>1</v>
          </cell>
        </row>
        <row r="600">
          <cell r="E600" t="str">
            <v>Arizona v California</v>
          </cell>
          <cell r="I600" t="str">
            <v>UG</v>
          </cell>
          <cell r="K600" t="str">
            <v>IPP</v>
          </cell>
          <cell r="M600">
            <v>0.36112327344745299</v>
          </cell>
          <cell r="N600">
            <v>2</v>
          </cell>
        </row>
        <row r="601">
          <cell r="E601" t="str">
            <v>Arizona v California</v>
          </cell>
          <cell r="I601" t="str">
            <v>UG</v>
          </cell>
          <cell r="K601" t="str">
            <v>MV</v>
          </cell>
          <cell r="M601">
            <v>0.115000574158392</v>
          </cell>
          <cell r="N601">
            <v>3</v>
          </cell>
        </row>
        <row r="602">
          <cell r="E602" t="str">
            <v>Arizona v California</v>
          </cell>
          <cell r="I602" t="str">
            <v>UG</v>
          </cell>
          <cell r="K602" t="str">
            <v>DSL</v>
          </cell>
          <cell r="M602">
            <v>8.6475237448427E-2</v>
          </cell>
          <cell r="N602">
            <v>2</v>
          </cell>
        </row>
        <row r="603">
          <cell r="E603" t="str">
            <v>Arizona v California</v>
          </cell>
          <cell r="I603" t="str">
            <v>UG</v>
          </cell>
          <cell r="K603" t="str">
            <v>IPP</v>
          </cell>
          <cell r="M603">
            <v>0.258949961394981</v>
          </cell>
          <cell r="N603">
            <v>2</v>
          </cell>
        </row>
        <row r="604">
          <cell r="E604" t="str">
            <v>Arizona v California</v>
          </cell>
          <cell r="I604" t="str">
            <v>UG</v>
          </cell>
          <cell r="K604" t="str">
            <v>Fo</v>
          </cell>
          <cell r="M604">
            <v>6.8166976090844003E-2</v>
          </cell>
          <cell r="N604">
            <v>2</v>
          </cell>
        </row>
        <row r="605">
          <cell r="E605" t="str">
            <v>Arizona v California</v>
          </cell>
          <cell r="I605" t="str">
            <v>UG</v>
          </cell>
          <cell r="K605" t="str">
            <v>INP</v>
          </cell>
          <cell r="M605">
            <v>0.44925718864784597</v>
          </cell>
          <cell r="N605">
            <v>1</v>
          </cell>
        </row>
        <row r="606">
          <cell r="E606" t="str">
            <v>Arizona v California</v>
          </cell>
          <cell r="I606" t="str">
            <v>UG</v>
          </cell>
          <cell r="K606" t="str">
            <v>DSL</v>
          </cell>
          <cell r="M606">
            <v>0.45570240259591499</v>
          </cell>
          <cell r="N606">
            <v>1</v>
          </cell>
        </row>
        <row r="607">
          <cell r="E607" t="str">
            <v>Arizona v California</v>
          </cell>
          <cell r="I607" t="str">
            <v>UG</v>
          </cell>
          <cell r="K607" t="str">
            <v>F</v>
          </cell>
          <cell r="M607">
            <v>2.5911569558609702</v>
          </cell>
          <cell r="N607">
            <v>4</v>
          </cell>
        </row>
        <row r="608">
          <cell r="E608" t="str">
            <v>Arizona v California</v>
          </cell>
          <cell r="I608" t="str">
            <v>UG</v>
          </cell>
          <cell r="K608" t="str">
            <v>DSL</v>
          </cell>
          <cell r="M608">
            <v>0.22172148051292601</v>
          </cell>
          <cell r="N608">
            <v>2</v>
          </cell>
        </row>
        <row r="609">
          <cell r="E609" t="str">
            <v>Arizona v California</v>
          </cell>
          <cell r="I609" t="str">
            <v>RR</v>
          </cell>
          <cell r="K609" t="str">
            <v>F</v>
          </cell>
          <cell r="M609">
            <v>4.9826212858725203</v>
          </cell>
          <cell r="N609">
            <v>4</v>
          </cell>
        </row>
        <row r="610">
          <cell r="E610" t="str">
            <v>Arizona v California</v>
          </cell>
          <cell r="I610" t="str">
            <v>RR</v>
          </cell>
          <cell r="K610" t="str">
            <v>F</v>
          </cell>
          <cell r="M610">
            <v>27.037701688410898</v>
          </cell>
          <cell r="N610">
            <v>4</v>
          </cell>
        </row>
        <row r="611">
          <cell r="E611" t="str">
            <v>Arizona v California</v>
          </cell>
          <cell r="I611" t="str">
            <v>RR</v>
          </cell>
          <cell r="K611" t="str">
            <v>F</v>
          </cell>
          <cell r="M611">
            <v>0.52528282128363502</v>
          </cell>
          <cell r="N611">
            <v>4</v>
          </cell>
        </row>
        <row r="612">
          <cell r="E612" t="str">
            <v>Arizona v California</v>
          </cell>
          <cell r="I612" t="str">
            <v>RR</v>
          </cell>
          <cell r="K612" t="str">
            <v>F</v>
          </cell>
          <cell r="M612">
            <v>32.522517841947597</v>
          </cell>
          <cell r="N612">
            <v>4</v>
          </cell>
        </row>
        <row r="613">
          <cell r="E613" t="str">
            <v>Arizona v California</v>
          </cell>
          <cell r="I613" t="str">
            <v>RR</v>
          </cell>
          <cell r="K613" t="str">
            <v>F</v>
          </cell>
          <cell r="M613">
            <v>4.4475964337051304</v>
          </cell>
          <cell r="N613">
            <v>4</v>
          </cell>
        </row>
        <row r="614">
          <cell r="E614" t="str">
            <v>Arizona v California</v>
          </cell>
          <cell r="I614" t="str">
            <v>RR</v>
          </cell>
          <cell r="K614" t="str">
            <v>F</v>
          </cell>
          <cell r="M614">
            <v>5.8345190497934096</v>
          </cell>
          <cell r="N614">
            <v>4</v>
          </cell>
        </row>
        <row r="615">
          <cell r="E615" t="str">
            <v>Arizona v California</v>
          </cell>
          <cell r="I615" t="str">
            <v>RR</v>
          </cell>
          <cell r="K615" t="str">
            <v>F</v>
          </cell>
          <cell r="M615">
            <v>31.3394562160465</v>
          </cell>
          <cell r="N615">
            <v>4</v>
          </cell>
        </row>
        <row r="616">
          <cell r="E616" t="str">
            <v>Arizona v California</v>
          </cell>
          <cell r="I616" t="str">
            <v>RR</v>
          </cell>
          <cell r="K616" t="str">
            <v>F</v>
          </cell>
          <cell r="M616">
            <v>2.7464306938379202</v>
          </cell>
          <cell r="N616">
            <v>4</v>
          </cell>
        </row>
        <row r="617">
          <cell r="E617" t="str">
            <v>Arizona v California</v>
          </cell>
          <cell r="I617" t="str">
            <v>RR</v>
          </cell>
          <cell r="K617" t="str">
            <v>F</v>
          </cell>
          <cell r="M617">
            <v>1.85762924189136</v>
          </cell>
          <cell r="N617">
            <v>4</v>
          </cell>
        </row>
        <row r="618">
          <cell r="E618" t="str">
            <v>Arizona v California</v>
          </cell>
          <cell r="I618" t="str">
            <v>RR</v>
          </cell>
          <cell r="K618" t="str">
            <v>F</v>
          </cell>
          <cell r="M618">
            <v>2.5968597543060299</v>
          </cell>
          <cell r="N618">
            <v>4</v>
          </cell>
        </row>
        <row r="619">
          <cell r="E619" t="str">
            <v>Arizona v California</v>
          </cell>
          <cell r="I619" t="str">
            <v>RR</v>
          </cell>
          <cell r="K619" t="str">
            <v>F</v>
          </cell>
          <cell r="M619">
            <v>10.229573264618899</v>
          </cell>
          <cell r="N619">
            <v>4</v>
          </cell>
        </row>
        <row r="620">
          <cell r="E620" t="str">
            <v>Arizona v California</v>
          </cell>
          <cell r="I620" t="str">
            <v>RR</v>
          </cell>
          <cell r="K620" t="str">
            <v>F</v>
          </cell>
          <cell r="M620">
            <v>3.95386713074388</v>
          </cell>
          <cell r="N620">
            <v>4</v>
          </cell>
        </row>
        <row r="621">
          <cell r="E621" t="str">
            <v>Arizona v California</v>
          </cell>
          <cell r="I621" t="str">
            <v>RR</v>
          </cell>
          <cell r="K621" t="str">
            <v>F</v>
          </cell>
          <cell r="M621">
            <v>3.8708346674414198</v>
          </cell>
          <cell r="N621">
            <v>4</v>
          </cell>
        </row>
        <row r="622">
          <cell r="E622" t="str">
            <v>Arizona v California</v>
          </cell>
          <cell r="I622" t="str">
            <v>RR</v>
          </cell>
          <cell r="K622" t="str">
            <v>INP</v>
          </cell>
          <cell r="M622">
            <v>4.4939893865790097</v>
          </cell>
          <cell r="N622">
            <v>1</v>
          </cell>
        </row>
        <row r="623">
          <cell r="E623" t="str">
            <v>Arizona v California</v>
          </cell>
          <cell r="I623" t="str">
            <v>RR</v>
          </cell>
          <cell r="K623" t="str">
            <v>F</v>
          </cell>
          <cell r="M623">
            <v>4.1372716258539901</v>
          </cell>
          <cell r="N623">
            <v>4</v>
          </cell>
        </row>
        <row r="624">
          <cell r="E624" t="str">
            <v>Arizona v California</v>
          </cell>
          <cell r="I624" t="str">
            <v>RR</v>
          </cell>
          <cell r="K624" t="str">
            <v>F</v>
          </cell>
          <cell r="M624">
            <v>0.41050272562717099</v>
          </cell>
          <cell r="N624">
            <v>4</v>
          </cell>
        </row>
        <row r="625">
          <cell r="E625" t="str">
            <v>Arizona v California</v>
          </cell>
          <cell r="I625" t="str">
            <v>RR</v>
          </cell>
          <cell r="K625" t="str">
            <v>F</v>
          </cell>
          <cell r="M625">
            <v>2.8511245085880201</v>
          </cell>
          <cell r="N625">
            <v>4</v>
          </cell>
        </row>
        <row r="626">
          <cell r="E626" t="str">
            <v>Arizona v California</v>
          </cell>
          <cell r="I626" t="str">
            <v>RR</v>
          </cell>
          <cell r="K626" t="str">
            <v>F</v>
          </cell>
          <cell r="M626">
            <v>10.9501232579494</v>
          </cell>
          <cell r="N626">
            <v>4</v>
          </cell>
        </row>
        <row r="627">
          <cell r="E627" t="str">
            <v>Arizona v California</v>
          </cell>
          <cell r="I627" t="str">
            <v>RR</v>
          </cell>
          <cell r="K627" t="str">
            <v>F</v>
          </cell>
          <cell r="M627">
            <v>2.1653334120724699</v>
          </cell>
          <cell r="N627">
            <v>4</v>
          </cell>
        </row>
        <row r="628">
          <cell r="E628" t="str">
            <v>Arizona v California</v>
          </cell>
          <cell r="I628" t="str">
            <v>RR</v>
          </cell>
          <cell r="K628" t="str">
            <v>F</v>
          </cell>
          <cell r="M628">
            <v>0.92825758424818205</v>
          </cell>
          <cell r="N628">
            <v>4</v>
          </cell>
        </row>
        <row r="629">
          <cell r="E629" t="str">
            <v>Arizona v California</v>
          </cell>
          <cell r="I629" t="str">
            <v>RR</v>
          </cell>
          <cell r="K629" t="str">
            <v>F</v>
          </cell>
          <cell r="M629">
            <v>6.7450893879075897</v>
          </cell>
          <cell r="N629">
            <v>4</v>
          </cell>
        </row>
        <row r="630">
          <cell r="E630" t="str">
            <v>Arizona v California</v>
          </cell>
          <cell r="I630" t="str">
            <v>RR</v>
          </cell>
          <cell r="K630" t="str">
            <v>F</v>
          </cell>
          <cell r="M630">
            <v>8.3306215497933405</v>
          </cell>
          <cell r="N630">
            <v>4</v>
          </cell>
        </row>
        <row r="631">
          <cell r="E631" t="str">
            <v>Arizona v California</v>
          </cell>
          <cell r="I631" t="str">
            <v>RR</v>
          </cell>
          <cell r="K631" t="str">
            <v>F</v>
          </cell>
          <cell r="M631">
            <v>3.2479996662278201</v>
          </cell>
          <cell r="N631">
            <v>4</v>
          </cell>
        </row>
        <row r="632">
          <cell r="E632" t="str">
            <v>Arizona v California</v>
          </cell>
          <cell r="I632" t="str">
            <v>RR</v>
          </cell>
          <cell r="K632" t="str">
            <v>F</v>
          </cell>
          <cell r="M632">
            <v>1.9213115459133601</v>
          </cell>
          <cell r="N632">
            <v>4</v>
          </cell>
        </row>
        <row r="633">
          <cell r="E633" t="str">
            <v>Arizona v California</v>
          </cell>
          <cell r="I633" t="str">
            <v>RR</v>
          </cell>
          <cell r="K633" t="str">
            <v>F</v>
          </cell>
          <cell r="M633">
            <v>11.552364710683401</v>
          </cell>
          <cell r="N633">
            <v>4</v>
          </cell>
        </row>
        <row r="634">
          <cell r="E634" t="str">
            <v>Arizona v California</v>
          </cell>
          <cell r="I634" t="str">
            <v>RR</v>
          </cell>
          <cell r="K634" t="str">
            <v>F</v>
          </cell>
          <cell r="M634">
            <v>1.2021821365562999</v>
          </cell>
          <cell r="N634">
            <v>4</v>
          </cell>
        </row>
        <row r="635">
          <cell r="E635" t="str">
            <v>Arizona v California</v>
          </cell>
          <cell r="I635" t="str">
            <v>RR</v>
          </cell>
          <cell r="K635" t="str">
            <v>F</v>
          </cell>
          <cell r="M635">
            <v>2.0500858367503199</v>
          </cell>
          <cell r="N635">
            <v>4</v>
          </cell>
        </row>
        <row r="636">
          <cell r="E636" t="str">
            <v>Arizona v California</v>
          </cell>
          <cell r="I636" t="str">
            <v>RR</v>
          </cell>
          <cell r="K636" t="str">
            <v>Res,D</v>
          </cell>
          <cell r="M636">
            <v>0.25573024488207202</v>
          </cell>
          <cell r="N636">
            <v>4</v>
          </cell>
        </row>
        <row r="637">
          <cell r="E637" t="str">
            <v>Arizona v California</v>
          </cell>
          <cell r="I637" t="str">
            <v>RR</v>
          </cell>
          <cell r="K637" t="str">
            <v>F</v>
          </cell>
          <cell r="M637">
            <v>11.0481444628142</v>
          </cell>
          <cell r="N637">
            <v>4</v>
          </cell>
        </row>
        <row r="638">
          <cell r="E638" t="str">
            <v>Arizona v California</v>
          </cell>
          <cell r="I638" t="str">
            <v>RR</v>
          </cell>
          <cell r="K638" t="str">
            <v>F</v>
          </cell>
          <cell r="M638">
            <v>6.6919727840163103</v>
          </cell>
          <cell r="N638">
            <v>4</v>
          </cell>
        </row>
        <row r="639">
          <cell r="E639" t="str">
            <v>Arizona v California</v>
          </cell>
          <cell r="I639" t="str">
            <v>RR</v>
          </cell>
          <cell r="K639" t="str">
            <v>Res,D</v>
          </cell>
          <cell r="M639">
            <v>0.85809896425816401</v>
          </cell>
          <cell r="N639">
            <v>4</v>
          </cell>
        </row>
        <row r="640">
          <cell r="E640" t="str">
            <v>Arizona v California</v>
          </cell>
          <cell r="I640" t="str">
            <v>RR</v>
          </cell>
          <cell r="K640" t="str">
            <v>F</v>
          </cell>
          <cell r="M640">
            <v>19.536099541173801</v>
          </cell>
          <cell r="N640">
            <v>4</v>
          </cell>
        </row>
        <row r="641">
          <cell r="E641" t="str">
            <v>Arizona v California</v>
          </cell>
          <cell r="I641" t="str">
            <v>RR</v>
          </cell>
          <cell r="K641" t="str">
            <v>F</v>
          </cell>
          <cell r="M641">
            <v>11.113892416635199</v>
          </cell>
          <cell r="N641">
            <v>4</v>
          </cell>
        </row>
        <row r="642">
          <cell r="E642" t="str">
            <v>Arizona v California</v>
          </cell>
          <cell r="I642" t="str">
            <v>RR</v>
          </cell>
          <cell r="K642" t="str">
            <v>F</v>
          </cell>
          <cell r="M642">
            <v>20.6751196627051</v>
          </cell>
          <cell r="N642">
            <v>4</v>
          </cell>
        </row>
        <row r="643">
          <cell r="E643" t="str">
            <v>Arizona v California</v>
          </cell>
          <cell r="I643" t="str">
            <v>RR</v>
          </cell>
          <cell r="K643" t="str">
            <v>F</v>
          </cell>
          <cell r="M643">
            <v>40.5638245705521</v>
          </cell>
          <cell r="N643">
            <v>4</v>
          </cell>
        </row>
        <row r="644">
          <cell r="E644" t="str">
            <v>Arizona v California</v>
          </cell>
          <cell r="I644" t="str">
            <v>RR</v>
          </cell>
          <cell r="K644" t="str">
            <v>F</v>
          </cell>
          <cell r="M644">
            <v>20.281218482231299</v>
          </cell>
          <cell r="N644">
            <v>4</v>
          </cell>
        </row>
        <row r="645">
          <cell r="E645" t="str">
            <v>Arizona v California</v>
          </cell>
          <cell r="I645" t="str">
            <v>RR</v>
          </cell>
          <cell r="K645" t="str">
            <v>F</v>
          </cell>
          <cell r="M645">
            <v>28.41678039088</v>
          </cell>
          <cell r="N645">
            <v>4</v>
          </cell>
        </row>
        <row r="646">
          <cell r="E646" t="str">
            <v>Arizona v California</v>
          </cell>
          <cell r="I646" t="str">
            <v>RR</v>
          </cell>
          <cell r="K646" t="str">
            <v>F</v>
          </cell>
          <cell r="M646">
            <v>14.698565661231999</v>
          </cell>
          <cell r="N646">
            <v>4</v>
          </cell>
        </row>
        <row r="647">
          <cell r="E647" t="str">
            <v>Arizona v California</v>
          </cell>
          <cell r="I647" t="str">
            <v>RR</v>
          </cell>
          <cell r="K647" t="str">
            <v>F</v>
          </cell>
          <cell r="M647">
            <v>13.123945076529001</v>
          </cell>
          <cell r="N647">
            <v>4</v>
          </cell>
        </row>
        <row r="648">
          <cell r="E648" t="str">
            <v>Arizona v California</v>
          </cell>
          <cell r="I648" t="str">
            <v>RR</v>
          </cell>
          <cell r="K648" t="str">
            <v>F</v>
          </cell>
          <cell r="M648">
            <v>13.7100994231097</v>
          </cell>
          <cell r="N648">
            <v>4</v>
          </cell>
        </row>
        <row r="649">
          <cell r="E649" t="str">
            <v>Arizona v California</v>
          </cell>
          <cell r="I649" t="str">
            <v>RR</v>
          </cell>
          <cell r="K649" t="str">
            <v>F</v>
          </cell>
          <cell r="M649">
            <v>19.7528525999222</v>
          </cell>
          <cell r="N649">
            <v>4</v>
          </cell>
        </row>
        <row r="650">
          <cell r="E650" t="str">
            <v>Arizona v California</v>
          </cell>
          <cell r="I650" t="str">
            <v>RR</v>
          </cell>
          <cell r="K650" t="str">
            <v>F</v>
          </cell>
          <cell r="M650">
            <v>5.0550881030346702</v>
          </cell>
          <cell r="N650">
            <v>4</v>
          </cell>
        </row>
        <row r="651">
          <cell r="E651" t="str">
            <v>Arizona v California</v>
          </cell>
          <cell r="I651" t="str">
            <v>RR</v>
          </cell>
          <cell r="K651" t="str">
            <v>F</v>
          </cell>
          <cell r="M651">
            <v>14.073546003334</v>
          </cell>
          <cell r="N651">
            <v>4</v>
          </cell>
        </row>
        <row r="652">
          <cell r="E652" t="str">
            <v>Arizona v California</v>
          </cell>
          <cell r="I652" t="str">
            <v>RR</v>
          </cell>
          <cell r="K652" t="str">
            <v>F</v>
          </cell>
          <cell r="M652">
            <v>10.139675037271401</v>
          </cell>
          <cell r="N652">
            <v>4</v>
          </cell>
        </row>
        <row r="653">
          <cell r="E653" t="str">
            <v>Arizona v California</v>
          </cell>
          <cell r="I653" t="str">
            <v>RR</v>
          </cell>
          <cell r="K653" t="str">
            <v>F</v>
          </cell>
          <cell r="M653">
            <v>11.7081619671384</v>
          </cell>
          <cell r="N653">
            <v>4</v>
          </cell>
        </row>
        <row r="654">
          <cell r="E654" t="str">
            <v>Arizona v California</v>
          </cell>
          <cell r="I654" t="str">
            <v>RR</v>
          </cell>
          <cell r="K654" t="str">
            <v>Res,D</v>
          </cell>
          <cell r="M654">
            <v>8.1812152184914E-2</v>
          </cell>
          <cell r="N654">
            <v>4</v>
          </cell>
        </row>
        <row r="655">
          <cell r="E655" t="str">
            <v>Arizona v California</v>
          </cell>
          <cell r="I655" t="str">
            <v>RR</v>
          </cell>
          <cell r="K655" t="str">
            <v>F</v>
          </cell>
          <cell r="M655">
            <v>36.255813340699497</v>
          </cell>
          <cell r="N655">
            <v>4</v>
          </cell>
        </row>
        <row r="656">
          <cell r="E656" t="str">
            <v>Arizona v California</v>
          </cell>
          <cell r="I656" t="str">
            <v>RR</v>
          </cell>
          <cell r="K656" t="str">
            <v>F</v>
          </cell>
          <cell r="M656">
            <v>25.478346099253201</v>
          </cell>
          <cell r="N656">
            <v>4</v>
          </cell>
        </row>
        <row r="657">
          <cell r="E657" t="str">
            <v>Arizona v California</v>
          </cell>
          <cell r="I657" t="str">
            <v>RR</v>
          </cell>
          <cell r="K657" t="str">
            <v>F</v>
          </cell>
          <cell r="M657">
            <v>24.079098599742199</v>
          </cell>
          <cell r="N657">
            <v>4</v>
          </cell>
        </row>
        <row r="658">
          <cell r="E658" t="str">
            <v>Arizona v California</v>
          </cell>
          <cell r="I658" t="str">
            <v>RR</v>
          </cell>
          <cell r="K658" t="str">
            <v>F</v>
          </cell>
          <cell r="M658">
            <v>17.448348004699199</v>
          </cell>
          <cell r="N658">
            <v>4</v>
          </cell>
        </row>
        <row r="659">
          <cell r="E659" t="str">
            <v>Arizona v California</v>
          </cell>
          <cell r="I659" t="str">
            <v>RR</v>
          </cell>
          <cell r="K659" t="str">
            <v>F</v>
          </cell>
          <cell r="M659">
            <v>6.3329129110269902</v>
          </cell>
          <cell r="N659">
            <v>4</v>
          </cell>
        </row>
        <row r="660">
          <cell r="E660" t="str">
            <v>Arizona v California</v>
          </cell>
          <cell r="I660" t="str">
            <v>RR</v>
          </cell>
          <cell r="K660" t="str">
            <v>F</v>
          </cell>
          <cell r="M660">
            <v>13.2497111021964</v>
          </cell>
          <cell r="N660">
            <v>4</v>
          </cell>
        </row>
        <row r="661">
          <cell r="E661" t="str">
            <v>Arizona v California</v>
          </cell>
          <cell r="I661" t="str">
            <v>RR</v>
          </cell>
          <cell r="K661" t="str">
            <v>F</v>
          </cell>
          <cell r="M661">
            <v>2.58837965232776</v>
          </cell>
          <cell r="N661">
            <v>4</v>
          </cell>
        </row>
        <row r="662">
          <cell r="E662" t="str">
            <v>Arizona v California</v>
          </cell>
          <cell r="I662" t="str">
            <v>RR</v>
          </cell>
          <cell r="K662" t="str">
            <v>F</v>
          </cell>
          <cell r="M662">
            <v>1.0791789624429799</v>
          </cell>
          <cell r="N662">
            <v>4</v>
          </cell>
        </row>
        <row r="663">
          <cell r="E663" t="str">
            <v>Arizona v California</v>
          </cell>
          <cell r="I663" t="str">
            <v>RR</v>
          </cell>
          <cell r="K663" t="str">
            <v>F</v>
          </cell>
          <cell r="M663">
            <v>7.3620225373320096</v>
          </cell>
          <cell r="N663">
            <v>4</v>
          </cell>
        </row>
        <row r="664">
          <cell r="E664" t="str">
            <v>Arizona v California</v>
          </cell>
          <cell r="I664" t="str">
            <v>RR</v>
          </cell>
          <cell r="K664" t="str">
            <v>F</v>
          </cell>
          <cell r="M664">
            <v>5.1815250240766302</v>
          </cell>
          <cell r="N664">
            <v>4</v>
          </cell>
        </row>
        <row r="665">
          <cell r="E665" t="str">
            <v>Arizona v California</v>
          </cell>
          <cell r="I665" t="str">
            <v>RR</v>
          </cell>
          <cell r="K665" t="str">
            <v>F</v>
          </cell>
          <cell r="M665">
            <v>13.6915659256002</v>
          </cell>
          <cell r="N665">
            <v>4</v>
          </cell>
        </row>
        <row r="666">
          <cell r="E666" t="str">
            <v>Arizona v California</v>
          </cell>
          <cell r="I666" t="str">
            <v>RR</v>
          </cell>
          <cell r="K666" t="str">
            <v>F</v>
          </cell>
          <cell r="M666">
            <v>0.87517439371682904</v>
          </cell>
          <cell r="N666">
            <v>4</v>
          </cell>
        </row>
        <row r="667">
          <cell r="E667" t="str">
            <v>Arizona v California</v>
          </cell>
          <cell r="I667" t="str">
            <v>RR</v>
          </cell>
          <cell r="K667" t="str">
            <v>F</v>
          </cell>
          <cell r="M667">
            <v>0.334118518131092</v>
          </cell>
          <cell r="N667">
            <v>4</v>
          </cell>
        </row>
        <row r="668">
          <cell r="E668" t="str">
            <v>Arizona v California</v>
          </cell>
          <cell r="I668" t="str">
            <v>RR</v>
          </cell>
          <cell r="K668" t="str">
            <v>F</v>
          </cell>
          <cell r="M668">
            <v>5.5293176291526898</v>
          </cell>
          <cell r="N668">
            <v>4</v>
          </cell>
        </row>
        <row r="669">
          <cell r="E669" t="str">
            <v>Arizona v California</v>
          </cell>
          <cell r="I669" t="str">
            <v>RR</v>
          </cell>
          <cell r="K669" t="str">
            <v>F</v>
          </cell>
          <cell r="M669">
            <v>6.2471513800186003</v>
          </cell>
          <cell r="N669">
            <v>4</v>
          </cell>
        </row>
        <row r="670">
          <cell r="E670" t="str">
            <v>Arizona v California</v>
          </cell>
          <cell r="I670" t="str">
            <v>RR</v>
          </cell>
          <cell r="K670" t="str">
            <v>F</v>
          </cell>
          <cell r="M670">
            <v>0.68169940794693595</v>
          </cell>
          <cell r="N670">
            <v>4</v>
          </cell>
        </row>
        <row r="671">
          <cell r="E671" t="str">
            <v>Arizona v California</v>
          </cell>
          <cell r="I671" t="str">
            <v>RR</v>
          </cell>
          <cell r="K671" t="str">
            <v>F</v>
          </cell>
          <cell r="M671">
            <v>0.95730413070202303</v>
          </cell>
          <cell r="N671">
            <v>4</v>
          </cell>
        </row>
        <row r="672">
          <cell r="E672" t="str">
            <v>Arizona v California</v>
          </cell>
          <cell r="I672" t="str">
            <v>RR</v>
          </cell>
          <cell r="K672" t="str">
            <v>F</v>
          </cell>
          <cell r="M672">
            <v>11.1045577402242</v>
          </cell>
          <cell r="N672">
            <v>4</v>
          </cell>
        </row>
        <row r="673">
          <cell r="E673" t="str">
            <v>Arizona v California</v>
          </cell>
          <cell r="I673" t="str">
            <v>RR</v>
          </cell>
          <cell r="K673" t="str">
            <v>F</v>
          </cell>
          <cell r="M673">
            <v>13.630017655998699</v>
          </cell>
          <cell r="N673">
            <v>4</v>
          </cell>
        </row>
        <row r="674">
          <cell r="E674" t="str">
            <v>Arizona v California</v>
          </cell>
          <cell r="I674" t="str">
            <v>RR</v>
          </cell>
          <cell r="K674" t="str">
            <v>F</v>
          </cell>
          <cell r="M674">
            <v>6.4816185721878599</v>
          </cell>
          <cell r="N674">
            <v>4</v>
          </cell>
        </row>
        <row r="675">
          <cell r="E675" t="str">
            <v>Arizona v California</v>
          </cell>
          <cell r="I675" t="str">
            <v>RR</v>
          </cell>
          <cell r="K675" t="str">
            <v>F</v>
          </cell>
          <cell r="M675">
            <v>5.8317600560981999</v>
          </cell>
          <cell r="N675">
            <v>4</v>
          </cell>
        </row>
        <row r="676">
          <cell r="E676" t="str">
            <v>Arizona v California</v>
          </cell>
          <cell r="I676" t="str">
            <v>RR</v>
          </cell>
          <cell r="K676" t="str">
            <v>F</v>
          </cell>
          <cell r="M676">
            <v>0.236284964472249</v>
          </cell>
          <cell r="N676">
            <v>4</v>
          </cell>
        </row>
        <row r="677">
          <cell r="E677" t="str">
            <v>Arizona v California</v>
          </cell>
          <cell r="I677" t="str">
            <v>RR</v>
          </cell>
          <cell r="K677" t="str">
            <v>Stk,D</v>
          </cell>
          <cell r="M677">
            <v>0.47250928913161799</v>
          </cell>
          <cell r="N677">
            <v>4</v>
          </cell>
        </row>
        <row r="678">
          <cell r="E678" t="str">
            <v>Arizona v California</v>
          </cell>
          <cell r="I678" t="str">
            <v>RR</v>
          </cell>
          <cell r="K678" t="str">
            <v>F</v>
          </cell>
          <cell r="M678">
            <v>2.98177982419665</v>
          </cell>
          <cell r="N678">
            <v>4</v>
          </cell>
        </row>
        <row r="679">
          <cell r="E679" t="str">
            <v>Arizona v California</v>
          </cell>
          <cell r="I679" t="str">
            <v>RR</v>
          </cell>
          <cell r="K679" t="str">
            <v>F</v>
          </cell>
          <cell r="M679">
            <v>3.9563502420134902</v>
          </cell>
          <cell r="N679">
            <v>4</v>
          </cell>
        </row>
        <row r="680">
          <cell r="E680" t="str">
            <v>Arizona v California</v>
          </cell>
          <cell r="I680" t="str">
            <v>RR</v>
          </cell>
          <cell r="K680" t="str">
            <v>F</v>
          </cell>
          <cell r="M680">
            <v>8.4941731151192297</v>
          </cell>
          <cell r="N680">
            <v>4</v>
          </cell>
        </row>
        <row r="681">
          <cell r="E681" t="str">
            <v>Arizona v California</v>
          </cell>
          <cell r="I681" t="str">
            <v>RR</v>
          </cell>
          <cell r="K681" t="str">
            <v>F</v>
          </cell>
          <cell r="M681">
            <v>2.7381282931116901</v>
          </cell>
          <cell r="N681">
            <v>4</v>
          </cell>
        </row>
        <row r="682">
          <cell r="E682" t="str">
            <v>Arizona v California</v>
          </cell>
          <cell r="I682" t="str">
            <v>RR</v>
          </cell>
          <cell r="K682" t="str">
            <v>F</v>
          </cell>
          <cell r="M682">
            <v>5.6211630866706503</v>
          </cell>
          <cell r="N682">
            <v>4</v>
          </cell>
        </row>
        <row r="683">
          <cell r="E683" t="str">
            <v>Arizona v California</v>
          </cell>
          <cell r="I683" t="str">
            <v>RR</v>
          </cell>
          <cell r="K683" t="str">
            <v>F</v>
          </cell>
          <cell r="M683">
            <v>0.52483777966352596</v>
          </cell>
          <cell r="N683">
            <v>4</v>
          </cell>
        </row>
        <row r="684">
          <cell r="E684" t="str">
            <v>Arizona v California</v>
          </cell>
          <cell r="I684" t="str">
            <v>RR</v>
          </cell>
          <cell r="K684" t="str">
            <v>F</v>
          </cell>
          <cell r="M684">
            <v>0.38858726374206198</v>
          </cell>
          <cell r="N684">
            <v>4</v>
          </cell>
        </row>
        <row r="685">
          <cell r="E685" t="str">
            <v>Arizona v California</v>
          </cell>
          <cell r="I685" t="str">
            <v>RR</v>
          </cell>
          <cell r="K685" t="str">
            <v>F</v>
          </cell>
          <cell r="M685">
            <v>5.5005017130226497</v>
          </cell>
          <cell r="N685">
            <v>4</v>
          </cell>
        </row>
        <row r="686">
          <cell r="E686" t="str">
            <v>Arizona v California</v>
          </cell>
          <cell r="I686" t="str">
            <v>RR</v>
          </cell>
          <cell r="K686" t="str">
            <v>F</v>
          </cell>
          <cell r="M686">
            <v>1.5896446369358499</v>
          </cell>
          <cell r="N686">
            <v>4</v>
          </cell>
        </row>
        <row r="687">
          <cell r="E687" t="str">
            <v>Arizona v California</v>
          </cell>
          <cell r="I687" t="str">
            <v>RR</v>
          </cell>
          <cell r="K687" t="str">
            <v>F</v>
          </cell>
          <cell r="M687">
            <v>11.225873508125099</v>
          </cell>
          <cell r="N687">
            <v>4</v>
          </cell>
        </row>
        <row r="688">
          <cell r="E688" t="str">
            <v>Arizona v California</v>
          </cell>
          <cell r="I688" t="str">
            <v>RR</v>
          </cell>
          <cell r="K688" t="str">
            <v>F</v>
          </cell>
          <cell r="M688">
            <v>0.45028385527155801</v>
          </cell>
          <cell r="N688">
            <v>4</v>
          </cell>
        </row>
        <row r="689">
          <cell r="E689" t="str">
            <v>Arizona v California</v>
          </cell>
          <cell r="I689" t="str">
            <v>RR</v>
          </cell>
          <cell r="K689" t="str">
            <v>F</v>
          </cell>
          <cell r="M689">
            <v>2.4984632893367502</v>
          </cell>
          <cell r="N689">
            <v>4</v>
          </cell>
        </row>
        <row r="690">
          <cell r="E690" t="str">
            <v>Arizona v California</v>
          </cell>
          <cell r="I690" t="str">
            <v>RR</v>
          </cell>
          <cell r="K690" t="str">
            <v>F</v>
          </cell>
          <cell r="M690">
            <v>0.38791295948184501</v>
          </cell>
          <cell r="N690">
            <v>4</v>
          </cell>
        </row>
        <row r="691">
          <cell r="E691" t="str">
            <v>Arizona v California</v>
          </cell>
          <cell r="I691" t="str">
            <v>RR</v>
          </cell>
          <cell r="K691" t="str">
            <v>F</v>
          </cell>
          <cell r="M691">
            <v>3.1887833853288901</v>
          </cell>
          <cell r="N691">
            <v>4</v>
          </cell>
        </row>
        <row r="692">
          <cell r="E692" t="str">
            <v>Arizona v California</v>
          </cell>
          <cell r="I692" t="str">
            <v>RR</v>
          </cell>
          <cell r="K692" t="str">
            <v>F</v>
          </cell>
          <cell r="M692">
            <v>4.46450539933325</v>
          </cell>
          <cell r="N692">
            <v>4</v>
          </cell>
        </row>
        <row r="693">
          <cell r="E693" t="str">
            <v>Arizona v California</v>
          </cell>
          <cell r="I693" t="str">
            <v>RR</v>
          </cell>
          <cell r="K693" t="str">
            <v>F</v>
          </cell>
          <cell r="M693">
            <v>0.400419076684154</v>
          </cell>
          <cell r="N693">
            <v>4</v>
          </cell>
        </row>
        <row r="694">
          <cell r="E694" t="str">
            <v>Arizona v California</v>
          </cell>
          <cell r="I694" t="str">
            <v>RR</v>
          </cell>
          <cell r="K694" t="str">
            <v>F</v>
          </cell>
          <cell r="M694">
            <v>1.33031861971147</v>
          </cell>
          <cell r="N694">
            <v>4</v>
          </cell>
        </row>
        <row r="695">
          <cell r="E695" t="str">
            <v>Arizona v California</v>
          </cell>
          <cell r="I695" t="str">
            <v>RR</v>
          </cell>
          <cell r="K695" t="str">
            <v>F</v>
          </cell>
          <cell r="M695">
            <v>3.5821841426151</v>
          </cell>
          <cell r="N695">
            <v>4</v>
          </cell>
        </row>
        <row r="696">
          <cell r="E696" t="str">
            <v>Arizona v California</v>
          </cell>
          <cell r="I696" t="str">
            <v>RR</v>
          </cell>
          <cell r="K696" t="str">
            <v>F</v>
          </cell>
          <cell r="M696">
            <v>1.5543159770114701</v>
          </cell>
          <cell r="N696">
            <v>4</v>
          </cell>
        </row>
        <row r="697">
          <cell r="E697" t="str">
            <v>Arizona v California</v>
          </cell>
          <cell r="I697" t="str">
            <v>RR</v>
          </cell>
          <cell r="K697" t="str">
            <v>F</v>
          </cell>
          <cell r="M697">
            <v>3.6957097451479202</v>
          </cell>
          <cell r="N697">
            <v>4</v>
          </cell>
        </row>
        <row r="698">
          <cell r="E698" t="str">
            <v>Arizona v California</v>
          </cell>
          <cell r="I698" t="str">
            <v>RR</v>
          </cell>
          <cell r="K698" t="str">
            <v>INP</v>
          </cell>
          <cell r="M698">
            <v>11.6948707143411</v>
          </cell>
          <cell r="N698">
            <v>1</v>
          </cell>
        </row>
        <row r="699">
          <cell r="E699" t="str">
            <v>Arizona v California</v>
          </cell>
          <cell r="I699" t="str">
            <v>RR</v>
          </cell>
          <cell r="K699" t="str">
            <v>F</v>
          </cell>
          <cell r="M699">
            <v>3.7401336868580999</v>
          </cell>
          <cell r="N699">
            <v>4</v>
          </cell>
        </row>
        <row r="700">
          <cell r="E700" t="str">
            <v>Arizona v California</v>
          </cell>
          <cell r="I700" t="str">
            <v>RR</v>
          </cell>
          <cell r="K700" t="str">
            <v>F</v>
          </cell>
          <cell r="M700">
            <v>1.2997213429750401</v>
          </cell>
          <cell r="N700">
            <v>4</v>
          </cell>
        </row>
        <row r="701">
          <cell r="E701" t="str">
            <v>Arizona v California</v>
          </cell>
          <cell r="I701" t="str">
            <v>RR</v>
          </cell>
          <cell r="K701" t="str">
            <v>F</v>
          </cell>
          <cell r="M701">
            <v>4.5197337438591303</v>
          </cell>
          <cell r="N701">
            <v>4</v>
          </cell>
        </row>
        <row r="702">
          <cell r="E702" t="str">
            <v>Arizona v California</v>
          </cell>
          <cell r="I702" t="str">
            <v>RR</v>
          </cell>
          <cell r="K702" t="str">
            <v>F</v>
          </cell>
          <cell r="M702">
            <v>0.23663092268206801</v>
          </cell>
          <cell r="N702">
            <v>4</v>
          </cell>
        </row>
        <row r="703">
          <cell r="E703" t="str">
            <v>Arizona v California</v>
          </cell>
          <cell r="I703" t="str">
            <v>RR</v>
          </cell>
          <cell r="K703" t="str">
            <v>F</v>
          </cell>
          <cell r="M703">
            <v>0.67928704340799995</v>
          </cell>
          <cell r="N703">
            <v>4</v>
          </cell>
        </row>
        <row r="704">
          <cell r="E704" t="str">
            <v>Arizona v California</v>
          </cell>
          <cell r="I704" t="str">
            <v>RR</v>
          </cell>
          <cell r="K704" t="str">
            <v>F</v>
          </cell>
          <cell r="M704">
            <v>8.8397734303022393</v>
          </cell>
          <cell r="N704">
            <v>4</v>
          </cell>
        </row>
        <row r="705">
          <cell r="E705" t="str">
            <v>Arizona v California</v>
          </cell>
          <cell r="I705" t="str">
            <v>RR</v>
          </cell>
          <cell r="K705" t="str">
            <v>F</v>
          </cell>
          <cell r="M705">
            <v>11.659594460439701</v>
          </cell>
          <cell r="N705">
            <v>4</v>
          </cell>
        </row>
        <row r="706">
          <cell r="E706" t="str">
            <v>Arizona v California</v>
          </cell>
          <cell r="I706" t="str">
            <v>RR</v>
          </cell>
          <cell r="K706" t="str">
            <v>Res,D</v>
          </cell>
          <cell r="M706">
            <v>0.53217371201925401</v>
          </cell>
          <cell r="N706">
            <v>4</v>
          </cell>
        </row>
        <row r="707">
          <cell r="E707" t="str">
            <v>Arizona v California</v>
          </cell>
          <cell r="I707" t="str">
            <v>RR</v>
          </cell>
          <cell r="K707" t="str">
            <v>F</v>
          </cell>
          <cell r="M707">
            <v>6.5848251252630696</v>
          </cell>
          <cell r="N707">
            <v>4</v>
          </cell>
        </row>
        <row r="708">
          <cell r="E708" t="str">
            <v>Arizona v California</v>
          </cell>
          <cell r="I708" t="str">
            <v>RR</v>
          </cell>
          <cell r="K708" t="str">
            <v>Res,D</v>
          </cell>
          <cell r="M708">
            <v>0.63155501923366997</v>
          </cell>
          <cell r="N708">
            <v>4</v>
          </cell>
        </row>
        <row r="709">
          <cell r="E709" t="str">
            <v>Arizona v California</v>
          </cell>
          <cell r="I709" t="str">
            <v>RR</v>
          </cell>
          <cell r="K709" t="str">
            <v>F</v>
          </cell>
          <cell r="M709">
            <v>5.7958243657282997</v>
          </cell>
          <cell r="N709">
            <v>4</v>
          </cell>
        </row>
        <row r="710">
          <cell r="E710" t="str">
            <v>Arizona v California</v>
          </cell>
          <cell r="I710" t="str">
            <v>RR</v>
          </cell>
          <cell r="K710" t="str">
            <v>F</v>
          </cell>
          <cell r="M710">
            <v>7.3300445090241704</v>
          </cell>
          <cell r="N710">
            <v>4</v>
          </cell>
        </row>
        <row r="711">
          <cell r="E711" t="str">
            <v>Arizona v California</v>
          </cell>
          <cell r="I711" t="str">
            <v>RR</v>
          </cell>
          <cell r="K711" t="str">
            <v>F</v>
          </cell>
          <cell r="M711">
            <v>3.6625394640283799</v>
          </cell>
          <cell r="N711">
            <v>4</v>
          </cell>
        </row>
        <row r="712">
          <cell r="E712" t="str">
            <v>Arizona v California</v>
          </cell>
          <cell r="I712" t="str">
            <v>RR</v>
          </cell>
          <cell r="K712" t="str">
            <v>F</v>
          </cell>
          <cell r="M712">
            <v>7.4118182055960702</v>
          </cell>
          <cell r="N712">
            <v>4</v>
          </cell>
        </row>
        <row r="713">
          <cell r="E713" t="str">
            <v>Arizona v California</v>
          </cell>
          <cell r="I713" t="str">
            <v>RR</v>
          </cell>
          <cell r="K713" t="str">
            <v>F</v>
          </cell>
          <cell r="M713">
            <v>11.8881888059334</v>
          </cell>
          <cell r="N713">
            <v>4</v>
          </cell>
        </row>
        <row r="714">
          <cell r="E714" t="str">
            <v>Arizona v California</v>
          </cell>
          <cell r="I714" t="str">
            <v>RR</v>
          </cell>
          <cell r="K714" t="str">
            <v>F</v>
          </cell>
          <cell r="M714">
            <v>0.73288673749414102</v>
          </cell>
          <cell r="N714">
            <v>4</v>
          </cell>
        </row>
        <row r="715">
          <cell r="E715" t="str">
            <v>Arizona v California</v>
          </cell>
          <cell r="I715" t="str">
            <v>RR</v>
          </cell>
          <cell r="K715" t="str">
            <v>F</v>
          </cell>
          <cell r="M715">
            <v>8.2115714726962192</v>
          </cell>
          <cell r="N715">
            <v>4</v>
          </cell>
        </row>
        <row r="716">
          <cell r="E716" t="str">
            <v>Arizona v California</v>
          </cell>
          <cell r="I716" t="str">
            <v>RR</v>
          </cell>
          <cell r="K716" t="str">
            <v>F</v>
          </cell>
          <cell r="M716">
            <v>3.2054669386733998</v>
          </cell>
          <cell r="N716">
            <v>4</v>
          </cell>
        </row>
        <row r="717">
          <cell r="E717" t="str">
            <v>Arizona v California</v>
          </cell>
          <cell r="I717" t="str">
            <v>RR</v>
          </cell>
          <cell r="K717" t="str">
            <v>IPP</v>
          </cell>
          <cell r="M717">
            <v>18.083071575592399</v>
          </cell>
          <cell r="N717">
            <v>1</v>
          </cell>
        </row>
        <row r="718">
          <cell r="E718" t="str">
            <v>Arizona v California</v>
          </cell>
          <cell r="I718" t="str">
            <v>RR</v>
          </cell>
          <cell r="K718" t="str">
            <v>F</v>
          </cell>
          <cell r="M718">
            <v>2.24244918034689</v>
          </cell>
          <cell r="N718">
            <v>4</v>
          </cell>
        </row>
        <row r="719">
          <cell r="E719" t="str">
            <v>Arizona v California</v>
          </cell>
          <cell r="I719" t="str">
            <v>RR</v>
          </cell>
          <cell r="K719" t="str">
            <v>Res,D</v>
          </cell>
          <cell r="M719">
            <v>0.132838700422067</v>
          </cell>
          <cell r="N719">
            <v>4</v>
          </cell>
        </row>
        <row r="720">
          <cell r="E720" t="str">
            <v>Arizona v California</v>
          </cell>
          <cell r="I720" t="str">
            <v>RR</v>
          </cell>
          <cell r="K720" t="str">
            <v>F</v>
          </cell>
          <cell r="M720">
            <v>3.3217134052164701</v>
          </cell>
          <cell r="N720">
            <v>4</v>
          </cell>
        </row>
        <row r="721">
          <cell r="E721" t="str">
            <v>Arizona v California</v>
          </cell>
          <cell r="I721" t="str">
            <v>RR</v>
          </cell>
          <cell r="K721" t="str">
            <v>F</v>
          </cell>
          <cell r="M721">
            <v>4.19275752188996</v>
          </cell>
          <cell r="N721">
            <v>4</v>
          </cell>
        </row>
        <row r="722">
          <cell r="E722" t="str">
            <v>Arizona v California</v>
          </cell>
          <cell r="I722" t="str">
            <v>RR</v>
          </cell>
          <cell r="K722" t="str">
            <v>F</v>
          </cell>
          <cell r="M722">
            <v>0.87265193049539902</v>
          </cell>
          <cell r="N722">
            <v>4</v>
          </cell>
        </row>
        <row r="723">
          <cell r="E723" t="str">
            <v>Arizona v California</v>
          </cell>
          <cell r="I723" t="str">
            <v>RR</v>
          </cell>
          <cell r="K723" t="str">
            <v>DSL</v>
          </cell>
          <cell r="M723">
            <v>1.18846729250662</v>
          </cell>
          <cell r="N723">
            <v>1</v>
          </cell>
        </row>
        <row r="724">
          <cell r="E724" t="str">
            <v>Arizona v California</v>
          </cell>
          <cell r="I724" t="str">
            <v>RR</v>
          </cell>
          <cell r="K724" t="str">
            <v>Out</v>
          </cell>
          <cell r="M724">
            <v>16.983177416569099</v>
          </cell>
          <cell r="N724">
            <v>4</v>
          </cell>
        </row>
        <row r="725">
          <cell r="E725" t="str">
            <v>Arizona v California</v>
          </cell>
          <cell r="I725" t="str">
            <v>RR</v>
          </cell>
          <cell r="K725" t="str">
            <v>IPP</v>
          </cell>
          <cell r="M725">
            <v>14.5328254208095</v>
          </cell>
          <cell r="N725">
            <v>1</v>
          </cell>
        </row>
        <row r="726">
          <cell r="E726" t="str">
            <v>Arizona v California</v>
          </cell>
          <cell r="I726" t="str">
            <v>RR</v>
          </cell>
          <cell r="K726" t="str">
            <v>Stk,D</v>
          </cell>
          <cell r="M726">
            <v>0.15688521838553199</v>
          </cell>
          <cell r="N726">
            <v>4</v>
          </cell>
        </row>
        <row r="727">
          <cell r="E727" t="str">
            <v>Arizona v California</v>
          </cell>
          <cell r="I727" t="str">
            <v>RR</v>
          </cell>
          <cell r="K727" t="str">
            <v>Res,D</v>
          </cell>
          <cell r="M727">
            <v>8.3273856663540993E-2</v>
          </cell>
          <cell r="N727">
            <v>4</v>
          </cell>
        </row>
        <row r="728">
          <cell r="E728" t="str">
            <v>Arizona v California</v>
          </cell>
          <cell r="I728" t="str">
            <v>RR</v>
          </cell>
          <cell r="K728" t="str">
            <v>Pe</v>
          </cell>
          <cell r="M728">
            <v>1.5349550450557099</v>
          </cell>
          <cell r="N728">
            <v>1</v>
          </cell>
        </row>
        <row r="729">
          <cell r="E729" t="str">
            <v>Arizona v California</v>
          </cell>
          <cell r="I729" t="str">
            <v>RR</v>
          </cell>
          <cell r="K729" t="str">
            <v>Res,D</v>
          </cell>
          <cell r="M729">
            <v>0.75055827020531496</v>
          </cell>
          <cell r="N729">
            <v>4</v>
          </cell>
        </row>
        <row r="730">
          <cell r="E730" t="str">
            <v>Arizona v California</v>
          </cell>
          <cell r="I730" t="str">
            <v>RR</v>
          </cell>
          <cell r="K730" t="str">
            <v>Stk,D</v>
          </cell>
          <cell r="M730">
            <v>0.42117714314176802</v>
          </cell>
          <cell r="N730">
            <v>4</v>
          </cell>
        </row>
        <row r="731">
          <cell r="E731" t="str">
            <v>Arizona v California</v>
          </cell>
          <cell r="I731" t="str">
            <v>RR</v>
          </cell>
          <cell r="K731" t="str">
            <v>Stk,D</v>
          </cell>
          <cell r="M731">
            <v>0.63131900003712005</v>
          </cell>
          <cell r="N731">
            <v>4</v>
          </cell>
        </row>
        <row r="732">
          <cell r="E732" t="str">
            <v>Arizona v California</v>
          </cell>
          <cell r="I732" t="str">
            <v>RR</v>
          </cell>
          <cell r="K732" t="str">
            <v>Out</v>
          </cell>
          <cell r="M732">
            <v>9.3722552135816102</v>
          </cell>
          <cell r="N732">
            <v>4</v>
          </cell>
        </row>
        <row r="733">
          <cell r="E733" t="str">
            <v>Arizona v California</v>
          </cell>
          <cell r="I733" t="str">
            <v>RR</v>
          </cell>
          <cell r="K733" t="str">
            <v>F</v>
          </cell>
          <cell r="M733">
            <v>12.658743700070501</v>
          </cell>
          <cell r="N733">
            <v>4</v>
          </cell>
        </row>
        <row r="734">
          <cell r="E734" t="str">
            <v>Arizona v California</v>
          </cell>
          <cell r="I734" t="str">
            <v>RR</v>
          </cell>
          <cell r="K734" t="str">
            <v>F</v>
          </cell>
          <cell r="M734">
            <v>21.891613010325202</v>
          </cell>
          <cell r="N734">
            <v>4</v>
          </cell>
        </row>
        <row r="735">
          <cell r="E735" t="str">
            <v>Arizona v California</v>
          </cell>
          <cell r="I735" t="str">
            <v>RR</v>
          </cell>
          <cell r="K735" t="str">
            <v>F</v>
          </cell>
          <cell r="M735">
            <v>1.31615469036374</v>
          </cell>
          <cell r="N735">
            <v>4</v>
          </cell>
        </row>
        <row r="736">
          <cell r="E736" t="str">
            <v>Arizona v California</v>
          </cell>
          <cell r="I736" t="str">
            <v>RR</v>
          </cell>
          <cell r="K736" t="str">
            <v>Out</v>
          </cell>
          <cell r="M736">
            <v>15.055728788149599</v>
          </cell>
          <cell r="N736">
            <v>4</v>
          </cell>
        </row>
        <row r="737">
          <cell r="E737" t="str">
            <v>Arizona v California</v>
          </cell>
          <cell r="I737" t="str">
            <v>RR</v>
          </cell>
          <cell r="K737" t="str">
            <v>F</v>
          </cell>
          <cell r="M737">
            <v>4.6396067958364</v>
          </cell>
          <cell r="N737">
            <v>4</v>
          </cell>
        </row>
        <row r="738">
          <cell r="E738" t="str">
            <v>Arizona v California</v>
          </cell>
          <cell r="I738" t="str">
            <v>RR</v>
          </cell>
          <cell r="K738" t="str">
            <v>F</v>
          </cell>
          <cell r="M738">
            <v>0.100352134771912</v>
          </cell>
          <cell r="N738">
            <v>4</v>
          </cell>
        </row>
        <row r="739">
          <cell r="E739" t="str">
            <v>Arizona v California</v>
          </cell>
          <cell r="I739" t="str">
            <v>RR</v>
          </cell>
          <cell r="K739" t="str">
            <v>Res,D</v>
          </cell>
          <cell r="M739">
            <v>0.42116514305942598</v>
          </cell>
          <cell r="N739">
            <v>4</v>
          </cell>
        </row>
        <row r="740">
          <cell r="E740" t="str">
            <v>Arizona v California</v>
          </cell>
          <cell r="I740" t="str">
            <v>RR</v>
          </cell>
          <cell r="K740" t="str">
            <v>F</v>
          </cell>
          <cell r="M740">
            <v>0.14913675141212401</v>
          </cell>
          <cell r="N740">
            <v>4</v>
          </cell>
        </row>
        <row r="741">
          <cell r="E741" t="str">
            <v>Arizona v California</v>
          </cell>
          <cell r="I741" t="str">
            <v>RR</v>
          </cell>
          <cell r="K741" t="str">
            <v>F</v>
          </cell>
          <cell r="M741">
            <v>0.92963169461497097</v>
          </cell>
          <cell r="N741">
            <v>4</v>
          </cell>
        </row>
        <row r="742">
          <cell r="E742" t="str">
            <v>Arizona v California</v>
          </cell>
          <cell r="I742" t="str">
            <v>RR</v>
          </cell>
          <cell r="K742" t="str">
            <v>F</v>
          </cell>
          <cell r="M742">
            <v>8.3953811992052501</v>
          </cell>
          <cell r="N742">
            <v>4</v>
          </cell>
        </row>
        <row r="743">
          <cell r="E743" t="str">
            <v>Arizona v California</v>
          </cell>
          <cell r="I743" t="str">
            <v>RR</v>
          </cell>
          <cell r="K743" t="str">
            <v>F</v>
          </cell>
          <cell r="M743">
            <v>8.5241664681930001</v>
          </cell>
          <cell r="N743">
            <v>4</v>
          </cell>
        </row>
        <row r="744">
          <cell r="E744" t="str">
            <v>Arizona v California</v>
          </cell>
          <cell r="I744" t="str">
            <v>RR</v>
          </cell>
          <cell r="K744" t="str">
            <v>F</v>
          </cell>
          <cell r="M744">
            <v>0.58040240244743702</v>
          </cell>
          <cell r="N744">
            <v>4</v>
          </cell>
        </row>
        <row r="745">
          <cell r="E745" t="str">
            <v>Arizona v California</v>
          </cell>
          <cell r="I745" t="str">
            <v>RR</v>
          </cell>
          <cell r="K745" t="str">
            <v>F</v>
          </cell>
          <cell r="M745">
            <v>2.4647488563261</v>
          </cell>
          <cell r="N745">
            <v>4</v>
          </cell>
        </row>
        <row r="746">
          <cell r="E746" t="str">
            <v>Arizona v California</v>
          </cell>
          <cell r="I746" t="str">
            <v>RR</v>
          </cell>
          <cell r="K746" t="str">
            <v>F</v>
          </cell>
          <cell r="M746">
            <v>0.47334868637635202</v>
          </cell>
          <cell r="N746">
            <v>4</v>
          </cell>
        </row>
        <row r="747">
          <cell r="E747" t="str">
            <v>Arizona v California</v>
          </cell>
          <cell r="I747" t="str">
            <v>RR</v>
          </cell>
          <cell r="K747" t="str">
            <v>Res,D</v>
          </cell>
          <cell r="M747">
            <v>6.5855051709081999E-2</v>
          </cell>
          <cell r="N747">
            <v>4</v>
          </cell>
        </row>
        <row r="748">
          <cell r="E748" t="str">
            <v>Arizona v California</v>
          </cell>
          <cell r="I748" t="str">
            <v>RR</v>
          </cell>
          <cell r="K748" t="str">
            <v>F</v>
          </cell>
          <cell r="M748">
            <v>3.67317305134672</v>
          </cell>
          <cell r="N748">
            <v>4</v>
          </cell>
        </row>
        <row r="749">
          <cell r="E749" t="str">
            <v>Arizona v California</v>
          </cell>
          <cell r="I749" t="str">
            <v>RR</v>
          </cell>
          <cell r="K749" t="str">
            <v>F</v>
          </cell>
          <cell r="M749">
            <v>6.3146613307557997</v>
          </cell>
          <cell r="N749">
            <v>4</v>
          </cell>
        </row>
        <row r="750">
          <cell r="E750" t="str">
            <v>Arizona v California</v>
          </cell>
          <cell r="I750" t="str">
            <v>RR</v>
          </cell>
          <cell r="K750" t="str">
            <v>F</v>
          </cell>
          <cell r="M750">
            <v>3.2250697283501299</v>
          </cell>
          <cell r="N750">
            <v>4</v>
          </cell>
        </row>
        <row r="751">
          <cell r="E751" t="str">
            <v>Arizona v California</v>
          </cell>
          <cell r="I751" t="str">
            <v>RR</v>
          </cell>
          <cell r="K751" t="str">
            <v>F</v>
          </cell>
          <cell r="M751">
            <v>0.288195175907698</v>
          </cell>
          <cell r="N751">
            <v>4</v>
          </cell>
        </row>
        <row r="752">
          <cell r="E752" t="str">
            <v>Arizona v California</v>
          </cell>
          <cell r="I752" t="str">
            <v>RR</v>
          </cell>
          <cell r="K752" t="str">
            <v>F</v>
          </cell>
          <cell r="M752">
            <v>6.8546861595202104</v>
          </cell>
          <cell r="N752">
            <v>4</v>
          </cell>
        </row>
        <row r="753">
          <cell r="E753" t="str">
            <v>Arizona v California</v>
          </cell>
          <cell r="I753" t="str">
            <v>RR</v>
          </cell>
          <cell r="K753" t="str">
            <v>F</v>
          </cell>
          <cell r="M753">
            <v>3.8138151294831002</v>
          </cell>
          <cell r="N753">
            <v>4</v>
          </cell>
        </row>
        <row r="754">
          <cell r="E754" t="str">
            <v>Arizona v California</v>
          </cell>
          <cell r="I754" t="str">
            <v>RR</v>
          </cell>
          <cell r="K754" t="str">
            <v>F</v>
          </cell>
          <cell r="M754">
            <v>8.0646818031597896</v>
          </cell>
          <cell r="N754">
            <v>4</v>
          </cell>
        </row>
        <row r="755">
          <cell r="E755" t="str">
            <v>Arizona v California</v>
          </cell>
          <cell r="I755" t="str">
            <v>RR</v>
          </cell>
          <cell r="K755" t="str">
            <v>F</v>
          </cell>
          <cell r="M755">
            <v>5.18873784352387</v>
          </cell>
          <cell r="N755">
            <v>4</v>
          </cell>
        </row>
        <row r="756">
          <cell r="E756" t="str">
            <v>Arizona v California</v>
          </cell>
          <cell r="I756" t="str">
            <v>RR</v>
          </cell>
          <cell r="K756" t="str">
            <v>F</v>
          </cell>
          <cell r="M756">
            <v>1.5253950057127901</v>
          </cell>
          <cell r="N756">
            <v>4</v>
          </cell>
        </row>
        <row r="757">
          <cell r="E757" t="str">
            <v>Arizona v California</v>
          </cell>
          <cell r="I757" t="str">
            <v>RR</v>
          </cell>
          <cell r="K757" t="str">
            <v>F</v>
          </cell>
          <cell r="M757">
            <v>0.44702320402207202</v>
          </cell>
          <cell r="N757">
            <v>4</v>
          </cell>
        </row>
        <row r="758">
          <cell r="E758" t="str">
            <v>Arizona v California</v>
          </cell>
          <cell r="I758" t="str">
            <v>RR</v>
          </cell>
          <cell r="K758" t="str">
            <v>F</v>
          </cell>
          <cell r="M758">
            <v>4.5278768032814201</v>
          </cell>
          <cell r="N758">
            <v>4</v>
          </cell>
        </row>
        <row r="759">
          <cell r="E759" t="str">
            <v>Arizona v California</v>
          </cell>
          <cell r="I759" t="str">
            <v>RR</v>
          </cell>
          <cell r="K759" t="str">
            <v>F</v>
          </cell>
          <cell r="M759">
            <v>0.81655370228402102</v>
          </cell>
          <cell r="N759">
            <v>4</v>
          </cell>
        </row>
        <row r="760">
          <cell r="E760" t="str">
            <v>Arizona v California</v>
          </cell>
          <cell r="I760" t="str">
            <v>RR</v>
          </cell>
          <cell r="K760" t="str">
            <v>F</v>
          </cell>
          <cell r="M760">
            <v>1.2774983992344</v>
          </cell>
          <cell r="N760">
            <v>4</v>
          </cell>
        </row>
        <row r="761">
          <cell r="E761" t="str">
            <v>Arizona v California</v>
          </cell>
          <cell r="I761" t="str">
            <v>RR</v>
          </cell>
          <cell r="K761" t="str">
            <v>F</v>
          </cell>
          <cell r="M761">
            <v>14.732525251976799</v>
          </cell>
          <cell r="N761">
            <v>4</v>
          </cell>
        </row>
        <row r="762">
          <cell r="E762" t="str">
            <v>Arizona v California</v>
          </cell>
          <cell r="I762" t="str">
            <v>RR</v>
          </cell>
          <cell r="K762" t="str">
            <v>F</v>
          </cell>
          <cell r="M762">
            <v>0.81512718897282699</v>
          </cell>
          <cell r="N762">
            <v>4</v>
          </cell>
        </row>
        <row r="763">
          <cell r="E763" t="str">
            <v>Arizona v California</v>
          </cell>
          <cell r="I763" t="str">
            <v>RR</v>
          </cell>
          <cell r="K763" t="str">
            <v>F</v>
          </cell>
          <cell r="M763">
            <v>1.6702027918689799</v>
          </cell>
          <cell r="N763">
            <v>4</v>
          </cell>
        </row>
        <row r="764">
          <cell r="E764" t="str">
            <v>Arizona v California</v>
          </cell>
          <cell r="I764" t="str">
            <v>RR</v>
          </cell>
          <cell r="K764" t="str">
            <v>F</v>
          </cell>
          <cell r="M764">
            <v>0.324539995183731</v>
          </cell>
          <cell r="N764">
            <v>4</v>
          </cell>
        </row>
        <row r="765">
          <cell r="E765" t="str">
            <v>Arizona v California</v>
          </cell>
          <cell r="I765" t="str">
            <v>RR</v>
          </cell>
          <cell r="K765" t="str">
            <v>F</v>
          </cell>
          <cell r="M765">
            <v>9.4015625062812394</v>
          </cell>
          <cell r="N765">
            <v>4</v>
          </cell>
        </row>
        <row r="766">
          <cell r="E766" t="str">
            <v>Arizona v California</v>
          </cell>
          <cell r="I766" t="str">
            <v>RR</v>
          </cell>
          <cell r="K766" t="str">
            <v>F</v>
          </cell>
          <cell r="M766">
            <v>1.83594889487026</v>
          </cell>
          <cell r="N766">
            <v>4</v>
          </cell>
        </row>
        <row r="767">
          <cell r="E767" t="str">
            <v>Arizona v California</v>
          </cell>
          <cell r="I767" t="str">
            <v>RR</v>
          </cell>
          <cell r="K767" t="str">
            <v>F</v>
          </cell>
          <cell r="M767">
            <v>4.8273250388428002</v>
          </cell>
          <cell r="N767">
            <v>4</v>
          </cell>
        </row>
        <row r="768">
          <cell r="E768" t="str">
            <v>Arizona v California</v>
          </cell>
          <cell r="I768" t="str">
            <v>RR</v>
          </cell>
          <cell r="K768" t="str">
            <v>F</v>
          </cell>
          <cell r="M768">
            <v>6.5278601832681096</v>
          </cell>
          <cell r="N768">
            <v>4</v>
          </cell>
        </row>
        <row r="769">
          <cell r="E769" t="str">
            <v>Arizona v California</v>
          </cell>
          <cell r="I769" t="str">
            <v>RR</v>
          </cell>
          <cell r="K769" t="str">
            <v>F</v>
          </cell>
          <cell r="M769">
            <v>0.63795460219230005</v>
          </cell>
          <cell r="N769">
            <v>4</v>
          </cell>
        </row>
        <row r="770">
          <cell r="E770" t="str">
            <v>Arizona v California</v>
          </cell>
          <cell r="I770" t="str">
            <v>RR</v>
          </cell>
          <cell r="K770" t="str">
            <v>F</v>
          </cell>
          <cell r="M770">
            <v>8.7103416658591701</v>
          </cell>
          <cell r="N770">
            <v>4</v>
          </cell>
        </row>
        <row r="771">
          <cell r="E771" t="str">
            <v>Arizona v California</v>
          </cell>
          <cell r="I771" t="str">
            <v>RR</v>
          </cell>
          <cell r="K771" t="str">
            <v>F</v>
          </cell>
          <cell r="M771">
            <v>4.1541063516608103</v>
          </cell>
          <cell r="N771">
            <v>4</v>
          </cell>
        </row>
        <row r="772">
          <cell r="E772" t="str">
            <v>Arizona v California</v>
          </cell>
          <cell r="I772" t="str">
            <v>RR</v>
          </cell>
          <cell r="K772" t="str">
            <v>F</v>
          </cell>
          <cell r="M772">
            <v>1.5639354863180399</v>
          </cell>
          <cell r="N772">
            <v>4</v>
          </cell>
        </row>
        <row r="773">
          <cell r="E773" t="str">
            <v>Arizona v California</v>
          </cell>
          <cell r="I773" t="str">
            <v>RR</v>
          </cell>
          <cell r="K773" t="str">
            <v>Res,D</v>
          </cell>
          <cell r="M773">
            <v>0.119612178222105</v>
          </cell>
          <cell r="N773">
            <v>4</v>
          </cell>
        </row>
        <row r="774">
          <cell r="E774" t="str">
            <v>Arizona v California</v>
          </cell>
          <cell r="I774" t="str">
            <v>RR</v>
          </cell>
          <cell r="K774" t="str">
            <v>F</v>
          </cell>
          <cell r="M774">
            <v>3.8487285704722201</v>
          </cell>
          <cell r="N774">
            <v>4</v>
          </cell>
        </row>
        <row r="775">
          <cell r="E775" t="str">
            <v>Arizona v California</v>
          </cell>
          <cell r="I775" t="str">
            <v>RR</v>
          </cell>
          <cell r="K775" t="str">
            <v>F</v>
          </cell>
          <cell r="M775">
            <v>0.13535983671619201</v>
          </cell>
          <cell r="N775">
            <v>4</v>
          </cell>
        </row>
        <row r="776">
          <cell r="E776" t="str">
            <v>Arizona v California</v>
          </cell>
          <cell r="I776" t="str">
            <v>RR</v>
          </cell>
          <cell r="K776" t="str">
            <v>F</v>
          </cell>
          <cell r="M776">
            <v>1.9605833640008199</v>
          </cell>
          <cell r="N776">
            <v>4</v>
          </cell>
        </row>
        <row r="777">
          <cell r="E777" t="str">
            <v>Arizona v California</v>
          </cell>
          <cell r="I777" t="str">
            <v>RR</v>
          </cell>
          <cell r="K777" t="str">
            <v>IPP</v>
          </cell>
          <cell r="M777">
            <v>27.898893529959398</v>
          </cell>
          <cell r="N777">
            <v>1</v>
          </cell>
        </row>
        <row r="778">
          <cell r="E778" t="str">
            <v>Arizona v California</v>
          </cell>
          <cell r="I778" t="str">
            <v>RR</v>
          </cell>
          <cell r="K778" t="str">
            <v>INP</v>
          </cell>
          <cell r="M778">
            <v>20.5768594037505</v>
          </cell>
          <cell r="N778">
            <v>1</v>
          </cell>
        </row>
        <row r="779">
          <cell r="E779" t="str">
            <v>Arizona v California</v>
          </cell>
          <cell r="I779" t="str">
            <v>RR</v>
          </cell>
          <cell r="K779" t="str">
            <v>IPP</v>
          </cell>
          <cell r="M779">
            <v>0.89436069667314899</v>
          </cell>
          <cell r="N779">
            <v>1</v>
          </cell>
        </row>
        <row r="780">
          <cell r="E780" t="str">
            <v>Arizona v California</v>
          </cell>
          <cell r="I780" t="str">
            <v>RR</v>
          </cell>
          <cell r="K780" t="str">
            <v>F</v>
          </cell>
          <cell r="M780">
            <v>8.6878035531948097</v>
          </cell>
          <cell r="N780">
            <v>4</v>
          </cell>
        </row>
        <row r="781">
          <cell r="E781" t="str">
            <v>Arizona v California</v>
          </cell>
          <cell r="I781" t="str">
            <v>RR</v>
          </cell>
          <cell r="K781" t="str">
            <v>F</v>
          </cell>
          <cell r="M781">
            <v>8.5662358772204801</v>
          </cell>
          <cell r="N781">
            <v>4</v>
          </cell>
        </row>
        <row r="782">
          <cell r="E782" t="str">
            <v>Arizona v California</v>
          </cell>
          <cell r="I782" t="str">
            <v>RR</v>
          </cell>
          <cell r="K782" t="str">
            <v>F</v>
          </cell>
          <cell r="M782">
            <v>4.9110495921142601</v>
          </cell>
          <cell r="N782">
            <v>4</v>
          </cell>
        </row>
        <row r="783">
          <cell r="E783" t="str">
            <v>Arizona v California</v>
          </cell>
          <cell r="I783" t="str">
            <v>RR</v>
          </cell>
          <cell r="K783" t="str">
            <v>F</v>
          </cell>
          <cell r="M783">
            <v>18.456577404103101</v>
          </cell>
          <cell r="N783">
            <v>4</v>
          </cell>
        </row>
        <row r="784">
          <cell r="E784" t="str">
            <v>Arizona v California</v>
          </cell>
          <cell r="I784" t="str">
            <v>RR</v>
          </cell>
          <cell r="K784" t="str">
            <v>F</v>
          </cell>
          <cell r="M784">
            <v>1.66717337948153</v>
          </cell>
          <cell r="N784">
            <v>4</v>
          </cell>
        </row>
        <row r="785">
          <cell r="E785" t="str">
            <v>Arizona v California</v>
          </cell>
          <cell r="I785" t="str">
            <v>RR</v>
          </cell>
          <cell r="K785" t="str">
            <v>F</v>
          </cell>
          <cell r="M785">
            <v>24.420375215403698</v>
          </cell>
          <cell r="N785">
            <v>4</v>
          </cell>
        </row>
        <row r="786">
          <cell r="E786" t="str">
            <v>Arizona v California</v>
          </cell>
          <cell r="I786" t="str">
            <v>RR</v>
          </cell>
          <cell r="K786" t="str">
            <v>F</v>
          </cell>
          <cell r="M786">
            <v>17.601737000971699</v>
          </cell>
          <cell r="N786">
            <v>4</v>
          </cell>
        </row>
        <row r="787">
          <cell r="E787" t="str">
            <v>Arizona v California</v>
          </cell>
          <cell r="I787" t="str">
            <v>RR</v>
          </cell>
          <cell r="K787" t="str">
            <v>F</v>
          </cell>
          <cell r="M787">
            <v>44.0335682026071</v>
          </cell>
          <cell r="N787">
            <v>4</v>
          </cell>
        </row>
        <row r="788">
          <cell r="E788" t="str">
            <v>Arizona v California</v>
          </cell>
          <cell r="I788" t="str">
            <v>RR</v>
          </cell>
          <cell r="K788" t="str">
            <v>F</v>
          </cell>
          <cell r="M788">
            <v>0.47879461567033899</v>
          </cell>
          <cell r="N788">
            <v>4</v>
          </cell>
        </row>
        <row r="789">
          <cell r="E789" t="str">
            <v>Arizona v California</v>
          </cell>
          <cell r="I789" t="str">
            <v>RR</v>
          </cell>
          <cell r="K789" t="str">
            <v>F</v>
          </cell>
          <cell r="M789">
            <v>0.54150871685511404</v>
          </cell>
          <cell r="N789">
            <v>4</v>
          </cell>
        </row>
        <row r="790">
          <cell r="E790" t="str">
            <v>Arizona v California</v>
          </cell>
          <cell r="I790" t="str">
            <v>RR</v>
          </cell>
          <cell r="K790" t="str">
            <v>F</v>
          </cell>
          <cell r="M790">
            <v>0.88314546572049502</v>
          </cell>
          <cell r="N790">
            <v>4</v>
          </cell>
        </row>
        <row r="791">
          <cell r="E791" t="str">
            <v>Arizona v California</v>
          </cell>
          <cell r="I791" t="str">
            <v>GW</v>
          </cell>
          <cell r="K791" t="str">
            <v>DSL</v>
          </cell>
          <cell r="M791">
            <v>4.0651382280999999E-4</v>
          </cell>
          <cell r="N791">
            <v>2</v>
          </cell>
        </row>
        <row r="792">
          <cell r="E792" t="str">
            <v>Arizona v California</v>
          </cell>
          <cell r="I792" t="str">
            <v>RR</v>
          </cell>
          <cell r="K792" t="str">
            <v>F</v>
          </cell>
          <cell r="M792">
            <v>16.670892085522901</v>
          </cell>
          <cell r="N792">
            <v>4</v>
          </cell>
        </row>
        <row r="793">
          <cell r="E793" t="str">
            <v>Arizona v California</v>
          </cell>
          <cell r="I793" t="str">
            <v>RR</v>
          </cell>
          <cell r="K793" t="str">
            <v>IPP</v>
          </cell>
          <cell r="M793">
            <v>3.01340746307867</v>
          </cell>
          <cell r="N793">
            <v>1</v>
          </cell>
        </row>
        <row r="794">
          <cell r="E794" t="str">
            <v>Arizona v California</v>
          </cell>
          <cell r="I794" t="str">
            <v>RR</v>
          </cell>
          <cell r="K794" t="str">
            <v>F</v>
          </cell>
          <cell r="M794">
            <v>4.2136858121514402</v>
          </cell>
          <cell r="N794">
            <v>4</v>
          </cell>
        </row>
        <row r="795">
          <cell r="E795" t="str">
            <v>Arizona v California</v>
          </cell>
          <cell r="I795" t="str">
            <v>RR</v>
          </cell>
          <cell r="K795" t="str">
            <v>INP</v>
          </cell>
          <cell r="M795">
            <v>4.7461863798872299</v>
          </cell>
          <cell r="N795">
            <v>1</v>
          </cell>
        </row>
        <row r="796">
          <cell r="E796" t="str">
            <v>Arizona v California</v>
          </cell>
          <cell r="I796" t="str">
            <v>RR</v>
          </cell>
          <cell r="K796" t="str">
            <v>IPP</v>
          </cell>
          <cell r="M796">
            <v>6.5642685940264798</v>
          </cell>
          <cell r="N796">
            <v>1</v>
          </cell>
        </row>
        <row r="797">
          <cell r="E797" t="str">
            <v>Arizona v California</v>
          </cell>
          <cell r="I797" t="str">
            <v>RR</v>
          </cell>
          <cell r="K797" t="str">
            <v>F</v>
          </cell>
          <cell r="M797">
            <v>8.2900071181402293</v>
          </cell>
          <cell r="N797">
            <v>4</v>
          </cell>
        </row>
        <row r="798">
          <cell r="E798" t="str">
            <v>Arizona v California</v>
          </cell>
          <cell r="I798" t="str">
            <v>RR</v>
          </cell>
          <cell r="K798" t="str">
            <v>F</v>
          </cell>
          <cell r="M798">
            <v>0.190196989255071</v>
          </cell>
          <cell r="N798">
            <v>4</v>
          </cell>
        </row>
        <row r="799">
          <cell r="E799" t="str">
            <v>Arizona v California</v>
          </cell>
          <cell r="I799" t="str">
            <v>RR</v>
          </cell>
          <cell r="K799" t="str">
            <v>DSL</v>
          </cell>
          <cell r="M799">
            <v>0.34154771112919702</v>
          </cell>
          <cell r="N799">
            <v>2</v>
          </cell>
        </row>
        <row r="800">
          <cell r="E800" t="str">
            <v>Arizona v California</v>
          </cell>
          <cell r="I800" t="str">
            <v>RR</v>
          </cell>
          <cell r="K800" t="str">
            <v>F</v>
          </cell>
          <cell r="M800">
            <v>0.52602429862100897</v>
          </cell>
          <cell r="N800">
            <v>4</v>
          </cell>
        </row>
        <row r="801">
          <cell r="E801" t="str">
            <v>Arizona v California</v>
          </cell>
          <cell r="I801" t="str">
            <v>RR</v>
          </cell>
          <cell r="K801" t="str">
            <v>F</v>
          </cell>
          <cell r="M801">
            <v>0.34342235021954598</v>
          </cell>
          <cell r="N801">
            <v>4</v>
          </cell>
        </row>
        <row r="802">
          <cell r="E802" t="str">
            <v>Arizona v California</v>
          </cell>
          <cell r="I802" t="str">
            <v>RR</v>
          </cell>
          <cell r="K802" t="str">
            <v>F</v>
          </cell>
          <cell r="M802">
            <v>5.6223007203618003E-2</v>
          </cell>
          <cell r="N802">
            <v>4</v>
          </cell>
        </row>
        <row r="803">
          <cell r="E803" t="str">
            <v>Arizona v California</v>
          </cell>
          <cell r="I803" t="str">
            <v>RR</v>
          </cell>
          <cell r="K803" t="str">
            <v>F</v>
          </cell>
          <cell r="M803">
            <v>4.52949842870719</v>
          </cell>
          <cell r="N803">
            <v>4</v>
          </cell>
        </row>
        <row r="804">
          <cell r="E804" t="str">
            <v>Arizona v California</v>
          </cell>
          <cell r="I804" t="str">
            <v>RR</v>
          </cell>
          <cell r="K804" t="str">
            <v>F</v>
          </cell>
          <cell r="M804">
            <v>9.4973601337101005E-2</v>
          </cell>
          <cell r="N804">
            <v>4</v>
          </cell>
        </row>
        <row r="805">
          <cell r="E805" t="str">
            <v>Arizona v California</v>
          </cell>
          <cell r="I805" t="str">
            <v>RR</v>
          </cell>
          <cell r="K805" t="str">
            <v>F</v>
          </cell>
          <cell r="M805">
            <v>0.16426587506252699</v>
          </cell>
          <cell r="N805">
            <v>4</v>
          </cell>
        </row>
        <row r="806">
          <cell r="E806" t="str">
            <v>Arizona v California</v>
          </cell>
          <cell r="I806" t="str">
            <v>RR</v>
          </cell>
          <cell r="K806" t="str">
            <v>F</v>
          </cell>
          <cell r="M806">
            <v>0.107547208689228</v>
          </cell>
          <cell r="N806">
            <v>4</v>
          </cell>
        </row>
        <row r="807">
          <cell r="E807" t="str">
            <v>Arizona v California</v>
          </cell>
          <cell r="I807" t="str">
            <v>RR</v>
          </cell>
          <cell r="K807" t="str">
            <v>F</v>
          </cell>
          <cell r="M807">
            <v>7.3194216790998698</v>
          </cell>
          <cell r="N807">
            <v>4</v>
          </cell>
        </row>
        <row r="808">
          <cell r="E808" t="str">
            <v>Arizona v California</v>
          </cell>
          <cell r="I808" t="str">
            <v>RR</v>
          </cell>
          <cell r="K808" t="str">
            <v>F</v>
          </cell>
          <cell r="M808">
            <v>4.7007859839082604</v>
          </cell>
          <cell r="N808">
            <v>4</v>
          </cell>
        </row>
        <row r="809">
          <cell r="E809" t="str">
            <v>Arizona v California</v>
          </cell>
          <cell r="I809" t="str">
            <v>RR</v>
          </cell>
          <cell r="K809" t="str">
            <v>Out</v>
          </cell>
          <cell r="M809">
            <v>17.252002418114699</v>
          </cell>
          <cell r="N809">
            <v>4</v>
          </cell>
        </row>
        <row r="810">
          <cell r="E810" t="str">
            <v>Arizona v California</v>
          </cell>
          <cell r="I810" t="str">
            <v>RR</v>
          </cell>
          <cell r="K810" t="str">
            <v>F</v>
          </cell>
          <cell r="M810">
            <v>5.0887027189155098</v>
          </cell>
          <cell r="N810">
            <v>4</v>
          </cell>
        </row>
        <row r="811">
          <cell r="E811" t="str">
            <v>Arizona v California</v>
          </cell>
          <cell r="I811" t="str">
            <v>RR</v>
          </cell>
          <cell r="K811" t="str">
            <v>F</v>
          </cell>
          <cell r="M811">
            <v>5.7618336067976497</v>
          </cell>
          <cell r="N811">
            <v>4</v>
          </cell>
        </row>
        <row r="812">
          <cell r="E812" t="str">
            <v>Arizona v California</v>
          </cell>
          <cell r="I812" t="str">
            <v>RR</v>
          </cell>
          <cell r="K812" t="str">
            <v>F</v>
          </cell>
          <cell r="M812">
            <v>2.3353402490118298</v>
          </cell>
          <cell r="N812">
            <v>4</v>
          </cell>
        </row>
        <row r="813">
          <cell r="E813" t="str">
            <v>Arizona v California</v>
          </cell>
          <cell r="I813" t="str">
            <v>RR</v>
          </cell>
          <cell r="K813" t="str">
            <v>INP</v>
          </cell>
          <cell r="M813">
            <v>0.63365565354671205</v>
          </cell>
          <cell r="N813">
            <v>1</v>
          </cell>
        </row>
        <row r="814">
          <cell r="E814" t="str">
            <v>Arizona v California</v>
          </cell>
          <cell r="I814" t="str">
            <v>RR</v>
          </cell>
          <cell r="K814" t="str">
            <v>F</v>
          </cell>
          <cell r="M814">
            <v>7.8655484187428701</v>
          </cell>
          <cell r="N814">
            <v>4</v>
          </cell>
        </row>
        <row r="815">
          <cell r="E815" t="str">
            <v>Globe Equity Decree</v>
          </cell>
          <cell r="I815" t="str">
            <v>RR</v>
          </cell>
          <cell r="K815" t="str">
            <v>Out</v>
          </cell>
          <cell r="M815">
            <v>28.777375648566</v>
          </cell>
          <cell r="N815">
            <v>4</v>
          </cell>
        </row>
        <row r="816">
          <cell r="E816" t="str">
            <v>Globe Equity Decree</v>
          </cell>
          <cell r="I816" t="str">
            <v>RR</v>
          </cell>
          <cell r="K816" t="str">
            <v>Out</v>
          </cell>
          <cell r="M816">
            <v>4.3494053134387096</v>
          </cell>
          <cell r="N816">
            <v>4</v>
          </cell>
        </row>
        <row r="817">
          <cell r="E817" t="str">
            <v>Globe Equity Decree</v>
          </cell>
          <cell r="I817" t="str">
            <v>RR</v>
          </cell>
          <cell r="K817" t="str">
            <v>Out</v>
          </cell>
          <cell r="M817">
            <v>5.0824133615209703</v>
          </cell>
          <cell r="N817">
            <v>4</v>
          </cell>
        </row>
        <row r="818">
          <cell r="E818" t="str">
            <v>Globe Equity Decree</v>
          </cell>
          <cell r="I818" t="str">
            <v>RR</v>
          </cell>
          <cell r="K818" t="str">
            <v>Out</v>
          </cell>
          <cell r="M818">
            <v>25.917681570099901</v>
          </cell>
          <cell r="N818">
            <v>4</v>
          </cell>
        </row>
        <row r="819">
          <cell r="E819" t="str">
            <v>Globe Equity Decree</v>
          </cell>
          <cell r="I819" t="str">
            <v>RR</v>
          </cell>
          <cell r="K819" t="str">
            <v>Out</v>
          </cell>
          <cell r="M819">
            <v>5.0625988976338396</v>
          </cell>
          <cell r="N819">
            <v>4</v>
          </cell>
        </row>
        <row r="820">
          <cell r="E820" t="str">
            <v>Globe Equity Decree</v>
          </cell>
          <cell r="I820" t="str">
            <v>RR</v>
          </cell>
          <cell r="K820" t="str">
            <v>Out</v>
          </cell>
          <cell r="M820">
            <v>24.0030110929887</v>
          </cell>
          <cell r="N820">
            <v>4</v>
          </cell>
        </row>
        <row r="821">
          <cell r="E821" t="str">
            <v>Globe Equity Decree</v>
          </cell>
          <cell r="I821" t="str">
            <v>RR</v>
          </cell>
          <cell r="K821" t="str">
            <v>Out</v>
          </cell>
          <cell r="M821">
            <v>15.661947646062</v>
          </cell>
          <cell r="N821">
            <v>4</v>
          </cell>
        </row>
        <row r="822">
          <cell r="E822" t="str">
            <v>Globe Equity Decree</v>
          </cell>
          <cell r="I822" t="str">
            <v>RR</v>
          </cell>
          <cell r="K822" t="str">
            <v>Out</v>
          </cell>
          <cell r="M822">
            <v>4.7105195784878102</v>
          </cell>
          <cell r="N822">
            <v>4</v>
          </cell>
        </row>
        <row r="823">
          <cell r="E823" t="str">
            <v>Globe Equity Decree</v>
          </cell>
          <cell r="I823" t="str">
            <v>RR</v>
          </cell>
          <cell r="K823" t="str">
            <v>Out</v>
          </cell>
          <cell r="M823">
            <v>10.2123396883757</v>
          </cell>
          <cell r="N823">
            <v>4</v>
          </cell>
        </row>
        <row r="824">
          <cell r="E824" t="str">
            <v>Globe Equity Decree</v>
          </cell>
          <cell r="I824" t="str">
            <v>RR</v>
          </cell>
          <cell r="K824" t="str">
            <v>Out</v>
          </cell>
          <cell r="M824">
            <v>3.6615206538274498</v>
          </cell>
          <cell r="N824">
            <v>4</v>
          </cell>
        </row>
        <row r="825">
          <cell r="E825" t="str">
            <v>Globe Equity Decree</v>
          </cell>
          <cell r="I825" t="str">
            <v>RR</v>
          </cell>
          <cell r="K825" t="str">
            <v>Out</v>
          </cell>
          <cell r="M825">
            <v>4.7376805493603404</v>
          </cell>
          <cell r="N825">
            <v>4</v>
          </cell>
        </row>
        <row r="826">
          <cell r="E826" t="str">
            <v>Globe Equity Decree</v>
          </cell>
          <cell r="I826" t="str">
            <v>RR</v>
          </cell>
          <cell r="K826" t="str">
            <v>Out</v>
          </cell>
          <cell r="M826">
            <v>3.9045732137762599</v>
          </cell>
          <cell r="N826">
            <v>4</v>
          </cell>
        </row>
        <row r="827">
          <cell r="E827" t="str">
            <v>Globe Equity Decree</v>
          </cell>
          <cell r="I827" t="str">
            <v>RR</v>
          </cell>
          <cell r="K827" t="str">
            <v>Out</v>
          </cell>
          <cell r="M827">
            <v>2.1025326946960301</v>
          </cell>
          <cell r="N827">
            <v>4</v>
          </cell>
        </row>
        <row r="828">
          <cell r="E828" t="str">
            <v>Globe Equity Decree</v>
          </cell>
          <cell r="I828" t="str">
            <v>RR</v>
          </cell>
          <cell r="K828" t="str">
            <v>Out</v>
          </cell>
          <cell r="M828">
            <v>2.6080752613264901</v>
          </cell>
          <cell r="N828">
            <v>4</v>
          </cell>
        </row>
        <row r="829">
          <cell r="E829" t="str">
            <v>Globe Equity Decree</v>
          </cell>
          <cell r="I829" t="str">
            <v>RR</v>
          </cell>
          <cell r="K829" t="str">
            <v>Out</v>
          </cell>
          <cell r="M829">
            <v>41.371537331846099</v>
          </cell>
          <cell r="N829">
            <v>4</v>
          </cell>
        </row>
        <row r="830">
          <cell r="E830" t="str">
            <v>Globe Equity Decree</v>
          </cell>
          <cell r="I830" t="str">
            <v>RR</v>
          </cell>
          <cell r="K830" t="str">
            <v>Out</v>
          </cell>
          <cell r="M830">
            <v>17.312343909765101</v>
          </cell>
          <cell r="N830">
            <v>4</v>
          </cell>
        </row>
        <row r="831">
          <cell r="E831" t="str">
            <v>Globe Equity Decree</v>
          </cell>
          <cell r="I831" t="str">
            <v>RR</v>
          </cell>
          <cell r="K831" t="str">
            <v>Out</v>
          </cell>
          <cell r="M831">
            <v>18.755219691861999</v>
          </cell>
          <cell r="N831">
            <v>4</v>
          </cell>
        </row>
        <row r="832">
          <cell r="E832" t="str">
            <v>Arizona v California</v>
          </cell>
          <cell r="I832" t="str">
            <v>RS</v>
          </cell>
          <cell r="K832" t="str">
            <v>NI</v>
          </cell>
          <cell r="M832">
            <v>1.8037102181029201</v>
          </cell>
          <cell r="N832">
            <v>4</v>
          </cell>
        </row>
        <row r="833">
          <cell r="E833" t="str">
            <v>Arizona v California</v>
          </cell>
          <cell r="I833" t="str">
            <v>RS</v>
          </cell>
          <cell r="K833" t="str">
            <v>NI</v>
          </cell>
          <cell r="M833">
            <v>2.7062729820512699</v>
          </cell>
          <cell r="N833">
            <v>4</v>
          </cell>
        </row>
        <row r="834">
          <cell r="E834" t="str">
            <v>Arizona v California</v>
          </cell>
          <cell r="I834" t="str">
            <v>RS</v>
          </cell>
          <cell r="K834" t="str">
            <v>NI</v>
          </cell>
          <cell r="M834">
            <v>1.7901878543420799</v>
          </cell>
          <cell r="N834">
            <v>4</v>
          </cell>
        </row>
        <row r="835">
          <cell r="E835" t="str">
            <v>Arizona v California</v>
          </cell>
          <cell r="I835" t="str">
            <v>RS</v>
          </cell>
          <cell r="K835" t="str">
            <v>NI</v>
          </cell>
          <cell r="M835">
            <v>0.58123590288595905</v>
          </cell>
          <cell r="N835">
            <v>4</v>
          </cell>
        </row>
        <row r="836">
          <cell r="E836" t="str">
            <v>Arizona v California</v>
          </cell>
          <cell r="I836" t="str">
            <v>RS</v>
          </cell>
          <cell r="K836" t="str">
            <v>NI</v>
          </cell>
          <cell r="M836">
            <v>0.80342339226924198</v>
          </cell>
          <cell r="N836">
            <v>4</v>
          </cell>
        </row>
        <row r="837">
          <cell r="E837" t="str">
            <v>Arizona v California</v>
          </cell>
          <cell r="I837" t="str">
            <v>RS</v>
          </cell>
          <cell r="K837" t="str">
            <v>NI</v>
          </cell>
          <cell r="M837">
            <v>0.890040253120293</v>
          </cell>
          <cell r="N837">
            <v>4</v>
          </cell>
        </row>
        <row r="838">
          <cell r="E838" t="str">
            <v>Arizona v California</v>
          </cell>
          <cell r="I838" t="str">
            <v>RS</v>
          </cell>
          <cell r="K838" t="str">
            <v>NI</v>
          </cell>
          <cell r="M838">
            <v>1.2536187990599601</v>
          </cell>
          <cell r="N838">
            <v>4</v>
          </cell>
        </row>
        <row r="839">
          <cell r="E839" t="str">
            <v>Arizona v California</v>
          </cell>
          <cell r="I839" t="str">
            <v>RS</v>
          </cell>
          <cell r="K839" t="str">
            <v>NI</v>
          </cell>
          <cell r="M839">
            <v>0.10504032186707001</v>
          </cell>
          <cell r="N839">
            <v>4</v>
          </cell>
        </row>
        <row r="840">
          <cell r="E840" t="str">
            <v>Arizona v California</v>
          </cell>
          <cell r="I840" t="str">
            <v>RS</v>
          </cell>
          <cell r="K840" t="str">
            <v>NI</v>
          </cell>
          <cell r="M840">
            <v>1.2613203279674099</v>
          </cell>
          <cell r="N840">
            <v>4</v>
          </cell>
        </row>
        <row r="841">
          <cell r="E841" t="str">
            <v>Arizona v California</v>
          </cell>
          <cell r="I841" t="str">
            <v>RS</v>
          </cell>
          <cell r="K841" t="str">
            <v>NI</v>
          </cell>
          <cell r="M841">
            <v>1.35329464364104</v>
          </cell>
          <cell r="N841">
            <v>4</v>
          </cell>
        </row>
        <row r="842">
          <cell r="E842" t="str">
            <v>Arizona v California</v>
          </cell>
          <cell r="I842" t="str">
            <v>RS</v>
          </cell>
          <cell r="K842" t="str">
            <v>DSL</v>
          </cell>
          <cell r="M842">
            <v>0.128008214414773</v>
          </cell>
          <cell r="N842">
            <v>1</v>
          </cell>
        </row>
        <row r="843">
          <cell r="E843" t="str">
            <v>Arizona v California</v>
          </cell>
          <cell r="I843" t="str">
            <v>RS</v>
          </cell>
          <cell r="K843" t="str">
            <v>Res,W</v>
          </cell>
          <cell r="M843">
            <v>0.64693904415039205</v>
          </cell>
          <cell r="N843">
            <v>4</v>
          </cell>
        </row>
        <row r="844">
          <cell r="E844" t="str">
            <v>Arizona v California</v>
          </cell>
          <cell r="I844" t="str">
            <v>RS</v>
          </cell>
          <cell r="K844" t="str">
            <v>F</v>
          </cell>
          <cell r="M844">
            <v>9.4777395101789406</v>
          </cell>
          <cell r="N844">
            <v>4</v>
          </cell>
        </row>
        <row r="845">
          <cell r="E845" t="str">
            <v>Arizona v California</v>
          </cell>
          <cell r="I845" t="str">
            <v>RS</v>
          </cell>
          <cell r="K845" t="str">
            <v>Res,W</v>
          </cell>
          <cell r="M845">
            <v>1.7188496333595</v>
          </cell>
          <cell r="N845">
            <v>4</v>
          </cell>
        </row>
        <row r="846">
          <cell r="E846" t="str">
            <v>Arizona v California</v>
          </cell>
          <cell r="I846" t="str">
            <v>RS</v>
          </cell>
          <cell r="K846" t="str">
            <v>F</v>
          </cell>
          <cell r="M846">
            <v>5.9783279909607003</v>
          </cell>
          <cell r="N846">
            <v>4</v>
          </cell>
        </row>
        <row r="847">
          <cell r="E847" t="str">
            <v>Arizona v California</v>
          </cell>
          <cell r="I847" t="str">
            <v>RS</v>
          </cell>
          <cell r="K847" t="str">
            <v>Res,W</v>
          </cell>
          <cell r="M847">
            <v>0.63661790984167799</v>
          </cell>
          <cell r="N847">
            <v>4</v>
          </cell>
        </row>
        <row r="848">
          <cell r="E848" t="str">
            <v>Arizona v California</v>
          </cell>
          <cell r="I848" t="str">
            <v>RS</v>
          </cell>
          <cell r="K848" t="str">
            <v>F</v>
          </cell>
          <cell r="M848">
            <v>8.1715958663342896</v>
          </cell>
          <cell r="N848">
            <v>4</v>
          </cell>
        </row>
        <row r="849">
          <cell r="E849" t="str">
            <v>Arizona v California</v>
          </cell>
          <cell r="I849" t="str">
            <v>RS</v>
          </cell>
          <cell r="K849" t="str">
            <v>PG</v>
          </cell>
          <cell r="M849">
            <v>0.76808262284843898</v>
          </cell>
          <cell r="N849">
            <v>1</v>
          </cell>
        </row>
        <row r="850">
          <cell r="E850" t="str">
            <v>Arizona v California</v>
          </cell>
          <cell r="I850" t="str">
            <v>RS</v>
          </cell>
          <cell r="K850" t="str">
            <v>MV</v>
          </cell>
          <cell r="M850">
            <v>0.418103990209789</v>
          </cell>
          <cell r="N850">
            <v>2</v>
          </cell>
        </row>
        <row r="851">
          <cell r="E851" t="str">
            <v>Arizona v California</v>
          </cell>
          <cell r="I851" t="str">
            <v>RS</v>
          </cell>
          <cell r="K851" t="str">
            <v>INP</v>
          </cell>
          <cell r="M851">
            <v>3.59133023335013</v>
          </cell>
          <cell r="N851">
            <v>1</v>
          </cell>
        </row>
        <row r="852">
          <cell r="E852" t="str">
            <v>Arizona v California</v>
          </cell>
          <cell r="I852" t="str">
            <v>RS</v>
          </cell>
          <cell r="K852" t="str">
            <v>INP</v>
          </cell>
          <cell r="M852">
            <v>8.74685268829489</v>
          </cell>
          <cell r="N852">
            <v>1</v>
          </cell>
        </row>
        <row r="853">
          <cell r="E853" t="str">
            <v>Arizona v California</v>
          </cell>
          <cell r="I853" t="str">
            <v>RS</v>
          </cell>
          <cell r="K853" t="str">
            <v>INP</v>
          </cell>
          <cell r="M853">
            <v>4.1035928209838302</v>
          </cell>
          <cell r="N853">
            <v>1</v>
          </cell>
        </row>
        <row r="854">
          <cell r="E854" t="str">
            <v>Arizona v California</v>
          </cell>
          <cell r="I854" t="str">
            <v>RS</v>
          </cell>
          <cell r="K854" t="str">
            <v>INP</v>
          </cell>
          <cell r="M854">
            <v>6.7401790490968798</v>
          </cell>
          <cell r="N854">
            <v>1</v>
          </cell>
        </row>
        <row r="855">
          <cell r="E855" t="str">
            <v>Arizona v California</v>
          </cell>
          <cell r="I855" t="str">
            <v>RS</v>
          </cell>
          <cell r="K855" t="str">
            <v>F</v>
          </cell>
          <cell r="M855">
            <v>0.271931864780799</v>
          </cell>
          <cell r="N855">
            <v>4</v>
          </cell>
        </row>
        <row r="856">
          <cell r="E856" t="str">
            <v>Arizona v California</v>
          </cell>
          <cell r="I856" t="str">
            <v>RS</v>
          </cell>
          <cell r="K856" t="str">
            <v>Res,W</v>
          </cell>
          <cell r="M856">
            <v>0.11627878542563901</v>
          </cell>
          <cell r="N856">
            <v>4</v>
          </cell>
        </row>
        <row r="857">
          <cell r="E857" t="str">
            <v>Arizona v California</v>
          </cell>
          <cell r="I857" t="str">
            <v>RS</v>
          </cell>
          <cell r="K857" t="str">
            <v>Out</v>
          </cell>
          <cell r="M857">
            <v>10.048619488844199</v>
          </cell>
          <cell r="N857">
            <v>4</v>
          </cell>
        </row>
        <row r="858">
          <cell r="E858" t="str">
            <v>Arizona v California</v>
          </cell>
          <cell r="I858" t="str">
            <v>RS</v>
          </cell>
          <cell r="K858" t="str">
            <v>Out</v>
          </cell>
          <cell r="M858">
            <v>14.657337156268101</v>
          </cell>
          <cell r="N858">
            <v>4</v>
          </cell>
        </row>
        <row r="859">
          <cell r="E859" t="str">
            <v>Arizona v California</v>
          </cell>
          <cell r="I859" t="str">
            <v>RS</v>
          </cell>
          <cell r="K859" t="str">
            <v>S</v>
          </cell>
          <cell r="M859">
            <v>0.156695261610479</v>
          </cell>
          <cell r="N859">
            <v>5</v>
          </cell>
        </row>
        <row r="860">
          <cell r="E860" t="str">
            <v>Arizona v California</v>
          </cell>
          <cell r="I860" t="str">
            <v>RS</v>
          </cell>
          <cell r="K860" t="str">
            <v>Stk,W</v>
          </cell>
          <cell r="M860">
            <v>0.764894654623546</v>
          </cell>
          <cell r="N860">
            <v>4</v>
          </cell>
        </row>
        <row r="861">
          <cell r="E861" t="str">
            <v>Arizona v California</v>
          </cell>
          <cell r="I861" t="str">
            <v>RS</v>
          </cell>
          <cell r="K861" t="str">
            <v>INP</v>
          </cell>
          <cell r="M861">
            <v>0.195227593944096</v>
          </cell>
          <cell r="N861">
            <v>1</v>
          </cell>
        </row>
        <row r="862">
          <cell r="E862" t="str">
            <v>Arizona v California</v>
          </cell>
          <cell r="I862" t="str">
            <v>RS</v>
          </cell>
          <cell r="K862" t="str">
            <v>INP</v>
          </cell>
          <cell r="M862">
            <v>0.91536565910941403</v>
          </cell>
          <cell r="N862">
            <v>1</v>
          </cell>
        </row>
        <row r="863">
          <cell r="E863" t="str">
            <v>Arizona v California</v>
          </cell>
          <cell r="I863" t="str">
            <v>RS</v>
          </cell>
          <cell r="K863" t="str">
            <v>Out</v>
          </cell>
          <cell r="M863">
            <v>3.7379123517292498</v>
          </cell>
          <cell r="N863">
            <v>4</v>
          </cell>
        </row>
        <row r="864">
          <cell r="E864" t="str">
            <v>Arizona v California</v>
          </cell>
          <cell r="I864" t="str">
            <v>RS</v>
          </cell>
          <cell r="K864" t="str">
            <v>F</v>
          </cell>
          <cell r="M864">
            <v>6.9782451407745E-2</v>
          </cell>
          <cell r="N864">
            <v>4</v>
          </cell>
        </row>
        <row r="865">
          <cell r="E865" t="str">
            <v>Arizona v California</v>
          </cell>
          <cell r="I865" t="str">
            <v>RS</v>
          </cell>
          <cell r="K865" t="str">
            <v>Res,W</v>
          </cell>
          <cell r="M865">
            <v>0.74468714021473803</v>
          </cell>
          <cell r="N865">
            <v>4</v>
          </cell>
        </row>
        <row r="866">
          <cell r="E866" t="str">
            <v>Arizona v California</v>
          </cell>
          <cell r="I866" t="str">
            <v>RS</v>
          </cell>
          <cell r="K866" t="str">
            <v>INP</v>
          </cell>
          <cell r="M866">
            <v>6.8293331125495002E-2</v>
          </cell>
          <cell r="N866">
            <v>1</v>
          </cell>
        </row>
        <row r="867">
          <cell r="E867" t="str">
            <v>Arizona v California</v>
          </cell>
          <cell r="I867" t="str">
            <v>RS</v>
          </cell>
          <cell r="K867" t="str">
            <v>F</v>
          </cell>
          <cell r="M867">
            <v>1.1509277929156301</v>
          </cell>
          <cell r="N867">
            <v>4</v>
          </cell>
        </row>
        <row r="868">
          <cell r="E868" t="str">
            <v>Arizona v California</v>
          </cell>
          <cell r="I868" t="str">
            <v>RS</v>
          </cell>
          <cell r="K868" t="str">
            <v>Res,W</v>
          </cell>
          <cell r="M868">
            <v>0.29095668906323402</v>
          </cell>
          <cell r="N868">
            <v>4</v>
          </cell>
        </row>
        <row r="869">
          <cell r="E869" t="str">
            <v>Arizona v California</v>
          </cell>
          <cell r="I869" t="str">
            <v>RS</v>
          </cell>
          <cell r="K869" t="str">
            <v>INP</v>
          </cell>
          <cell r="M869">
            <v>0.118244791093453</v>
          </cell>
          <cell r="N869">
            <v>1</v>
          </cell>
        </row>
        <row r="870">
          <cell r="E870" t="str">
            <v>Arizona v California</v>
          </cell>
          <cell r="I870" t="str">
            <v>RS</v>
          </cell>
          <cell r="K870" t="str">
            <v>INP</v>
          </cell>
          <cell r="M870">
            <v>3.2198521055935498</v>
          </cell>
          <cell r="N870">
            <v>1</v>
          </cell>
        </row>
        <row r="871">
          <cell r="E871" t="str">
            <v>Arizona v California</v>
          </cell>
          <cell r="I871" t="str">
            <v>RS</v>
          </cell>
          <cell r="K871" t="str">
            <v>F</v>
          </cell>
          <cell r="M871">
            <v>0.42878297122234099</v>
          </cell>
          <cell r="N871">
            <v>4</v>
          </cell>
        </row>
        <row r="872">
          <cell r="E872" t="str">
            <v>Arizona v California</v>
          </cell>
          <cell r="I872" t="str">
            <v>RS</v>
          </cell>
          <cell r="K872" t="str">
            <v>INP</v>
          </cell>
          <cell r="M872">
            <v>0.82719704160370799</v>
          </cell>
          <cell r="N872">
            <v>1</v>
          </cell>
        </row>
        <row r="873">
          <cell r="E873" t="str">
            <v>Arizona v California</v>
          </cell>
          <cell r="I873" t="str">
            <v>RS</v>
          </cell>
          <cell r="K873" t="str">
            <v>INP</v>
          </cell>
          <cell r="M873">
            <v>0.52221736812082298</v>
          </cell>
          <cell r="N873">
            <v>1</v>
          </cell>
        </row>
        <row r="874">
          <cell r="E874" t="str">
            <v>Arizona v California</v>
          </cell>
          <cell r="I874" t="str">
            <v>RS</v>
          </cell>
          <cell r="K874" t="str">
            <v>Res,D</v>
          </cell>
          <cell r="M874">
            <v>0.16074685380679399</v>
          </cell>
          <cell r="N874">
            <v>4</v>
          </cell>
        </row>
        <row r="875">
          <cell r="E875" t="str">
            <v>Arizona v California</v>
          </cell>
          <cell r="I875" t="str">
            <v>RS</v>
          </cell>
          <cell r="K875" t="str">
            <v>Out</v>
          </cell>
          <cell r="M875">
            <v>6.0962218877155596</v>
          </cell>
          <cell r="N875">
            <v>4</v>
          </cell>
        </row>
        <row r="876">
          <cell r="E876" t="str">
            <v>Arizona v California</v>
          </cell>
          <cell r="I876" t="str">
            <v>RS</v>
          </cell>
          <cell r="K876" t="str">
            <v>Out</v>
          </cell>
          <cell r="M876">
            <v>0.95614044322273395</v>
          </cell>
          <cell r="N876">
            <v>4</v>
          </cell>
        </row>
        <row r="877">
          <cell r="E877" t="str">
            <v>Arizona v California</v>
          </cell>
          <cell r="I877" t="str">
            <v>RS</v>
          </cell>
          <cell r="K877" t="str">
            <v>F</v>
          </cell>
          <cell r="M877">
            <v>0.152503745229841</v>
          </cell>
          <cell r="N877">
            <v>4</v>
          </cell>
        </row>
        <row r="878">
          <cell r="E878" t="str">
            <v>Arizona v California</v>
          </cell>
          <cell r="I878" t="str">
            <v>RS</v>
          </cell>
          <cell r="K878" t="str">
            <v>Out</v>
          </cell>
          <cell r="M878">
            <v>21.622185758508198</v>
          </cell>
          <cell r="N878">
            <v>4</v>
          </cell>
        </row>
        <row r="879">
          <cell r="E879" t="str">
            <v>Arizona v California</v>
          </cell>
          <cell r="I879" t="str">
            <v>RS</v>
          </cell>
          <cell r="K879" t="str">
            <v>Out</v>
          </cell>
          <cell r="M879">
            <v>0.33825522129476598</v>
          </cell>
          <cell r="N879">
            <v>4</v>
          </cell>
        </row>
        <row r="880">
          <cell r="E880" t="str">
            <v>Arizona v California</v>
          </cell>
          <cell r="I880" t="str">
            <v>RS</v>
          </cell>
          <cell r="K880" t="str">
            <v>INP</v>
          </cell>
          <cell r="M880">
            <v>8.7598558274960396</v>
          </cell>
          <cell r="N880">
            <v>1</v>
          </cell>
        </row>
        <row r="881">
          <cell r="E881" t="str">
            <v>Arizona v California</v>
          </cell>
          <cell r="I881" t="str">
            <v>RS</v>
          </cell>
          <cell r="K881" t="str">
            <v>Res,D</v>
          </cell>
          <cell r="M881">
            <v>4.6038768171805002E-2</v>
          </cell>
          <cell r="N881">
            <v>4</v>
          </cell>
        </row>
        <row r="882">
          <cell r="E882" t="str">
            <v>Arizona v California</v>
          </cell>
          <cell r="I882" t="str">
            <v>RS</v>
          </cell>
          <cell r="K882" t="str">
            <v>F</v>
          </cell>
          <cell r="M882">
            <v>0.13151440562595801</v>
          </cell>
          <cell r="N882">
            <v>4</v>
          </cell>
        </row>
        <row r="883">
          <cell r="E883" t="str">
            <v>Arizona v California</v>
          </cell>
          <cell r="I883" t="str">
            <v>RS</v>
          </cell>
          <cell r="K883" t="str">
            <v>INP</v>
          </cell>
          <cell r="M883">
            <v>15.3947325765117</v>
          </cell>
          <cell r="N883">
            <v>1</v>
          </cell>
        </row>
        <row r="884">
          <cell r="E884" t="str">
            <v>Arizona v California</v>
          </cell>
          <cell r="I884" t="str">
            <v>RS</v>
          </cell>
          <cell r="K884" t="str">
            <v>Out</v>
          </cell>
          <cell r="M884">
            <v>9.9450111536993999E-2</v>
          </cell>
          <cell r="N884">
            <v>4</v>
          </cell>
        </row>
        <row r="885">
          <cell r="E885" t="str">
            <v>Arizona v California</v>
          </cell>
          <cell r="I885" t="str">
            <v>RS</v>
          </cell>
          <cell r="K885" t="str">
            <v>Out</v>
          </cell>
          <cell r="M885">
            <v>0.580948293908643</v>
          </cell>
          <cell r="N885">
            <v>4</v>
          </cell>
        </row>
        <row r="886">
          <cell r="E886" t="str">
            <v>Arizona v California</v>
          </cell>
          <cell r="I886" t="str">
            <v>RS</v>
          </cell>
          <cell r="K886" t="str">
            <v>F</v>
          </cell>
          <cell r="M886">
            <v>3.7071063537711701</v>
          </cell>
          <cell r="N886">
            <v>4</v>
          </cell>
        </row>
        <row r="887">
          <cell r="E887" t="str">
            <v>Arizona v California</v>
          </cell>
          <cell r="I887" t="str">
            <v>RS</v>
          </cell>
          <cell r="K887" t="str">
            <v>F</v>
          </cell>
          <cell r="M887">
            <v>0.42117249970652398</v>
          </cell>
          <cell r="N887">
            <v>4</v>
          </cell>
        </row>
        <row r="888">
          <cell r="E888" t="str">
            <v>Arizona v California</v>
          </cell>
          <cell r="I888" t="str">
            <v>RS</v>
          </cell>
          <cell r="K888" t="str">
            <v>Out</v>
          </cell>
          <cell r="M888">
            <v>2.0136252678114301</v>
          </cell>
          <cell r="N888">
            <v>4</v>
          </cell>
        </row>
        <row r="889">
          <cell r="E889" t="str">
            <v>Arizona v California</v>
          </cell>
          <cell r="I889" t="str">
            <v>RS</v>
          </cell>
          <cell r="K889" t="str">
            <v>INP</v>
          </cell>
          <cell r="M889">
            <v>16.957869360999499</v>
          </cell>
          <cell r="N889">
            <v>1</v>
          </cell>
        </row>
        <row r="890">
          <cell r="E890" t="str">
            <v>Arizona v California</v>
          </cell>
          <cell r="I890" t="str">
            <v>RS</v>
          </cell>
          <cell r="K890" t="str">
            <v>Res,D</v>
          </cell>
          <cell r="M890">
            <v>0.999300111522895</v>
          </cell>
          <cell r="N890">
            <v>4</v>
          </cell>
        </row>
        <row r="891">
          <cell r="E891" t="str">
            <v>Arizona v California</v>
          </cell>
          <cell r="I891" t="str">
            <v>RS</v>
          </cell>
          <cell r="K891" t="str">
            <v>Out</v>
          </cell>
          <cell r="M891">
            <v>13.202054607866099</v>
          </cell>
          <cell r="N891">
            <v>4</v>
          </cell>
        </row>
        <row r="892">
          <cell r="E892" t="str">
            <v>Arizona v California</v>
          </cell>
          <cell r="I892" t="str">
            <v>RS</v>
          </cell>
          <cell r="K892" t="str">
            <v>INP</v>
          </cell>
          <cell r="M892">
            <v>10.594160020476901</v>
          </cell>
          <cell r="N892">
            <v>1</v>
          </cell>
        </row>
        <row r="893">
          <cell r="E893" t="str">
            <v>Arizona v California</v>
          </cell>
          <cell r="I893" t="str">
            <v>RS</v>
          </cell>
          <cell r="K893" t="str">
            <v>INP</v>
          </cell>
          <cell r="M893">
            <v>0.55254639551556295</v>
          </cell>
          <cell r="N893">
            <v>1</v>
          </cell>
        </row>
        <row r="894">
          <cell r="E894" t="str">
            <v>Arizona v California</v>
          </cell>
          <cell r="I894" t="str">
            <v>RS</v>
          </cell>
          <cell r="K894" t="str">
            <v>INP</v>
          </cell>
          <cell r="M894">
            <v>10.6011524797717</v>
          </cell>
          <cell r="N894">
            <v>1</v>
          </cell>
        </row>
        <row r="895">
          <cell r="E895" t="str">
            <v>Arizona v California</v>
          </cell>
          <cell r="I895" t="str">
            <v>RS</v>
          </cell>
          <cell r="K895" t="str">
            <v>INP</v>
          </cell>
          <cell r="M895">
            <v>10.888324786045301</v>
          </cell>
          <cell r="N895">
            <v>1</v>
          </cell>
        </row>
        <row r="896">
          <cell r="E896" t="str">
            <v>Arizona v California</v>
          </cell>
          <cell r="I896" t="str">
            <v>RS</v>
          </cell>
          <cell r="K896" t="str">
            <v>INP</v>
          </cell>
          <cell r="M896">
            <v>2.7490261169488699</v>
          </cell>
          <cell r="N896">
            <v>1</v>
          </cell>
        </row>
        <row r="897">
          <cell r="E897" t="str">
            <v>Arizona v California</v>
          </cell>
          <cell r="I897" t="str">
            <v>RS</v>
          </cell>
          <cell r="K897" t="str">
            <v>INP</v>
          </cell>
          <cell r="M897">
            <v>5.8231373895295402</v>
          </cell>
          <cell r="N897">
            <v>1</v>
          </cell>
        </row>
        <row r="898">
          <cell r="E898" t="str">
            <v>Arizona v California</v>
          </cell>
          <cell r="I898" t="str">
            <v>RS</v>
          </cell>
          <cell r="K898" t="str">
            <v>Stk,D</v>
          </cell>
          <cell r="M898">
            <v>0.44299393546065502</v>
          </cell>
          <cell r="N898">
            <v>4</v>
          </cell>
        </row>
        <row r="899">
          <cell r="E899" t="str">
            <v>Arizona v California</v>
          </cell>
          <cell r="I899" t="str">
            <v>RS</v>
          </cell>
          <cell r="K899" t="str">
            <v>INP</v>
          </cell>
          <cell r="M899">
            <v>6.0810686511681196</v>
          </cell>
          <cell r="N899">
            <v>1</v>
          </cell>
        </row>
        <row r="900">
          <cell r="E900" t="str">
            <v>Arizona v California</v>
          </cell>
          <cell r="I900" t="str">
            <v>RS</v>
          </cell>
          <cell r="K900" t="str">
            <v>INP</v>
          </cell>
          <cell r="M900">
            <v>10.5185718142314</v>
          </cell>
          <cell r="N900">
            <v>1</v>
          </cell>
        </row>
        <row r="901">
          <cell r="E901" t="str">
            <v>Arizona v California</v>
          </cell>
          <cell r="I901" t="str">
            <v>RS</v>
          </cell>
          <cell r="K901" t="str">
            <v>Out</v>
          </cell>
          <cell r="M901">
            <v>2.4296886666509101</v>
          </cell>
          <cell r="N901">
            <v>4</v>
          </cell>
        </row>
        <row r="902">
          <cell r="E902" t="str">
            <v>Arizona v California</v>
          </cell>
          <cell r="I902" t="str">
            <v>RS</v>
          </cell>
          <cell r="K902" t="str">
            <v>Out</v>
          </cell>
          <cell r="M902">
            <v>1.09554709581865</v>
          </cell>
          <cell r="N902">
            <v>4</v>
          </cell>
        </row>
        <row r="903">
          <cell r="E903" t="str">
            <v>Arizona v California</v>
          </cell>
          <cell r="I903" t="str">
            <v>RS</v>
          </cell>
          <cell r="K903" t="str">
            <v>Out</v>
          </cell>
          <cell r="M903">
            <v>2.18330849009544</v>
          </cell>
          <cell r="N903">
            <v>4</v>
          </cell>
        </row>
        <row r="904">
          <cell r="E904" t="str">
            <v>Arizona v California</v>
          </cell>
          <cell r="I904" t="str">
            <v>RS</v>
          </cell>
          <cell r="K904" t="str">
            <v>Out</v>
          </cell>
          <cell r="M904">
            <v>5.4126902402149998E-2</v>
          </cell>
          <cell r="N904">
            <v>4</v>
          </cell>
        </row>
        <row r="905">
          <cell r="E905" t="str">
            <v>Arizona v California</v>
          </cell>
          <cell r="I905" t="str">
            <v>RS</v>
          </cell>
          <cell r="K905" t="str">
            <v>Out</v>
          </cell>
          <cell r="M905">
            <v>0.28533440846033298</v>
          </cell>
          <cell r="N905">
            <v>4</v>
          </cell>
        </row>
        <row r="906">
          <cell r="E906" t="str">
            <v>Arizona v California</v>
          </cell>
          <cell r="I906" t="str">
            <v>RS</v>
          </cell>
          <cell r="K906" t="str">
            <v>Out</v>
          </cell>
          <cell r="M906">
            <v>0.81982845714616503</v>
          </cell>
          <cell r="N906">
            <v>4</v>
          </cell>
        </row>
        <row r="907">
          <cell r="E907" t="str">
            <v>Arizona v California</v>
          </cell>
          <cell r="I907" t="str">
            <v>RS</v>
          </cell>
          <cell r="K907" t="str">
            <v>Out</v>
          </cell>
          <cell r="M907">
            <v>3.7355109520571999</v>
          </cell>
          <cell r="N907">
            <v>4</v>
          </cell>
        </row>
        <row r="908">
          <cell r="E908" t="str">
            <v>Arizona v California</v>
          </cell>
          <cell r="I908" t="str">
            <v>RS</v>
          </cell>
          <cell r="K908" t="str">
            <v>Out</v>
          </cell>
          <cell r="M908">
            <v>7.6040476059085996E-2</v>
          </cell>
          <cell r="N908">
            <v>4</v>
          </cell>
        </row>
        <row r="909">
          <cell r="E909" t="str">
            <v>Arizona v California</v>
          </cell>
          <cell r="I909" t="str">
            <v>RS</v>
          </cell>
          <cell r="K909" t="str">
            <v>Out</v>
          </cell>
          <cell r="M909">
            <v>3.3240330454842399</v>
          </cell>
          <cell r="N909">
            <v>4</v>
          </cell>
        </row>
        <row r="910">
          <cell r="E910" t="str">
            <v>Arizona v California</v>
          </cell>
          <cell r="I910" t="str">
            <v>RS</v>
          </cell>
          <cell r="K910" t="str">
            <v>INP</v>
          </cell>
          <cell r="M910">
            <v>0.671659493405101</v>
          </cell>
          <cell r="N910">
            <v>1</v>
          </cell>
        </row>
        <row r="911">
          <cell r="E911" t="str">
            <v>Arizona v California</v>
          </cell>
          <cell r="I911" t="str">
            <v>RS</v>
          </cell>
          <cell r="K911" t="str">
            <v>INP</v>
          </cell>
          <cell r="M911">
            <v>8.3754735277749894</v>
          </cell>
          <cell r="N911">
            <v>1</v>
          </cell>
        </row>
        <row r="912">
          <cell r="E912" t="str">
            <v>Arizona v California</v>
          </cell>
          <cell r="I912" t="str">
            <v>RS</v>
          </cell>
          <cell r="K912" t="str">
            <v>INP</v>
          </cell>
          <cell r="M912">
            <v>1.22053090427205</v>
          </cell>
          <cell r="N912">
            <v>1</v>
          </cell>
        </row>
        <row r="913">
          <cell r="E913" t="str">
            <v>Arizona v California</v>
          </cell>
          <cell r="I913" t="str">
            <v>RS</v>
          </cell>
          <cell r="K913" t="str">
            <v>INP</v>
          </cell>
          <cell r="M913">
            <v>4.4927990601607899</v>
          </cell>
          <cell r="N913">
            <v>1</v>
          </cell>
        </row>
        <row r="914">
          <cell r="E914" t="str">
            <v>Arizona v California</v>
          </cell>
          <cell r="I914" t="str">
            <v>RS</v>
          </cell>
          <cell r="K914" t="str">
            <v>INP</v>
          </cell>
          <cell r="M914">
            <v>5.7415745278208403</v>
          </cell>
          <cell r="N914">
            <v>1</v>
          </cell>
        </row>
        <row r="915">
          <cell r="E915" t="str">
            <v>Arizona v California</v>
          </cell>
          <cell r="I915" t="str">
            <v>RS</v>
          </cell>
          <cell r="K915" t="str">
            <v>INP</v>
          </cell>
          <cell r="M915">
            <v>2.1780494343712302</v>
          </cell>
          <cell r="N915">
            <v>1</v>
          </cell>
        </row>
        <row r="916">
          <cell r="E916" t="str">
            <v>Arizona v California</v>
          </cell>
          <cell r="I916" t="str">
            <v>RS</v>
          </cell>
          <cell r="K916" t="str">
            <v>INP</v>
          </cell>
          <cell r="M916">
            <v>2.9253635557893301</v>
          </cell>
          <cell r="N916">
            <v>1</v>
          </cell>
        </row>
        <row r="917">
          <cell r="E917" t="str">
            <v>Arizona v California</v>
          </cell>
          <cell r="I917" t="str">
            <v>RS</v>
          </cell>
          <cell r="K917" t="str">
            <v>INP</v>
          </cell>
          <cell r="M917">
            <v>4.0243659152001099</v>
          </cell>
          <cell r="N917">
            <v>1</v>
          </cell>
        </row>
        <row r="918">
          <cell r="E918" t="str">
            <v>Arizona v California</v>
          </cell>
          <cell r="I918" t="str">
            <v>RS</v>
          </cell>
          <cell r="K918" t="str">
            <v>INP</v>
          </cell>
          <cell r="M918">
            <v>9.4741459664358807</v>
          </cell>
          <cell r="N918">
            <v>1</v>
          </cell>
        </row>
        <row r="919">
          <cell r="E919" t="str">
            <v>Arizona v California</v>
          </cell>
          <cell r="I919" t="str">
            <v>RS</v>
          </cell>
          <cell r="K919" t="str">
            <v>INP</v>
          </cell>
          <cell r="M919">
            <v>1.1884478363211199</v>
          </cell>
          <cell r="N919">
            <v>1</v>
          </cell>
        </row>
        <row r="920">
          <cell r="E920" t="str">
            <v>Arizona v California</v>
          </cell>
          <cell r="I920" t="str">
            <v>RS</v>
          </cell>
          <cell r="K920" t="str">
            <v>INP</v>
          </cell>
          <cell r="M920">
            <v>16.3946803511163</v>
          </cell>
          <cell r="N920">
            <v>1</v>
          </cell>
        </row>
        <row r="921">
          <cell r="E921" t="str">
            <v>Arizona v California</v>
          </cell>
          <cell r="I921" t="str">
            <v>RS</v>
          </cell>
          <cell r="K921" t="str">
            <v>INP</v>
          </cell>
          <cell r="M921">
            <v>1.4681583906842599</v>
          </cell>
          <cell r="N921">
            <v>1</v>
          </cell>
        </row>
        <row r="922">
          <cell r="E922" t="str">
            <v>Arizona v California</v>
          </cell>
          <cell r="I922" t="str">
            <v>RS</v>
          </cell>
          <cell r="K922" t="str">
            <v>INP</v>
          </cell>
          <cell r="M922">
            <v>1.9413867095377499</v>
          </cell>
          <cell r="N922">
            <v>1</v>
          </cell>
        </row>
        <row r="923">
          <cell r="E923" t="str">
            <v>Arizona v California</v>
          </cell>
          <cell r="I923" t="str">
            <v>RS</v>
          </cell>
          <cell r="K923" t="str">
            <v>INP</v>
          </cell>
          <cell r="M923">
            <v>11.9155934236703</v>
          </cell>
          <cell r="N923">
            <v>1</v>
          </cell>
        </row>
        <row r="924">
          <cell r="E924" t="str">
            <v>Arizona v California</v>
          </cell>
          <cell r="I924" t="str">
            <v>RS</v>
          </cell>
          <cell r="K924" t="str">
            <v>INP</v>
          </cell>
          <cell r="M924">
            <v>6.2930740276326196</v>
          </cell>
          <cell r="N924">
            <v>1</v>
          </cell>
        </row>
        <row r="925">
          <cell r="E925" t="str">
            <v>Arizona v California</v>
          </cell>
          <cell r="I925" t="str">
            <v>RS</v>
          </cell>
          <cell r="K925" t="str">
            <v>INP</v>
          </cell>
          <cell r="M925">
            <v>2.0455448011943602</v>
          </cell>
          <cell r="N925">
            <v>1</v>
          </cell>
        </row>
        <row r="926">
          <cell r="E926" t="str">
            <v>Arizona v California</v>
          </cell>
          <cell r="I926" t="str">
            <v>RS</v>
          </cell>
          <cell r="K926" t="str">
            <v>INP</v>
          </cell>
          <cell r="M926">
            <v>0.43606197751694697</v>
          </cell>
          <cell r="N926">
            <v>1</v>
          </cell>
        </row>
        <row r="927">
          <cell r="E927" t="str">
            <v>Arizona v California</v>
          </cell>
          <cell r="I927" t="str">
            <v>RS</v>
          </cell>
          <cell r="K927" t="str">
            <v>INP</v>
          </cell>
          <cell r="M927">
            <v>3.5029494310692502</v>
          </cell>
          <cell r="N927">
            <v>1</v>
          </cell>
        </row>
        <row r="928">
          <cell r="E928" t="str">
            <v>Arizona v California</v>
          </cell>
          <cell r="I928" t="str">
            <v>RS</v>
          </cell>
          <cell r="K928" t="str">
            <v>INP</v>
          </cell>
          <cell r="M928">
            <v>0.239014739333056</v>
          </cell>
          <cell r="N928">
            <v>1</v>
          </cell>
        </row>
        <row r="929">
          <cell r="E929" t="str">
            <v>Arizona v California</v>
          </cell>
          <cell r="I929" t="str">
            <v>RS</v>
          </cell>
          <cell r="K929" t="str">
            <v>INP</v>
          </cell>
          <cell r="M929">
            <v>4.5732326592932697</v>
          </cell>
          <cell r="N929">
            <v>1</v>
          </cell>
        </row>
        <row r="930">
          <cell r="E930" t="str">
            <v>Arizona v California</v>
          </cell>
          <cell r="I930" t="str">
            <v>RS</v>
          </cell>
          <cell r="K930" t="str">
            <v>INP</v>
          </cell>
          <cell r="M930">
            <v>1.14012676096729</v>
          </cell>
          <cell r="N930">
            <v>1</v>
          </cell>
        </row>
        <row r="931">
          <cell r="E931" t="str">
            <v>Arizona v California</v>
          </cell>
          <cell r="I931" t="str">
            <v>RS</v>
          </cell>
          <cell r="K931" t="str">
            <v>INP</v>
          </cell>
          <cell r="M931">
            <v>1.5164533124297299</v>
          </cell>
          <cell r="N931">
            <v>1</v>
          </cell>
        </row>
        <row r="932">
          <cell r="E932" t="str">
            <v>Arizona v California</v>
          </cell>
          <cell r="I932" t="str">
            <v>RS</v>
          </cell>
          <cell r="K932" t="str">
            <v>F</v>
          </cell>
          <cell r="M932">
            <v>2.8255385110637801</v>
          </cell>
          <cell r="N932">
            <v>4</v>
          </cell>
        </row>
        <row r="933">
          <cell r="E933" t="str">
            <v>Arizona v California</v>
          </cell>
          <cell r="I933" t="str">
            <v>RS</v>
          </cell>
          <cell r="K933" t="str">
            <v>NI</v>
          </cell>
          <cell r="M933">
            <v>5.0193108543260196</v>
          </cell>
          <cell r="N933">
            <v>4</v>
          </cell>
        </row>
        <row r="934">
          <cell r="E934" t="str">
            <v>Arizona v California</v>
          </cell>
          <cell r="I934" t="str">
            <v>RS</v>
          </cell>
          <cell r="K934" t="str">
            <v>INP</v>
          </cell>
          <cell r="M934">
            <v>1.33566364788456</v>
          </cell>
          <cell r="N934">
            <v>1</v>
          </cell>
        </row>
        <row r="935">
          <cell r="E935" t="str">
            <v>Arizona v California</v>
          </cell>
          <cell r="I935" t="str">
            <v>RS</v>
          </cell>
          <cell r="K935" t="str">
            <v>INP</v>
          </cell>
          <cell r="M935">
            <v>3.1953716075388998</v>
          </cell>
          <cell r="N935">
            <v>2</v>
          </cell>
        </row>
        <row r="936">
          <cell r="E936" t="str">
            <v>Arizona v California</v>
          </cell>
          <cell r="I936" t="str">
            <v>RS</v>
          </cell>
          <cell r="K936" t="str">
            <v>F</v>
          </cell>
          <cell r="M936">
            <v>4.0885598864691497</v>
          </cell>
          <cell r="N936">
            <v>4</v>
          </cell>
        </row>
        <row r="937">
          <cell r="E937" t="str">
            <v>Arizona v California</v>
          </cell>
          <cell r="I937" t="str">
            <v>RS</v>
          </cell>
          <cell r="K937" t="str">
            <v>F</v>
          </cell>
          <cell r="M937">
            <v>1.10784830912334</v>
          </cell>
          <cell r="N937">
            <v>4</v>
          </cell>
        </row>
        <row r="938">
          <cell r="E938" t="str">
            <v>Arizona v California</v>
          </cell>
          <cell r="I938" t="str">
            <v>RS</v>
          </cell>
          <cell r="K938" t="str">
            <v>INP</v>
          </cell>
          <cell r="M938">
            <v>0.448547104541268</v>
          </cell>
          <cell r="N938">
            <v>1</v>
          </cell>
        </row>
        <row r="939">
          <cell r="E939" t="str">
            <v>Arizona v California</v>
          </cell>
          <cell r="I939" t="str">
            <v>RS</v>
          </cell>
          <cell r="K939" t="str">
            <v>F</v>
          </cell>
          <cell r="M939">
            <v>4.2856977366338</v>
          </cell>
          <cell r="N939">
            <v>4</v>
          </cell>
        </row>
        <row r="940">
          <cell r="E940" t="str">
            <v>Arizona v California</v>
          </cell>
          <cell r="I940" t="str">
            <v>RS</v>
          </cell>
          <cell r="K940" t="str">
            <v>INP</v>
          </cell>
          <cell r="M940">
            <v>0.256669808719038</v>
          </cell>
          <cell r="N940">
            <v>1</v>
          </cell>
        </row>
        <row r="941">
          <cell r="E941" t="str">
            <v>Arizona v California</v>
          </cell>
          <cell r="I941" t="str">
            <v>RS</v>
          </cell>
          <cell r="K941" t="str">
            <v>INP</v>
          </cell>
          <cell r="M941">
            <v>1.3884076971872501</v>
          </cell>
          <cell r="N941">
            <v>1</v>
          </cell>
        </row>
        <row r="942">
          <cell r="E942" t="str">
            <v>Arizona v California</v>
          </cell>
          <cell r="I942" t="str">
            <v>RS</v>
          </cell>
          <cell r="K942" t="str">
            <v>INP</v>
          </cell>
          <cell r="M942">
            <v>1.0740877718836399</v>
          </cell>
          <cell r="N942">
            <v>1</v>
          </cell>
        </row>
        <row r="943">
          <cell r="E943" t="str">
            <v>Arizona v California</v>
          </cell>
          <cell r="I943" t="str">
            <v>RS</v>
          </cell>
          <cell r="K943" t="str">
            <v>INP</v>
          </cell>
          <cell r="M943">
            <v>0.22725141783605901</v>
          </cell>
          <cell r="N943">
            <v>1</v>
          </cell>
        </row>
        <row r="944">
          <cell r="E944" t="str">
            <v>Arizona v California</v>
          </cell>
          <cell r="I944" t="str">
            <v>RS</v>
          </cell>
          <cell r="K944" t="str">
            <v>F</v>
          </cell>
          <cell r="M944">
            <v>0.24742804596649001</v>
          </cell>
          <cell r="N944">
            <v>4</v>
          </cell>
        </row>
        <row r="945">
          <cell r="E945" t="str">
            <v>Arizona v California</v>
          </cell>
          <cell r="I945" t="str">
            <v>RS</v>
          </cell>
          <cell r="K945" t="str">
            <v>F</v>
          </cell>
          <cell r="M945">
            <v>6.8829756116130296</v>
          </cell>
          <cell r="N945">
            <v>4</v>
          </cell>
        </row>
        <row r="946">
          <cell r="E946" t="str">
            <v>Arizona v California</v>
          </cell>
          <cell r="I946" t="str">
            <v>RS</v>
          </cell>
          <cell r="K946" t="str">
            <v>F</v>
          </cell>
          <cell r="M946">
            <v>3.0226583690364701</v>
          </cell>
          <cell r="N946">
            <v>4</v>
          </cell>
        </row>
        <row r="947">
          <cell r="E947" t="str">
            <v>Arizona v California</v>
          </cell>
          <cell r="I947" t="str">
            <v>RS</v>
          </cell>
          <cell r="K947" t="str">
            <v>INP</v>
          </cell>
          <cell r="M947">
            <v>0.16426732691710999</v>
          </cell>
          <cell r="N947">
            <v>1</v>
          </cell>
        </row>
        <row r="948">
          <cell r="E948" t="str">
            <v>Arizona v California</v>
          </cell>
          <cell r="I948" t="str">
            <v>RS</v>
          </cell>
          <cell r="K948" t="str">
            <v>F</v>
          </cell>
          <cell r="M948">
            <v>0.77176209454420497</v>
          </cell>
          <cell r="N948">
            <v>4</v>
          </cell>
        </row>
        <row r="949">
          <cell r="E949" t="str">
            <v>Arizona v California</v>
          </cell>
          <cell r="I949" t="str">
            <v>RS</v>
          </cell>
          <cell r="K949" t="str">
            <v>INP</v>
          </cell>
          <cell r="M949">
            <v>9.7143194916922998E-2</v>
          </cell>
          <cell r="N949">
            <v>1</v>
          </cell>
        </row>
        <row r="950">
          <cell r="E950" t="str">
            <v>Arizona v California</v>
          </cell>
          <cell r="I950" t="str">
            <v>RS</v>
          </cell>
          <cell r="K950" t="str">
            <v>F</v>
          </cell>
          <cell r="M950">
            <v>5.4570109010116399</v>
          </cell>
          <cell r="N950">
            <v>4</v>
          </cell>
        </row>
        <row r="951">
          <cell r="E951" t="str">
            <v>Arizona v California</v>
          </cell>
          <cell r="I951" t="str">
            <v>RS</v>
          </cell>
          <cell r="K951" t="str">
            <v>F</v>
          </cell>
          <cell r="M951">
            <v>1.23220714853294</v>
          </cell>
          <cell r="N951">
            <v>4</v>
          </cell>
        </row>
        <row r="952">
          <cell r="E952" t="str">
            <v>Arizona v California</v>
          </cell>
          <cell r="I952" t="str">
            <v>RS</v>
          </cell>
          <cell r="K952" t="str">
            <v>F</v>
          </cell>
          <cell r="M952">
            <v>0.80846222859710704</v>
          </cell>
          <cell r="N952">
            <v>4</v>
          </cell>
        </row>
        <row r="953">
          <cell r="E953" t="str">
            <v>Arizona v California</v>
          </cell>
          <cell r="I953" t="str">
            <v>RS</v>
          </cell>
          <cell r="K953" t="str">
            <v>F</v>
          </cell>
          <cell r="M953">
            <v>1.2903633141948301</v>
          </cell>
          <cell r="N953">
            <v>4</v>
          </cell>
        </row>
        <row r="954">
          <cell r="E954" t="str">
            <v>Arizona v California</v>
          </cell>
          <cell r="I954" t="str">
            <v>RS</v>
          </cell>
          <cell r="K954" t="str">
            <v>F</v>
          </cell>
          <cell r="M954">
            <v>0.402776743234673</v>
          </cell>
          <cell r="N954">
            <v>4</v>
          </cell>
        </row>
        <row r="955">
          <cell r="E955" t="str">
            <v>Arizona v California</v>
          </cell>
          <cell r="I955" t="str">
            <v>RS</v>
          </cell>
          <cell r="K955" t="str">
            <v>F</v>
          </cell>
          <cell r="M955">
            <v>2.97176070869522</v>
          </cell>
          <cell r="N955">
            <v>4</v>
          </cell>
        </row>
        <row r="956">
          <cell r="E956" t="str">
            <v>Arizona v California</v>
          </cell>
          <cell r="I956" t="str">
            <v>RS</v>
          </cell>
          <cell r="K956" t="str">
            <v>F</v>
          </cell>
          <cell r="M956">
            <v>1.7704035766370001</v>
          </cell>
          <cell r="N956">
            <v>4</v>
          </cell>
        </row>
        <row r="957">
          <cell r="E957" t="str">
            <v>Arizona v California</v>
          </cell>
          <cell r="I957" t="str">
            <v>RS</v>
          </cell>
          <cell r="K957" t="str">
            <v>F</v>
          </cell>
          <cell r="M957">
            <v>1.7860484546806199</v>
          </cell>
          <cell r="N957">
            <v>4</v>
          </cell>
        </row>
        <row r="958">
          <cell r="E958" t="str">
            <v>Arizona v California</v>
          </cell>
          <cell r="I958" t="str">
            <v>RS</v>
          </cell>
          <cell r="K958" t="str">
            <v>F</v>
          </cell>
          <cell r="M958">
            <v>1.3246221983752999</v>
          </cell>
          <cell r="N958">
            <v>4</v>
          </cell>
        </row>
        <row r="959">
          <cell r="E959" t="str">
            <v>Arizona v California</v>
          </cell>
          <cell r="I959" t="str">
            <v>RS</v>
          </cell>
          <cell r="K959" t="str">
            <v>INP</v>
          </cell>
          <cell r="M959">
            <v>1.9879469993180201</v>
          </cell>
          <cell r="N959">
            <v>1</v>
          </cell>
        </row>
        <row r="960">
          <cell r="E960" t="str">
            <v>Arizona v California</v>
          </cell>
          <cell r="I960" t="str">
            <v>RS</v>
          </cell>
          <cell r="K960" t="str">
            <v>INP</v>
          </cell>
          <cell r="M960">
            <v>1.1466634303283201</v>
          </cell>
          <cell r="N960">
            <v>1</v>
          </cell>
        </row>
        <row r="961">
          <cell r="E961" t="str">
            <v>Arizona v California</v>
          </cell>
          <cell r="I961" t="str">
            <v>RS</v>
          </cell>
          <cell r="K961" t="str">
            <v>INP</v>
          </cell>
          <cell r="M961">
            <v>1.2614747417129999</v>
          </cell>
          <cell r="N961">
            <v>1</v>
          </cell>
        </row>
        <row r="962">
          <cell r="E962" t="str">
            <v>Arizona v California</v>
          </cell>
          <cell r="I962" t="str">
            <v>RS</v>
          </cell>
          <cell r="K962" t="str">
            <v>INP</v>
          </cell>
          <cell r="M962">
            <v>3.1033205457859099</v>
          </cell>
          <cell r="N962">
            <v>1</v>
          </cell>
        </row>
        <row r="963">
          <cell r="E963" t="str">
            <v>Arizona v California</v>
          </cell>
          <cell r="I963" t="str">
            <v>RS</v>
          </cell>
          <cell r="K963" t="str">
            <v>F</v>
          </cell>
          <cell r="M963">
            <v>0.50602384379921095</v>
          </cell>
          <cell r="N963">
            <v>4</v>
          </cell>
        </row>
        <row r="964">
          <cell r="E964" t="str">
            <v>Arizona v California</v>
          </cell>
          <cell r="I964" t="str">
            <v>RS</v>
          </cell>
          <cell r="K964" t="str">
            <v>F</v>
          </cell>
          <cell r="M964">
            <v>2.2654475743780398</v>
          </cell>
          <cell r="N964">
            <v>4</v>
          </cell>
        </row>
        <row r="965">
          <cell r="E965" t="str">
            <v>Arizona v California</v>
          </cell>
          <cell r="I965" t="str">
            <v>RS</v>
          </cell>
          <cell r="K965" t="str">
            <v>F</v>
          </cell>
          <cell r="M965">
            <v>0.68680409168720602</v>
          </cell>
          <cell r="N965">
            <v>4</v>
          </cell>
        </row>
        <row r="966">
          <cell r="E966" t="str">
            <v>Arizona v California</v>
          </cell>
          <cell r="I966" t="str">
            <v>RS</v>
          </cell>
          <cell r="K966" t="str">
            <v>F</v>
          </cell>
          <cell r="M966">
            <v>0.29123955089113501</v>
          </cell>
          <cell r="N966">
            <v>4</v>
          </cell>
        </row>
        <row r="967">
          <cell r="E967" t="str">
            <v>Arizona v California</v>
          </cell>
          <cell r="I967" t="str">
            <v>RS</v>
          </cell>
          <cell r="K967" t="str">
            <v>F</v>
          </cell>
          <cell r="M967">
            <v>0.416440423065148</v>
          </cell>
          <cell r="N967">
            <v>4</v>
          </cell>
        </row>
        <row r="968">
          <cell r="E968" t="str">
            <v>Arizona v California</v>
          </cell>
          <cell r="I968" t="str">
            <v>RS</v>
          </cell>
          <cell r="K968" t="str">
            <v>F</v>
          </cell>
          <cell r="M968">
            <v>0.46613737554923701</v>
          </cell>
          <cell r="N968">
            <v>4</v>
          </cell>
        </row>
        <row r="969">
          <cell r="E969" t="str">
            <v>Arizona v California</v>
          </cell>
          <cell r="I969" t="str">
            <v>RS</v>
          </cell>
          <cell r="K969" t="str">
            <v>F</v>
          </cell>
          <cell r="M969">
            <v>1.26315970267074</v>
          </cell>
          <cell r="N969">
            <v>4</v>
          </cell>
        </row>
        <row r="970">
          <cell r="E970" t="str">
            <v>Arizona v California</v>
          </cell>
          <cell r="I970" t="str">
            <v>RS</v>
          </cell>
          <cell r="K970" t="str">
            <v>INP</v>
          </cell>
          <cell r="M970">
            <v>1.5842838899003799</v>
          </cell>
          <cell r="N970">
            <v>1</v>
          </cell>
        </row>
        <row r="971">
          <cell r="E971" t="str">
            <v>Arizona v California</v>
          </cell>
          <cell r="I971" t="str">
            <v>RS</v>
          </cell>
          <cell r="K971" t="str">
            <v>F</v>
          </cell>
          <cell r="M971">
            <v>0.91721073757278904</v>
          </cell>
          <cell r="N971">
            <v>4</v>
          </cell>
        </row>
        <row r="972">
          <cell r="E972" t="str">
            <v>Arizona v California</v>
          </cell>
          <cell r="I972" t="str">
            <v>RS</v>
          </cell>
          <cell r="K972" t="str">
            <v>F</v>
          </cell>
          <cell r="M972">
            <v>3.1857516605848502</v>
          </cell>
          <cell r="N972">
            <v>4</v>
          </cell>
        </row>
        <row r="973">
          <cell r="E973" t="str">
            <v>Arizona v California</v>
          </cell>
          <cell r="I973" t="str">
            <v>RS</v>
          </cell>
          <cell r="K973" t="str">
            <v>F</v>
          </cell>
          <cell r="M973">
            <v>2.6323049156598901</v>
          </cell>
          <cell r="N973">
            <v>4</v>
          </cell>
        </row>
        <row r="974">
          <cell r="E974" t="str">
            <v>Arizona v California</v>
          </cell>
          <cell r="I974" t="str">
            <v>RS</v>
          </cell>
          <cell r="K974" t="str">
            <v>F</v>
          </cell>
          <cell r="M974">
            <v>9.5366444223381003E-2</v>
          </cell>
          <cell r="N974">
            <v>4</v>
          </cell>
        </row>
        <row r="975">
          <cell r="E975" t="str">
            <v>Arizona v California</v>
          </cell>
          <cell r="I975" t="str">
            <v>RS</v>
          </cell>
          <cell r="K975" t="str">
            <v>F</v>
          </cell>
          <cell r="M975">
            <v>0.78046040766640501</v>
          </cell>
          <cell r="N975">
            <v>4</v>
          </cell>
        </row>
        <row r="976">
          <cell r="E976" t="str">
            <v>Arizona v California</v>
          </cell>
          <cell r="I976" t="str">
            <v>RS</v>
          </cell>
          <cell r="K976" t="str">
            <v>F</v>
          </cell>
          <cell r="M976">
            <v>0.58431318809800203</v>
          </cell>
          <cell r="N976">
            <v>4</v>
          </cell>
        </row>
        <row r="977">
          <cell r="E977" t="str">
            <v>Arizona v California</v>
          </cell>
          <cell r="I977" t="str">
            <v>RS</v>
          </cell>
          <cell r="K977" t="str">
            <v>F</v>
          </cell>
          <cell r="M977">
            <v>2.16652315800662</v>
          </cell>
          <cell r="N977">
            <v>4</v>
          </cell>
        </row>
        <row r="978">
          <cell r="E978" t="str">
            <v>Arizona v California</v>
          </cell>
          <cell r="I978" t="str">
            <v>RS</v>
          </cell>
          <cell r="K978" t="str">
            <v>IPP</v>
          </cell>
          <cell r="M978">
            <v>4.0588359086612797</v>
          </cell>
          <cell r="N978">
            <v>2</v>
          </cell>
        </row>
        <row r="979">
          <cell r="E979" t="str">
            <v>Arizona v California</v>
          </cell>
          <cell r="I979" t="str">
            <v>RS</v>
          </cell>
          <cell r="K979" t="str">
            <v>F</v>
          </cell>
          <cell r="M979">
            <v>1.10616643613373</v>
          </cell>
          <cell r="N979">
            <v>4</v>
          </cell>
        </row>
        <row r="980">
          <cell r="E980" t="str">
            <v>Arizona v California</v>
          </cell>
          <cell r="I980" t="str">
            <v>RS</v>
          </cell>
          <cell r="K980" t="str">
            <v>F</v>
          </cell>
          <cell r="M980">
            <v>3.9438584624683202</v>
          </cell>
          <cell r="N980">
            <v>4</v>
          </cell>
        </row>
        <row r="981">
          <cell r="E981" t="str">
            <v>Arizona v California</v>
          </cell>
          <cell r="I981" t="str">
            <v>RS</v>
          </cell>
          <cell r="K981" t="str">
            <v>F</v>
          </cell>
          <cell r="M981">
            <v>2.5789463324412298</v>
          </cell>
          <cell r="N981">
            <v>4</v>
          </cell>
        </row>
        <row r="982">
          <cell r="E982" t="str">
            <v>Arizona v California</v>
          </cell>
          <cell r="I982" t="str">
            <v>RS</v>
          </cell>
          <cell r="K982" t="str">
            <v>F</v>
          </cell>
          <cell r="M982">
            <v>1.6298089677907399</v>
          </cell>
          <cell r="N982">
            <v>4</v>
          </cell>
        </row>
        <row r="983">
          <cell r="E983" t="str">
            <v>Arizona v California</v>
          </cell>
          <cell r="I983" t="str">
            <v>RS</v>
          </cell>
          <cell r="K983" t="str">
            <v>F</v>
          </cell>
          <cell r="M983">
            <v>0.698812905913057</v>
          </cell>
          <cell r="N983">
            <v>4</v>
          </cell>
        </row>
        <row r="984">
          <cell r="E984" t="str">
            <v>Arizona v California</v>
          </cell>
          <cell r="I984" t="str">
            <v>RS</v>
          </cell>
          <cell r="K984" t="str">
            <v>INP</v>
          </cell>
          <cell r="M984">
            <v>2.5136035347257502</v>
          </cell>
          <cell r="N984">
            <v>2</v>
          </cell>
        </row>
        <row r="985">
          <cell r="E985" t="str">
            <v>Arizona v California</v>
          </cell>
          <cell r="I985" t="str">
            <v>RS</v>
          </cell>
          <cell r="K985" t="str">
            <v>F</v>
          </cell>
          <cell r="M985">
            <v>4.8988568728400397</v>
          </cell>
          <cell r="N985">
            <v>4</v>
          </cell>
        </row>
        <row r="986">
          <cell r="E986" t="str">
            <v>Arizona v California</v>
          </cell>
          <cell r="I986" t="str">
            <v>RS</v>
          </cell>
          <cell r="K986" t="str">
            <v>F</v>
          </cell>
          <cell r="M986">
            <v>1.0198233013140801</v>
          </cell>
          <cell r="N986">
            <v>4</v>
          </cell>
        </row>
        <row r="987">
          <cell r="E987" t="str">
            <v>Arizona v California</v>
          </cell>
          <cell r="I987" t="str">
            <v>RS</v>
          </cell>
          <cell r="K987" t="str">
            <v>F</v>
          </cell>
          <cell r="M987">
            <v>3.9021197991397498</v>
          </cell>
          <cell r="N987">
            <v>4</v>
          </cell>
        </row>
        <row r="988">
          <cell r="E988" t="str">
            <v>Arizona v California</v>
          </cell>
          <cell r="I988" t="str">
            <v>RS</v>
          </cell>
          <cell r="K988" t="str">
            <v>F</v>
          </cell>
          <cell r="M988">
            <v>0.89401890564581699</v>
          </cell>
          <cell r="N988">
            <v>4</v>
          </cell>
        </row>
        <row r="989">
          <cell r="E989" t="str">
            <v>Arizona v California</v>
          </cell>
          <cell r="I989" t="str">
            <v>RS</v>
          </cell>
          <cell r="K989" t="str">
            <v>F</v>
          </cell>
          <cell r="M989">
            <v>1.43789888120547</v>
          </cell>
          <cell r="N989">
            <v>4</v>
          </cell>
        </row>
        <row r="990">
          <cell r="E990" t="str">
            <v>Arizona v California</v>
          </cell>
          <cell r="I990" t="str">
            <v>RS</v>
          </cell>
          <cell r="K990" t="str">
            <v>F</v>
          </cell>
          <cell r="M990">
            <v>1.14585966106249</v>
          </cell>
          <cell r="N990">
            <v>4</v>
          </cell>
        </row>
        <row r="991">
          <cell r="E991" t="str">
            <v>Arizona v California</v>
          </cell>
          <cell r="I991" t="str">
            <v>RS</v>
          </cell>
          <cell r="K991" t="str">
            <v>F</v>
          </cell>
          <cell r="M991">
            <v>0.25184846649722398</v>
          </cell>
          <cell r="N991">
            <v>4</v>
          </cell>
        </row>
        <row r="992">
          <cell r="E992" t="str">
            <v>Arizona v California</v>
          </cell>
          <cell r="I992" t="str">
            <v>RS</v>
          </cell>
          <cell r="K992" t="str">
            <v>F</v>
          </cell>
          <cell r="M992">
            <v>10.039438935712001</v>
          </cell>
          <cell r="N992">
            <v>4</v>
          </cell>
        </row>
        <row r="993">
          <cell r="E993" t="str">
            <v>Arizona v California</v>
          </cell>
          <cell r="I993" t="str">
            <v>RS</v>
          </cell>
          <cell r="K993" t="str">
            <v>F</v>
          </cell>
          <cell r="M993">
            <v>3.4928726974765997E-2</v>
          </cell>
          <cell r="N993">
            <v>4</v>
          </cell>
        </row>
        <row r="994">
          <cell r="E994" t="str">
            <v>Arizona v California</v>
          </cell>
          <cell r="I994" t="str">
            <v>RS</v>
          </cell>
          <cell r="K994" t="str">
            <v>Fo</v>
          </cell>
          <cell r="M994">
            <v>8.7809875609318994E-2</v>
          </cell>
          <cell r="N994">
            <v>3</v>
          </cell>
        </row>
        <row r="995">
          <cell r="E995" t="str">
            <v>Arizona v California</v>
          </cell>
          <cell r="I995" t="str">
            <v>RS</v>
          </cell>
          <cell r="K995" t="str">
            <v>F</v>
          </cell>
          <cell r="M995">
            <v>0.219807058058715</v>
          </cell>
          <cell r="N995">
            <v>4</v>
          </cell>
        </row>
        <row r="996">
          <cell r="E996" t="str">
            <v>Arizona v California</v>
          </cell>
          <cell r="I996" t="str">
            <v>RS</v>
          </cell>
          <cell r="K996" t="str">
            <v>Fo</v>
          </cell>
          <cell r="M996">
            <v>1.1326833758124599</v>
          </cell>
          <cell r="N996">
            <v>1</v>
          </cell>
        </row>
        <row r="997">
          <cell r="E997" t="str">
            <v>Arizona v California</v>
          </cell>
          <cell r="I997" t="str">
            <v>RS</v>
          </cell>
          <cell r="K997" t="str">
            <v>DSL</v>
          </cell>
          <cell r="M997">
            <v>0.95182615232039203</v>
          </cell>
          <cell r="N997">
            <v>2</v>
          </cell>
        </row>
        <row r="998">
          <cell r="E998" t="str">
            <v>Arizona v California</v>
          </cell>
          <cell r="I998" t="str">
            <v>RS</v>
          </cell>
          <cell r="K998" t="str">
            <v>Fo</v>
          </cell>
          <cell r="M998">
            <v>1.6161119133638899</v>
          </cell>
          <cell r="N998">
            <v>3</v>
          </cell>
        </row>
        <row r="999">
          <cell r="E999" t="str">
            <v>Arizona v California</v>
          </cell>
          <cell r="I999" t="str">
            <v>RS</v>
          </cell>
          <cell r="K999" t="str">
            <v>Fo</v>
          </cell>
          <cell r="M999">
            <v>0.76161905079390302</v>
          </cell>
          <cell r="N999">
            <v>3</v>
          </cell>
        </row>
        <row r="1000">
          <cell r="E1000" t="str">
            <v>Arizona v California</v>
          </cell>
          <cell r="I1000" t="str">
            <v>RS</v>
          </cell>
          <cell r="K1000" t="str">
            <v>F</v>
          </cell>
          <cell r="M1000">
            <v>0.445616426495761</v>
          </cell>
          <cell r="N1000">
            <v>4</v>
          </cell>
        </row>
        <row r="1001">
          <cell r="E1001" t="str">
            <v>Arizona v California</v>
          </cell>
          <cell r="I1001" t="str">
            <v>RS</v>
          </cell>
          <cell r="K1001" t="str">
            <v>DSL</v>
          </cell>
          <cell r="M1001">
            <v>1.6588200019692401</v>
          </cell>
          <cell r="N1001">
            <v>2</v>
          </cell>
        </row>
        <row r="1002">
          <cell r="E1002" t="str">
            <v>Arizona v California</v>
          </cell>
          <cell r="I1002" t="str">
            <v>RS</v>
          </cell>
          <cell r="K1002" t="str">
            <v>F</v>
          </cell>
          <cell r="M1002">
            <v>0.334188892785309</v>
          </cell>
          <cell r="N1002">
            <v>4</v>
          </cell>
        </row>
        <row r="1003">
          <cell r="E1003" t="str">
            <v>Arizona v California</v>
          </cell>
          <cell r="I1003" t="str">
            <v>RS</v>
          </cell>
          <cell r="K1003" t="str">
            <v>F</v>
          </cell>
          <cell r="M1003">
            <v>0.78054669708459101</v>
          </cell>
          <cell r="N1003">
            <v>4</v>
          </cell>
        </row>
        <row r="1004">
          <cell r="E1004" t="str">
            <v>Arizona v California</v>
          </cell>
          <cell r="I1004" t="str">
            <v>RS</v>
          </cell>
          <cell r="K1004" t="str">
            <v>F</v>
          </cell>
          <cell r="M1004">
            <v>0.55833259045723405</v>
          </cell>
          <cell r="N1004">
            <v>4</v>
          </cell>
        </row>
        <row r="1005">
          <cell r="E1005" t="str">
            <v>Arizona v California</v>
          </cell>
          <cell r="I1005" t="str">
            <v>RS</v>
          </cell>
          <cell r="K1005" t="str">
            <v>F</v>
          </cell>
          <cell r="M1005">
            <v>1.6981906317602899</v>
          </cell>
          <cell r="N1005">
            <v>4</v>
          </cell>
        </row>
        <row r="1006">
          <cell r="E1006" t="str">
            <v>Arizona v California</v>
          </cell>
          <cell r="I1006" t="str">
            <v>RS</v>
          </cell>
          <cell r="K1006" t="str">
            <v>F</v>
          </cell>
          <cell r="M1006">
            <v>0.144402814924662</v>
          </cell>
          <cell r="N1006">
            <v>4</v>
          </cell>
        </row>
        <row r="1007">
          <cell r="E1007" t="str">
            <v>Arizona v California</v>
          </cell>
          <cell r="I1007" t="str">
            <v>RS</v>
          </cell>
          <cell r="K1007" t="str">
            <v>Fo</v>
          </cell>
          <cell r="M1007">
            <v>1.2290559633724301</v>
          </cell>
          <cell r="N1007">
            <v>1</v>
          </cell>
        </row>
        <row r="1008">
          <cell r="E1008" t="str">
            <v>Arizona v California</v>
          </cell>
          <cell r="I1008" t="str">
            <v>RS</v>
          </cell>
          <cell r="K1008" t="str">
            <v>F</v>
          </cell>
          <cell r="M1008">
            <v>0.14540501951342899</v>
          </cell>
          <cell r="N1008">
            <v>4</v>
          </cell>
        </row>
        <row r="1009">
          <cell r="E1009" t="str">
            <v>Arizona v California</v>
          </cell>
          <cell r="I1009" t="str">
            <v>RS</v>
          </cell>
          <cell r="K1009" t="str">
            <v>F</v>
          </cell>
          <cell r="M1009">
            <v>4.6429928717266398</v>
          </cell>
          <cell r="N1009">
            <v>4</v>
          </cell>
        </row>
        <row r="1010">
          <cell r="E1010" t="str">
            <v>Arizona v California</v>
          </cell>
          <cell r="I1010" t="str">
            <v>RS</v>
          </cell>
          <cell r="K1010" t="str">
            <v>F</v>
          </cell>
          <cell r="M1010">
            <v>3.2663013895244002E-2</v>
          </cell>
          <cell r="N1010">
            <v>4</v>
          </cell>
        </row>
        <row r="1011">
          <cell r="E1011" t="str">
            <v>Arizona v California</v>
          </cell>
          <cell r="I1011" t="str">
            <v>RS</v>
          </cell>
          <cell r="K1011" t="str">
            <v>F</v>
          </cell>
          <cell r="M1011">
            <v>6.0417027616460998E-2</v>
          </cell>
          <cell r="N1011">
            <v>4</v>
          </cell>
        </row>
        <row r="1012">
          <cell r="E1012" t="str">
            <v>Arizona v California</v>
          </cell>
          <cell r="I1012" t="str">
            <v>RS</v>
          </cell>
          <cell r="K1012" t="str">
            <v>F</v>
          </cell>
          <cell r="M1012">
            <v>5.3519135439687997E-2</v>
          </cell>
          <cell r="N1012">
            <v>4</v>
          </cell>
        </row>
        <row r="1013">
          <cell r="E1013" t="str">
            <v>Arizona v California</v>
          </cell>
          <cell r="I1013" t="str">
            <v>RS</v>
          </cell>
          <cell r="K1013" t="str">
            <v>F</v>
          </cell>
          <cell r="M1013">
            <v>0.87271383669147495</v>
          </cell>
          <cell r="N1013">
            <v>4</v>
          </cell>
        </row>
        <row r="1014">
          <cell r="E1014" t="str">
            <v>Arizona v California</v>
          </cell>
          <cell r="I1014" t="str">
            <v>RS</v>
          </cell>
          <cell r="K1014" t="str">
            <v>F</v>
          </cell>
          <cell r="M1014">
            <v>1.48466940024399</v>
          </cell>
          <cell r="N1014">
            <v>4</v>
          </cell>
        </row>
        <row r="1015">
          <cell r="E1015" t="str">
            <v>Arizona v California</v>
          </cell>
          <cell r="I1015" t="str">
            <v>RS</v>
          </cell>
          <cell r="K1015" t="str">
            <v>F</v>
          </cell>
          <cell r="M1015">
            <v>0.63210695274471596</v>
          </cell>
          <cell r="N1015">
            <v>4</v>
          </cell>
        </row>
        <row r="1016">
          <cell r="E1016" t="str">
            <v>Arizona v California</v>
          </cell>
          <cell r="I1016" t="str">
            <v>RS</v>
          </cell>
          <cell r="K1016" t="str">
            <v>F</v>
          </cell>
          <cell r="M1016">
            <v>3.9453736973821898</v>
          </cell>
          <cell r="N1016">
            <v>4</v>
          </cell>
        </row>
        <row r="1017">
          <cell r="E1017" t="str">
            <v>Arizona v California</v>
          </cell>
          <cell r="I1017" t="str">
            <v>RS</v>
          </cell>
          <cell r="K1017" t="str">
            <v>NI</v>
          </cell>
          <cell r="M1017">
            <v>12.8194666326391</v>
          </cell>
          <cell r="N1017">
            <v>4</v>
          </cell>
        </row>
        <row r="1018">
          <cell r="E1018" t="str">
            <v>Arizona v California</v>
          </cell>
          <cell r="I1018" t="str">
            <v>RS</v>
          </cell>
          <cell r="K1018" t="str">
            <v>NI</v>
          </cell>
          <cell r="M1018">
            <v>0.91117146556860296</v>
          </cell>
          <cell r="N1018">
            <v>4</v>
          </cell>
        </row>
        <row r="1019">
          <cell r="E1019" t="str">
            <v>Arizona v California</v>
          </cell>
          <cell r="I1019" t="str">
            <v>RS</v>
          </cell>
          <cell r="K1019" t="str">
            <v>NI</v>
          </cell>
          <cell r="M1019">
            <v>2.3417337907750899</v>
          </cell>
          <cell r="N1019">
            <v>4</v>
          </cell>
        </row>
        <row r="1020">
          <cell r="E1020" t="str">
            <v>Arizona v California</v>
          </cell>
          <cell r="I1020" t="str">
            <v>RS</v>
          </cell>
          <cell r="K1020" t="str">
            <v>NI</v>
          </cell>
          <cell r="M1020">
            <v>1.0437447133194999</v>
          </cell>
          <cell r="N1020">
            <v>4</v>
          </cell>
        </row>
        <row r="1021">
          <cell r="E1021" t="str">
            <v>Arizona v California</v>
          </cell>
          <cell r="I1021" t="str">
            <v>RS</v>
          </cell>
          <cell r="K1021" t="str">
            <v>NI</v>
          </cell>
          <cell r="M1021">
            <v>0.83302891106051802</v>
          </cell>
          <cell r="N1021">
            <v>4</v>
          </cell>
        </row>
        <row r="1022">
          <cell r="E1022" t="str">
            <v>Arizona v California</v>
          </cell>
          <cell r="I1022" t="str">
            <v>RS</v>
          </cell>
          <cell r="K1022" t="str">
            <v>IPP</v>
          </cell>
          <cell r="M1022">
            <v>14.1134866631112</v>
          </cell>
          <cell r="N1022">
            <v>1</v>
          </cell>
        </row>
        <row r="1023">
          <cell r="E1023" t="str">
            <v>Arizona v California</v>
          </cell>
          <cell r="I1023" t="str">
            <v>RS</v>
          </cell>
          <cell r="K1023" t="str">
            <v>Res,W</v>
          </cell>
          <cell r="M1023">
            <v>0.82786802669764303</v>
          </cell>
          <cell r="N1023">
            <v>4</v>
          </cell>
        </row>
        <row r="1024">
          <cell r="E1024" t="str">
            <v>Arizona v California</v>
          </cell>
          <cell r="I1024" t="str">
            <v>RS</v>
          </cell>
          <cell r="K1024" t="str">
            <v>INP</v>
          </cell>
          <cell r="M1024">
            <v>0.677836281881953</v>
          </cell>
          <cell r="N1024">
            <v>2</v>
          </cell>
        </row>
        <row r="1025">
          <cell r="E1025" t="str">
            <v>Arizona v California</v>
          </cell>
          <cell r="I1025" t="str">
            <v>RS</v>
          </cell>
          <cell r="K1025" t="str">
            <v>NI</v>
          </cell>
          <cell r="M1025">
            <v>1.1583133226426601</v>
          </cell>
          <cell r="N1025">
            <v>4</v>
          </cell>
        </row>
        <row r="1026">
          <cell r="E1026" t="str">
            <v>Arizona v California</v>
          </cell>
          <cell r="I1026" t="str">
            <v>RS</v>
          </cell>
          <cell r="K1026" t="str">
            <v>Stk,W</v>
          </cell>
          <cell r="M1026">
            <v>1.2239856600311401</v>
          </cell>
          <cell r="N1026">
            <v>4</v>
          </cell>
        </row>
        <row r="1027">
          <cell r="E1027" t="str">
            <v>Arizona v California</v>
          </cell>
          <cell r="I1027" t="str">
            <v>RS</v>
          </cell>
          <cell r="K1027" t="str">
            <v>Out</v>
          </cell>
          <cell r="M1027">
            <v>0.96412216079002899</v>
          </cell>
          <cell r="N1027">
            <v>4</v>
          </cell>
        </row>
        <row r="1028">
          <cell r="E1028" t="str">
            <v>Arizona v California</v>
          </cell>
          <cell r="I1028" t="str">
            <v>RS</v>
          </cell>
          <cell r="K1028" t="str">
            <v>Out</v>
          </cell>
          <cell r="M1028">
            <v>0.65892611481423402</v>
          </cell>
          <cell r="N1028">
            <v>4</v>
          </cell>
        </row>
        <row r="1029">
          <cell r="E1029" t="str">
            <v>Arizona v California</v>
          </cell>
          <cell r="I1029" t="str">
            <v>RS</v>
          </cell>
          <cell r="K1029" t="str">
            <v>Res,D</v>
          </cell>
          <cell r="M1029">
            <v>0.123926247324957</v>
          </cell>
          <cell r="N1029">
            <v>4</v>
          </cell>
        </row>
        <row r="1030">
          <cell r="E1030" t="str">
            <v>Arizona v California</v>
          </cell>
          <cell r="I1030" t="str">
            <v>RS</v>
          </cell>
          <cell r="K1030" t="str">
            <v>Res,D</v>
          </cell>
          <cell r="M1030">
            <v>0.2022541926726</v>
          </cell>
          <cell r="N1030">
            <v>4</v>
          </cell>
        </row>
        <row r="1031">
          <cell r="E1031" t="str">
            <v>Arizona v California</v>
          </cell>
          <cell r="I1031" t="str">
            <v>RS</v>
          </cell>
          <cell r="K1031" t="str">
            <v>Out</v>
          </cell>
          <cell r="M1031">
            <v>0.99317005853176599</v>
          </cell>
          <cell r="N1031">
            <v>4</v>
          </cell>
        </row>
        <row r="1032">
          <cell r="E1032" t="str">
            <v>Arizona v California</v>
          </cell>
          <cell r="I1032" t="str">
            <v>RS</v>
          </cell>
          <cell r="K1032" t="str">
            <v>Res,W</v>
          </cell>
          <cell r="M1032">
            <v>0.83514338730328397</v>
          </cell>
          <cell r="N1032">
            <v>4</v>
          </cell>
        </row>
        <row r="1033">
          <cell r="E1033" t="str">
            <v>Arizona v California</v>
          </cell>
          <cell r="I1033" t="str">
            <v>RS</v>
          </cell>
          <cell r="K1033" t="str">
            <v>DSL</v>
          </cell>
          <cell r="M1033">
            <v>0.392069430345929</v>
          </cell>
          <cell r="N1033">
            <v>2</v>
          </cell>
        </row>
        <row r="1034">
          <cell r="E1034" t="str">
            <v>Arizona v California</v>
          </cell>
          <cell r="I1034" t="str">
            <v>RS</v>
          </cell>
          <cell r="K1034" t="str">
            <v>F</v>
          </cell>
          <cell r="M1034">
            <v>1.0349648168399199</v>
          </cell>
          <cell r="N1034">
            <v>4</v>
          </cell>
        </row>
        <row r="1035">
          <cell r="E1035" t="str">
            <v>Arizona v California</v>
          </cell>
          <cell r="I1035" t="str">
            <v>RS</v>
          </cell>
          <cell r="K1035" t="str">
            <v>INP</v>
          </cell>
          <cell r="M1035">
            <v>1.07607857310716</v>
          </cell>
          <cell r="N1035">
            <v>2</v>
          </cell>
        </row>
        <row r="1036">
          <cell r="E1036" t="str">
            <v>Arizona v California</v>
          </cell>
          <cell r="I1036" t="str">
            <v>RS</v>
          </cell>
          <cell r="K1036" t="str">
            <v>IPP</v>
          </cell>
          <cell r="M1036">
            <v>0.42432536282008598</v>
          </cell>
          <cell r="N1036">
            <v>1</v>
          </cell>
        </row>
        <row r="1037">
          <cell r="E1037" t="str">
            <v>Arizona v California</v>
          </cell>
          <cell r="I1037" t="str">
            <v>RS</v>
          </cell>
          <cell r="K1037" t="str">
            <v>F</v>
          </cell>
          <cell r="M1037">
            <v>8.1980109464072299</v>
          </cell>
          <cell r="N1037">
            <v>4</v>
          </cell>
        </row>
        <row r="1038">
          <cell r="E1038" t="str">
            <v>Arizona v California</v>
          </cell>
          <cell r="I1038" t="str">
            <v>RS</v>
          </cell>
          <cell r="K1038" t="str">
            <v>F</v>
          </cell>
          <cell r="M1038">
            <v>2.8649468057915701</v>
          </cell>
          <cell r="N1038">
            <v>4</v>
          </cell>
        </row>
        <row r="1039">
          <cell r="E1039" t="str">
            <v>Arizona v California</v>
          </cell>
          <cell r="I1039" t="str">
            <v>RS</v>
          </cell>
          <cell r="K1039" t="str">
            <v>SSG</v>
          </cell>
          <cell r="M1039">
            <v>1.5417417676616501</v>
          </cell>
          <cell r="N1039">
            <v>1</v>
          </cell>
        </row>
        <row r="1040">
          <cell r="E1040" t="str">
            <v>Arizona v California</v>
          </cell>
          <cell r="I1040" t="str">
            <v>RS</v>
          </cell>
          <cell r="K1040" t="str">
            <v>SSG</v>
          </cell>
          <cell r="M1040">
            <v>1.1959318730145101</v>
          </cell>
          <cell r="N1040">
            <v>1</v>
          </cell>
        </row>
        <row r="1041">
          <cell r="E1041" t="str">
            <v>Arizona v California</v>
          </cell>
          <cell r="I1041" t="str">
            <v>RS</v>
          </cell>
          <cell r="K1041" t="str">
            <v>NI</v>
          </cell>
          <cell r="M1041">
            <v>0.74771729893570105</v>
          </cell>
          <cell r="N1041">
            <v>4</v>
          </cell>
        </row>
        <row r="1042">
          <cell r="E1042" t="str">
            <v>Arizona v California</v>
          </cell>
          <cell r="I1042" t="str">
            <v>RS</v>
          </cell>
          <cell r="K1042" t="str">
            <v>NI</v>
          </cell>
          <cell r="M1042">
            <v>1.5473118134935699</v>
          </cell>
          <cell r="N1042">
            <v>4</v>
          </cell>
        </row>
        <row r="1043">
          <cell r="E1043" t="str">
            <v>Arizona v California</v>
          </cell>
          <cell r="I1043" t="str">
            <v>RS</v>
          </cell>
          <cell r="K1043" t="str">
            <v>INP</v>
          </cell>
          <cell r="M1043">
            <v>3.6851192416002498</v>
          </cell>
          <cell r="N1043">
            <v>2</v>
          </cell>
        </row>
        <row r="1044">
          <cell r="E1044" t="str">
            <v>Arizona v California</v>
          </cell>
          <cell r="I1044" t="str">
            <v>RS</v>
          </cell>
          <cell r="K1044" t="str">
            <v>Res,W</v>
          </cell>
          <cell r="M1044">
            <v>0.520525572467188</v>
          </cell>
          <cell r="N1044">
            <v>4</v>
          </cell>
        </row>
        <row r="1045">
          <cell r="E1045" t="str">
            <v>Arizona v California</v>
          </cell>
          <cell r="I1045" t="str">
            <v>RS</v>
          </cell>
          <cell r="K1045" t="str">
            <v>Res,W</v>
          </cell>
          <cell r="M1045">
            <v>0.70426729391266796</v>
          </cell>
          <cell r="N1045">
            <v>4</v>
          </cell>
        </row>
        <row r="1046">
          <cell r="E1046" t="str">
            <v>Arizona v California</v>
          </cell>
          <cell r="I1046" t="str">
            <v>RS</v>
          </cell>
          <cell r="K1046" t="str">
            <v>Res,W</v>
          </cell>
          <cell r="M1046">
            <v>0.44839737436757199</v>
          </cell>
          <cell r="N1046">
            <v>4</v>
          </cell>
        </row>
        <row r="1047">
          <cell r="E1047" t="str">
            <v>Arizona v California</v>
          </cell>
          <cell r="I1047" t="str">
            <v>RS</v>
          </cell>
          <cell r="K1047" t="str">
            <v>INP</v>
          </cell>
          <cell r="M1047">
            <v>5.2903776779551599</v>
          </cell>
          <cell r="N1047">
            <v>1</v>
          </cell>
        </row>
        <row r="1048">
          <cell r="E1048" t="str">
            <v>Arizona v California</v>
          </cell>
          <cell r="I1048" t="str">
            <v>RS</v>
          </cell>
          <cell r="K1048" t="str">
            <v>F</v>
          </cell>
          <cell r="M1048">
            <v>1.30310775216452</v>
          </cell>
          <cell r="N1048">
            <v>4</v>
          </cell>
        </row>
        <row r="1049">
          <cell r="E1049" t="str">
            <v>Arizona v California</v>
          </cell>
          <cell r="I1049" t="str">
            <v>RS</v>
          </cell>
          <cell r="K1049" t="str">
            <v>F</v>
          </cell>
          <cell r="M1049">
            <v>0.90517390354292904</v>
          </cell>
          <cell r="N1049">
            <v>4</v>
          </cell>
        </row>
        <row r="1050">
          <cell r="E1050" t="str">
            <v>Arizona v California</v>
          </cell>
          <cell r="I1050" t="str">
            <v>RS</v>
          </cell>
          <cell r="K1050" t="str">
            <v>F</v>
          </cell>
          <cell r="M1050">
            <v>0.31338500732645902</v>
          </cell>
          <cell r="N1050">
            <v>4</v>
          </cell>
        </row>
        <row r="1051">
          <cell r="E1051" t="str">
            <v>Arizona v California</v>
          </cell>
          <cell r="I1051" t="str">
            <v>RS</v>
          </cell>
          <cell r="K1051" t="str">
            <v>INP</v>
          </cell>
          <cell r="M1051">
            <v>1.87970042845726</v>
          </cell>
          <cell r="N1051">
            <v>1</v>
          </cell>
        </row>
        <row r="1052">
          <cell r="E1052" t="str">
            <v>Arizona v California</v>
          </cell>
          <cell r="I1052" t="str">
            <v>RS</v>
          </cell>
          <cell r="K1052" t="str">
            <v>INP</v>
          </cell>
          <cell r="M1052">
            <v>1.2615714320992</v>
          </cell>
          <cell r="N1052">
            <v>1</v>
          </cell>
        </row>
        <row r="1053">
          <cell r="E1053" t="str">
            <v>Arizona v California</v>
          </cell>
          <cell r="I1053" t="str">
            <v>RS</v>
          </cell>
          <cell r="K1053" t="str">
            <v>INP</v>
          </cell>
          <cell r="M1053">
            <v>1.8918585115854201</v>
          </cell>
          <cell r="N1053">
            <v>1</v>
          </cell>
        </row>
        <row r="1054">
          <cell r="E1054" t="str">
            <v>Arizona v California</v>
          </cell>
          <cell r="I1054" t="str">
            <v>RS</v>
          </cell>
          <cell r="K1054" t="str">
            <v>INP</v>
          </cell>
          <cell r="M1054">
            <v>2.82738998392957</v>
          </cell>
          <cell r="N1054">
            <v>1</v>
          </cell>
        </row>
        <row r="1055">
          <cell r="E1055" t="str">
            <v>Arizona v California</v>
          </cell>
          <cell r="I1055" t="str">
            <v>RS</v>
          </cell>
          <cell r="K1055" t="str">
            <v>INP</v>
          </cell>
          <cell r="M1055">
            <v>0.77650887148117798</v>
          </cell>
          <cell r="N1055">
            <v>1</v>
          </cell>
        </row>
        <row r="1056">
          <cell r="E1056" t="str">
            <v>Arizona v California</v>
          </cell>
          <cell r="I1056" t="str">
            <v>RS</v>
          </cell>
          <cell r="K1056" t="str">
            <v>F</v>
          </cell>
          <cell r="M1056">
            <v>1.1663619019628</v>
          </cell>
          <cell r="N1056">
            <v>4</v>
          </cell>
        </row>
        <row r="1057">
          <cell r="E1057" t="str">
            <v>Arizona v California</v>
          </cell>
          <cell r="I1057" t="str">
            <v>RS</v>
          </cell>
          <cell r="K1057" t="str">
            <v>F</v>
          </cell>
          <cell r="M1057">
            <v>0.50809729111824697</v>
          </cell>
          <cell r="N1057">
            <v>4</v>
          </cell>
        </row>
        <row r="1058">
          <cell r="E1058" t="str">
            <v>Arizona v California</v>
          </cell>
          <cell r="I1058" t="str">
            <v>RS</v>
          </cell>
          <cell r="K1058" t="str">
            <v>F</v>
          </cell>
          <cell r="M1058">
            <v>0.49244901313957001</v>
          </cell>
          <cell r="N1058">
            <v>4</v>
          </cell>
        </row>
        <row r="1059">
          <cell r="E1059" t="str">
            <v>Arizona v California</v>
          </cell>
          <cell r="I1059" t="str">
            <v>RS</v>
          </cell>
          <cell r="K1059" t="str">
            <v>INP</v>
          </cell>
          <cell r="M1059">
            <v>2.6997324985901701</v>
          </cell>
          <cell r="N1059">
            <v>1</v>
          </cell>
        </row>
        <row r="1060">
          <cell r="E1060" t="str">
            <v>Arizona v California</v>
          </cell>
          <cell r="I1060" t="str">
            <v>RS</v>
          </cell>
          <cell r="K1060" t="str">
            <v>F</v>
          </cell>
          <cell r="M1060">
            <v>0.90595278276444802</v>
          </cell>
          <cell r="N1060">
            <v>4</v>
          </cell>
        </row>
        <row r="1061">
          <cell r="E1061" t="str">
            <v>Arizona v California</v>
          </cell>
          <cell r="I1061" t="str">
            <v>RS</v>
          </cell>
          <cell r="K1061" t="str">
            <v>INP</v>
          </cell>
          <cell r="M1061">
            <v>1.1881726947876201</v>
          </cell>
          <cell r="N1061">
            <v>1</v>
          </cell>
        </row>
        <row r="1062">
          <cell r="E1062" t="str">
            <v>Arizona v California</v>
          </cell>
          <cell r="I1062" t="str">
            <v>RS</v>
          </cell>
          <cell r="K1062" t="str">
            <v>INP</v>
          </cell>
          <cell r="M1062">
            <v>0.83058071994172</v>
          </cell>
          <cell r="N1062">
            <v>1</v>
          </cell>
        </row>
        <row r="1063">
          <cell r="E1063" t="str">
            <v>Arizona v California</v>
          </cell>
          <cell r="I1063" t="str">
            <v>RS</v>
          </cell>
          <cell r="K1063" t="str">
            <v>INP</v>
          </cell>
          <cell r="M1063">
            <v>2.6008159594216198</v>
          </cell>
          <cell r="N1063">
            <v>1</v>
          </cell>
        </row>
        <row r="1064">
          <cell r="E1064" t="str">
            <v>Arizona v California</v>
          </cell>
          <cell r="I1064" t="str">
            <v>RS</v>
          </cell>
          <cell r="K1064" t="str">
            <v>INP</v>
          </cell>
          <cell r="M1064">
            <v>2.11580594404878</v>
          </cell>
          <cell r="N1064">
            <v>1</v>
          </cell>
        </row>
        <row r="1065">
          <cell r="E1065" t="str">
            <v>Arizona v California</v>
          </cell>
          <cell r="I1065" t="str">
            <v>RS</v>
          </cell>
          <cell r="K1065" t="str">
            <v>INP</v>
          </cell>
          <cell r="M1065">
            <v>1.9037665457802799</v>
          </cell>
          <cell r="N1065">
            <v>1</v>
          </cell>
        </row>
        <row r="1066">
          <cell r="E1066" t="str">
            <v>Arizona v California</v>
          </cell>
          <cell r="I1066" t="str">
            <v>RS</v>
          </cell>
          <cell r="K1066" t="str">
            <v>INP</v>
          </cell>
          <cell r="M1066">
            <v>9.5522633023663204</v>
          </cell>
          <cell r="N1066">
            <v>1</v>
          </cell>
        </row>
        <row r="1067">
          <cell r="E1067" t="str">
            <v>Arizona v California</v>
          </cell>
          <cell r="I1067" t="str">
            <v>RS</v>
          </cell>
          <cell r="K1067" t="str">
            <v>NI</v>
          </cell>
          <cell r="M1067">
            <v>0.75447952124544004</v>
          </cell>
          <cell r="N1067">
            <v>4</v>
          </cell>
        </row>
        <row r="1068">
          <cell r="E1068" t="str">
            <v>Arizona v California</v>
          </cell>
          <cell r="I1068" t="str">
            <v>RS</v>
          </cell>
          <cell r="K1068" t="str">
            <v>INP</v>
          </cell>
          <cell r="M1068">
            <v>1.24852432748417</v>
          </cell>
          <cell r="N1068">
            <v>1</v>
          </cell>
        </row>
        <row r="1069">
          <cell r="E1069" t="str">
            <v>Arizona v California</v>
          </cell>
          <cell r="I1069" t="str">
            <v>RS</v>
          </cell>
          <cell r="K1069" t="str">
            <v>INP</v>
          </cell>
          <cell r="M1069">
            <v>2.7086309382949301</v>
          </cell>
          <cell r="N1069">
            <v>1</v>
          </cell>
        </row>
        <row r="1070">
          <cell r="E1070" t="str">
            <v>Arizona v California</v>
          </cell>
          <cell r="I1070" t="str">
            <v>RS</v>
          </cell>
          <cell r="K1070" t="str">
            <v>IPP</v>
          </cell>
          <cell r="M1070">
            <v>1.1773450148145701</v>
          </cell>
          <cell r="N1070">
            <v>1</v>
          </cell>
        </row>
        <row r="1071">
          <cell r="E1071" t="str">
            <v>Arizona v California</v>
          </cell>
          <cell r="I1071" t="str">
            <v>RS</v>
          </cell>
          <cell r="K1071" t="str">
            <v>PG</v>
          </cell>
          <cell r="M1071">
            <v>0.52544015183081205</v>
          </cell>
          <cell r="N1071">
            <v>1</v>
          </cell>
        </row>
        <row r="1072">
          <cell r="E1072" t="str">
            <v>Arizona v California</v>
          </cell>
          <cell r="I1072" t="str">
            <v>RS</v>
          </cell>
          <cell r="K1072" t="str">
            <v>DSL</v>
          </cell>
          <cell r="M1072">
            <v>0.61302709259477095</v>
          </cell>
          <cell r="N1072">
            <v>3</v>
          </cell>
        </row>
        <row r="1073">
          <cell r="E1073" t="str">
            <v>Arizona v California</v>
          </cell>
          <cell r="I1073" t="str">
            <v>RS</v>
          </cell>
          <cell r="K1073" t="str">
            <v>DSL</v>
          </cell>
          <cell r="M1073">
            <v>7.6812542683191001E-2</v>
          </cell>
          <cell r="N1073">
            <v>3</v>
          </cell>
        </row>
        <row r="1074">
          <cell r="E1074" t="str">
            <v>Arizona v California</v>
          </cell>
          <cell r="I1074" t="str">
            <v>RS</v>
          </cell>
          <cell r="K1074" t="str">
            <v>NI</v>
          </cell>
          <cell r="M1074">
            <v>2.5240523479857102</v>
          </cell>
          <cell r="N1074">
            <v>4</v>
          </cell>
        </row>
        <row r="1075">
          <cell r="E1075" t="str">
            <v>Arizona v California</v>
          </cell>
          <cell r="I1075" t="str">
            <v>RS</v>
          </cell>
          <cell r="K1075" t="str">
            <v>F</v>
          </cell>
          <cell r="M1075">
            <v>0.45334013429053099</v>
          </cell>
          <cell r="N1075">
            <v>4</v>
          </cell>
        </row>
        <row r="1076">
          <cell r="E1076" t="str">
            <v>Arizona v California</v>
          </cell>
          <cell r="I1076" t="str">
            <v>RS</v>
          </cell>
          <cell r="K1076" t="str">
            <v>Fo</v>
          </cell>
          <cell r="M1076">
            <v>1.2001073034354599</v>
          </cell>
          <cell r="N1076">
            <v>3</v>
          </cell>
        </row>
        <row r="1077">
          <cell r="E1077" t="str">
            <v>Arizona v California</v>
          </cell>
          <cell r="I1077" t="str">
            <v>RS</v>
          </cell>
          <cell r="K1077" t="str">
            <v>NI</v>
          </cell>
          <cell r="M1077">
            <v>0.514864547599719</v>
          </cell>
          <cell r="N1077">
            <v>4</v>
          </cell>
        </row>
        <row r="1078">
          <cell r="E1078" t="str">
            <v>Arizona v California</v>
          </cell>
          <cell r="I1078" t="str">
            <v>RS</v>
          </cell>
          <cell r="K1078" t="str">
            <v>NI</v>
          </cell>
          <cell r="M1078">
            <v>0.30641881225349199</v>
          </cell>
          <cell r="N1078">
            <v>4</v>
          </cell>
        </row>
        <row r="1079">
          <cell r="E1079" t="str">
            <v>Arizona v California</v>
          </cell>
          <cell r="I1079" t="str">
            <v>RS</v>
          </cell>
          <cell r="K1079" t="str">
            <v>INP</v>
          </cell>
          <cell r="M1079">
            <v>0.35494670410232099</v>
          </cell>
          <cell r="N1079">
            <v>2</v>
          </cell>
        </row>
        <row r="1080">
          <cell r="E1080" t="str">
            <v>Arizona v California</v>
          </cell>
          <cell r="I1080" t="str">
            <v>RS</v>
          </cell>
          <cell r="K1080" t="str">
            <v>A</v>
          </cell>
          <cell r="M1080">
            <v>3.2551757431981798</v>
          </cell>
          <cell r="N1080">
            <v>2</v>
          </cell>
        </row>
        <row r="1081">
          <cell r="E1081" t="str">
            <v>Arizona v California</v>
          </cell>
          <cell r="I1081" t="str">
            <v>RS</v>
          </cell>
          <cell r="K1081" t="str">
            <v>Res,D</v>
          </cell>
          <cell r="M1081">
            <v>0.43428811917377302</v>
          </cell>
          <cell r="N1081">
            <v>4</v>
          </cell>
        </row>
        <row r="1082">
          <cell r="E1082" t="str">
            <v>Arizona v California</v>
          </cell>
          <cell r="I1082" t="str">
            <v>RS</v>
          </cell>
          <cell r="K1082" t="str">
            <v>IPP</v>
          </cell>
          <cell r="M1082">
            <v>1.5986098955631101</v>
          </cell>
          <cell r="N1082">
            <v>2</v>
          </cell>
        </row>
        <row r="1083">
          <cell r="E1083" t="str">
            <v>Arizona v California</v>
          </cell>
          <cell r="I1083" t="str">
            <v>RS</v>
          </cell>
          <cell r="K1083" t="str">
            <v>NI</v>
          </cell>
          <cell r="M1083">
            <v>1.4437090846205101</v>
          </cell>
          <cell r="N1083">
            <v>4</v>
          </cell>
        </row>
        <row r="1084">
          <cell r="E1084" t="str">
            <v>Arizona v California</v>
          </cell>
          <cell r="I1084" t="str">
            <v>RS</v>
          </cell>
          <cell r="K1084" t="str">
            <v>NI</v>
          </cell>
          <cell r="M1084">
            <v>0.98341510616290495</v>
          </cell>
          <cell r="N1084">
            <v>4</v>
          </cell>
        </row>
        <row r="1085">
          <cell r="E1085" t="str">
            <v>Arizona v California</v>
          </cell>
          <cell r="I1085" t="str">
            <v>RS</v>
          </cell>
          <cell r="K1085" t="str">
            <v>NI</v>
          </cell>
          <cell r="M1085">
            <v>0.31903433591674402</v>
          </cell>
          <cell r="N1085">
            <v>4</v>
          </cell>
        </row>
        <row r="1086">
          <cell r="E1086" t="str">
            <v>Arizona v California</v>
          </cell>
          <cell r="I1086" t="str">
            <v>RS</v>
          </cell>
          <cell r="K1086" t="str">
            <v>NI</v>
          </cell>
          <cell r="M1086">
            <v>0.65992954814898097</v>
          </cell>
          <cell r="N1086">
            <v>4</v>
          </cell>
        </row>
        <row r="1087">
          <cell r="E1087" t="str">
            <v>Arizona v California</v>
          </cell>
          <cell r="I1087" t="str">
            <v>RS</v>
          </cell>
          <cell r="K1087" t="str">
            <v>Tc</v>
          </cell>
          <cell r="M1087">
            <v>1.9958598450059399</v>
          </cell>
          <cell r="N1087">
            <v>2</v>
          </cell>
        </row>
        <row r="1088">
          <cell r="E1088" t="str">
            <v>Arizona v California</v>
          </cell>
          <cell r="I1088" t="str">
            <v>RS</v>
          </cell>
          <cell r="K1088" t="str">
            <v>MV</v>
          </cell>
          <cell r="M1088">
            <v>0.24882391046062999</v>
          </cell>
          <cell r="N1088">
            <v>3</v>
          </cell>
        </row>
        <row r="1089">
          <cell r="E1089" t="str">
            <v>Arizona v California</v>
          </cell>
          <cell r="I1089" t="str">
            <v>RS</v>
          </cell>
          <cell r="K1089" t="str">
            <v>F</v>
          </cell>
          <cell r="M1089">
            <v>0.30572577669436102</v>
          </cell>
          <cell r="N1089">
            <v>4</v>
          </cell>
        </row>
        <row r="1090">
          <cell r="E1090" t="str">
            <v>Arizona v California</v>
          </cell>
          <cell r="I1090" t="str">
            <v>RS</v>
          </cell>
          <cell r="K1090" t="str">
            <v>F</v>
          </cell>
          <cell r="M1090">
            <v>7.1640251132772004E-2</v>
          </cell>
          <cell r="N1090">
            <v>4</v>
          </cell>
        </row>
        <row r="1091">
          <cell r="E1091" t="str">
            <v>Arizona v California</v>
          </cell>
          <cell r="I1091" t="str">
            <v>RS</v>
          </cell>
          <cell r="K1091" t="str">
            <v>MV</v>
          </cell>
          <cell r="M1091">
            <v>0.112423796424841</v>
          </cell>
          <cell r="N1091">
            <v>3</v>
          </cell>
        </row>
        <row r="1092">
          <cell r="E1092" t="str">
            <v>Arizona v California</v>
          </cell>
          <cell r="I1092" t="str">
            <v>RS</v>
          </cell>
          <cell r="K1092" t="str">
            <v>Out</v>
          </cell>
          <cell r="M1092">
            <v>0.118168032070291</v>
          </cell>
          <cell r="N1092">
            <v>4</v>
          </cell>
        </row>
        <row r="1093">
          <cell r="E1093" t="str">
            <v>Arizona v California</v>
          </cell>
          <cell r="I1093" t="str">
            <v>RS</v>
          </cell>
          <cell r="K1093" t="str">
            <v>Out</v>
          </cell>
          <cell r="M1093">
            <v>6.6562664565489996E-2</v>
          </cell>
          <cell r="N1093">
            <v>4</v>
          </cell>
        </row>
        <row r="1094">
          <cell r="E1094" t="str">
            <v>Arizona v California</v>
          </cell>
          <cell r="I1094" t="str">
            <v>RS</v>
          </cell>
          <cell r="K1094" t="str">
            <v>Stk,W</v>
          </cell>
          <cell r="M1094">
            <v>0.20310445099295299</v>
          </cell>
          <cell r="N1094">
            <v>4</v>
          </cell>
        </row>
        <row r="1095">
          <cell r="E1095" t="str">
            <v>Arizona v California</v>
          </cell>
          <cell r="I1095" t="str">
            <v>RS</v>
          </cell>
          <cell r="K1095" t="str">
            <v>F</v>
          </cell>
          <cell r="M1095">
            <v>1.9959177004213999</v>
          </cell>
          <cell r="N1095">
            <v>4</v>
          </cell>
        </row>
        <row r="1096">
          <cell r="E1096" t="str">
            <v>Arizona v California</v>
          </cell>
          <cell r="I1096" t="str">
            <v>RS</v>
          </cell>
          <cell r="K1096" t="str">
            <v>F</v>
          </cell>
          <cell r="M1096">
            <v>0.41291817569842199</v>
          </cell>
          <cell r="N1096">
            <v>4</v>
          </cell>
        </row>
        <row r="1097">
          <cell r="E1097" t="str">
            <v>Arizona v California</v>
          </cell>
          <cell r="I1097" t="str">
            <v>RS</v>
          </cell>
          <cell r="K1097" t="str">
            <v>Fo</v>
          </cell>
          <cell r="M1097">
            <v>0.28291607707494199</v>
          </cell>
          <cell r="N1097">
            <v>3</v>
          </cell>
        </row>
        <row r="1098">
          <cell r="E1098" t="str">
            <v>Arizona v California</v>
          </cell>
          <cell r="I1098" t="str">
            <v>RS</v>
          </cell>
          <cell r="K1098" t="str">
            <v>NI</v>
          </cell>
          <cell r="M1098">
            <v>3.4036937126606999E-2</v>
          </cell>
          <cell r="N1098">
            <v>4</v>
          </cell>
        </row>
        <row r="1099">
          <cell r="E1099" t="str">
            <v>Arizona v California</v>
          </cell>
          <cell r="I1099" t="str">
            <v>RS</v>
          </cell>
          <cell r="K1099" t="str">
            <v>INP</v>
          </cell>
          <cell r="M1099">
            <v>1.4584815952692201</v>
          </cell>
          <cell r="N1099">
            <v>1</v>
          </cell>
        </row>
        <row r="1100">
          <cell r="E1100" t="str">
            <v>Arizona v California</v>
          </cell>
          <cell r="I1100" t="str">
            <v>RS</v>
          </cell>
          <cell r="K1100" t="str">
            <v>Res,W</v>
          </cell>
          <cell r="M1100">
            <v>0.67441557355648996</v>
          </cell>
          <cell r="N1100">
            <v>4</v>
          </cell>
        </row>
        <row r="1101">
          <cell r="E1101" t="str">
            <v>Arizona v California</v>
          </cell>
          <cell r="I1101" t="str">
            <v>RS</v>
          </cell>
          <cell r="K1101" t="str">
            <v>NI</v>
          </cell>
          <cell r="M1101">
            <v>0.33358124503363901</v>
          </cell>
          <cell r="N1101">
            <v>4</v>
          </cell>
        </row>
        <row r="1102">
          <cell r="E1102" t="str">
            <v>Arizona v California</v>
          </cell>
          <cell r="I1102" t="str">
            <v>RS</v>
          </cell>
          <cell r="K1102" t="str">
            <v>NI</v>
          </cell>
          <cell r="M1102">
            <v>0.38091664326131403</v>
          </cell>
          <cell r="N1102">
            <v>4</v>
          </cell>
        </row>
        <row r="1103">
          <cell r="E1103" t="str">
            <v>Arizona v California</v>
          </cell>
          <cell r="I1103" t="str">
            <v>RS</v>
          </cell>
          <cell r="K1103" t="str">
            <v>Stk,W</v>
          </cell>
          <cell r="M1103">
            <v>0.494609208483277</v>
          </cell>
          <cell r="N1103">
            <v>4</v>
          </cell>
        </row>
        <row r="1104">
          <cell r="E1104" t="str">
            <v>Arizona v California</v>
          </cell>
          <cell r="I1104" t="str">
            <v>RS</v>
          </cell>
          <cell r="K1104" t="str">
            <v>IPP</v>
          </cell>
          <cell r="M1104">
            <v>11.4848559976522</v>
          </cell>
          <cell r="N1104">
            <v>1</v>
          </cell>
        </row>
        <row r="1105">
          <cell r="E1105" t="str">
            <v>Arizona v California</v>
          </cell>
          <cell r="I1105" t="str">
            <v>RS</v>
          </cell>
          <cell r="K1105" t="str">
            <v>NI</v>
          </cell>
          <cell r="M1105">
            <v>1.12524750615831</v>
          </cell>
          <cell r="N1105">
            <v>4</v>
          </cell>
        </row>
        <row r="1106">
          <cell r="E1106" t="str">
            <v>Arizona v California</v>
          </cell>
          <cell r="I1106" t="str">
            <v>LU</v>
          </cell>
          <cell r="K1106" t="str">
            <v>Out</v>
          </cell>
          <cell r="M1106">
            <v>23.611123228676401</v>
          </cell>
          <cell r="N1106">
            <v>4</v>
          </cell>
        </row>
        <row r="1107">
          <cell r="E1107" t="str">
            <v>Arizona v California</v>
          </cell>
          <cell r="I1107" t="str">
            <v>LU</v>
          </cell>
          <cell r="K1107" t="str">
            <v>Out</v>
          </cell>
          <cell r="M1107">
            <v>2.2703638347699302</v>
          </cell>
          <cell r="N1107">
            <v>4</v>
          </cell>
        </row>
        <row r="1108">
          <cell r="E1108" t="str">
            <v>Arizona v California</v>
          </cell>
          <cell r="I1108" t="str">
            <v>LU</v>
          </cell>
          <cell r="K1108" t="str">
            <v>INP</v>
          </cell>
          <cell r="M1108">
            <v>5.3737950507627303</v>
          </cell>
          <cell r="N1108">
            <v>1</v>
          </cell>
        </row>
        <row r="1109">
          <cell r="E1109" t="str">
            <v>Arizona v California</v>
          </cell>
          <cell r="I1109" t="str">
            <v>LU</v>
          </cell>
          <cell r="K1109" t="str">
            <v>INP</v>
          </cell>
          <cell r="M1109">
            <v>3.4717946078162698</v>
          </cell>
          <cell r="N1109">
            <v>1</v>
          </cell>
        </row>
        <row r="1110">
          <cell r="E1110" t="str">
            <v>Arizona v California</v>
          </cell>
          <cell r="I1110" t="str">
            <v>LU</v>
          </cell>
          <cell r="K1110" t="str">
            <v>INP</v>
          </cell>
          <cell r="M1110">
            <v>1.1742731652504801</v>
          </cell>
          <cell r="N1110">
            <v>1</v>
          </cell>
        </row>
        <row r="1111">
          <cell r="E1111" t="str">
            <v>Arizona v California</v>
          </cell>
          <cell r="I1111" t="str">
            <v>LU</v>
          </cell>
          <cell r="K1111" t="str">
            <v>INP</v>
          </cell>
          <cell r="M1111">
            <v>3.60474951670788</v>
          </cell>
          <cell r="N1111">
            <v>1</v>
          </cell>
        </row>
        <row r="1112">
          <cell r="E1112" t="str">
            <v>Arizona v California</v>
          </cell>
          <cell r="I1112" t="str">
            <v>LU</v>
          </cell>
          <cell r="K1112" t="str">
            <v>INP</v>
          </cell>
          <cell r="M1112">
            <v>1.4092891069416</v>
          </cell>
          <cell r="N1112">
            <v>1</v>
          </cell>
        </row>
        <row r="1113">
          <cell r="E1113" t="str">
            <v>Arizona v California</v>
          </cell>
          <cell r="I1113" t="str">
            <v>LU</v>
          </cell>
          <cell r="K1113" t="str">
            <v>Stk,D</v>
          </cell>
          <cell r="M1113">
            <v>0.85460141007313495</v>
          </cell>
          <cell r="N1113">
            <v>4</v>
          </cell>
        </row>
        <row r="1114">
          <cell r="E1114" t="str">
            <v>Arizona v California</v>
          </cell>
          <cell r="I1114" t="str">
            <v>LU</v>
          </cell>
          <cell r="K1114" t="str">
            <v>Stk,D</v>
          </cell>
          <cell r="M1114">
            <v>0.380437785015801</v>
          </cell>
          <cell r="N1114">
            <v>4</v>
          </cell>
        </row>
        <row r="1115">
          <cell r="E1115" t="str">
            <v>Arizona v California</v>
          </cell>
          <cell r="I1115" t="str">
            <v>LU</v>
          </cell>
          <cell r="K1115" t="str">
            <v>INP</v>
          </cell>
          <cell r="M1115">
            <v>4.4841392392683703</v>
          </cell>
          <cell r="N1115">
            <v>1</v>
          </cell>
        </row>
        <row r="1116">
          <cell r="E1116" t="str">
            <v>Arizona v California</v>
          </cell>
          <cell r="I1116" t="str">
            <v>LU</v>
          </cell>
          <cell r="K1116" t="str">
            <v>INP</v>
          </cell>
          <cell r="M1116">
            <v>2.2756344124604002</v>
          </cell>
          <cell r="N1116">
            <v>1</v>
          </cell>
        </row>
        <row r="1117">
          <cell r="E1117" t="str">
            <v>Arizona v California</v>
          </cell>
          <cell r="I1117" t="str">
            <v>LU</v>
          </cell>
          <cell r="K1117" t="str">
            <v>INP</v>
          </cell>
          <cell r="M1117">
            <v>3.46862997792755</v>
          </cell>
          <cell r="N1117">
            <v>1</v>
          </cell>
        </row>
        <row r="1118">
          <cell r="E1118" t="str">
            <v>Arizona v California</v>
          </cell>
          <cell r="I1118" t="str">
            <v>LU</v>
          </cell>
          <cell r="K1118" t="str">
            <v>INP</v>
          </cell>
          <cell r="M1118">
            <v>1.8545698843566001</v>
          </cell>
          <cell r="N1118">
            <v>1</v>
          </cell>
        </row>
        <row r="1119">
          <cell r="E1119" t="str">
            <v>Arizona v California</v>
          </cell>
          <cell r="I1119" t="str">
            <v>LU</v>
          </cell>
          <cell r="K1119" t="str">
            <v>INP</v>
          </cell>
          <cell r="M1119">
            <v>6.97916161474686</v>
          </cell>
          <cell r="N1119">
            <v>1</v>
          </cell>
        </row>
        <row r="1120">
          <cell r="E1120" t="str">
            <v>Arizona v California</v>
          </cell>
          <cell r="I1120" t="str">
            <v>LU</v>
          </cell>
          <cell r="K1120" t="str">
            <v>Out</v>
          </cell>
          <cell r="M1120">
            <v>13.5354890142437</v>
          </cell>
          <cell r="N1120">
            <v>4</v>
          </cell>
        </row>
        <row r="1121">
          <cell r="E1121" t="str">
            <v>Arizona v California</v>
          </cell>
          <cell r="I1121" t="str">
            <v>LU</v>
          </cell>
          <cell r="K1121" t="str">
            <v>F</v>
          </cell>
          <cell r="M1121">
            <v>3.23206126499168</v>
          </cell>
          <cell r="N1121">
            <v>4</v>
          </cell>
        </row>
        <row r="1122">
          <cell r="E1122" t="str">
            <v>Arizona v California</v>
          </cell>
          <cell r="I1122" t="str">
            <v>LU</v>
          </cell>
          <cell r="K1122" t="str">
            <v>F</v>
          </cell>
          <cell r="M1122">
            <v>1.0901487169357</v>
          </cell>
          <cell r="N1122">
            <v>4</v>
          </cell>
        </row>
        <row r="1123">
          <cell r="E1123" t="str">
            <v>Arizona v California</v>
          </cell>
          <cell r="I1123" t="str">
            <v>LU</v>
          </cell>
          <cell r="K1123" t="str">
            <v>F</v>
          </cell>
          <cell r="M1123">
            <v>4.2319787213616999</v>
          </cell>
          <cell r="N1123">
            <v>4</v>
          </cell>
        </row>
        <row r="1124">
          <cell r="E1124" t="str">
            <v>Arizona v California</v>
          </cell>
          <cell r="I1124" t="str">
            <v>LU</v>
          </cell>
          <cell r="K1124" t="str">
            <v>Stk,D</v>
          </cell>
          <cell r="M1124">
            <v>0.45445791071873698</v>
          </cell>
          <cell r="N1124">
            <v>4</v>
          </cell>
        </row>
        <row r="1125">
          <cell r="E1125" t="str">
            <v>Arizona v California</v>
          </cell>
          <cell r="I1125" t="str">
            <v>LU</v>
          </cell>
          <cell r="K1125" t="str">
            <v>Out</v>
          </cell>
          <cell r="M1125">
            <v>36.4044372629252</v>
          </cell>
          <cell r="N1125">
            <v>4</v>
          </cell>
        </row>
        <row r="1126">
          <cell r="E1126" t="str">
            <v>Arizona v California</v>
          </cell>
          <cell r="I1126" t="str">
            <v>LU</v>
          </cell>
          <cell r="K1126" t="str">
            <v>Out</v>
          </cell>
          <cell r="M1126">
            <v>0.69219203224467596</v>
          </cell>
          <cell r="N1126">
            <v>4</v>
          </cell>
        </row>
        <row r="1127">
          <cell r="E1127" t="str">
            <v>Arizona v California</v>
          </cell>
          <cell r="I1127" t="str">
            <v>LU</v>
          </cell>
          <cell r="K1127" t="str">
            <v>Out</v>
          </cell>
          <cell r="M1127">
            <v>6.1873473563532997</v>
          </cell>
          <cell r="N1127">
            <v>4</v>
          </cell>
        </row>
        <row r="1128">
          <cell r="E1128" t="str">
            <v>Arizona v California</v>
          </cell>
          <cell r="I1128" t="str">
            <v>LU</v>
          </cell>
          <cell r="K1128" t="str">
            <v>Out</v>
          </cell>
          <cell r="M1128">
            <v>18.568487712601399</v>
          </cell>
          <cell r="N1128">
            <v>4</v>
          </cell>
        </row>
        <row r="1129">
          <cell r="E1129" t="str">
            <v>Arizona v California</v>
          </cell>
          <cell r="I1129" t="str">
            <v>LU</v>
          </cell>
          <cell r="K1129" t="str">
            <v>Out</v>
          </cell>
          <cell r="M1129">
            <v>14.500875513112399</v>
          </cell>
          <cell r="N1129">
            <v>4</v>
          </cell>
        </row>
        <row r="1130">
          <cell r="E1130" t="str">
            <v>Arizona v California</v>
          </cell>
          <cell r="I1130" t="str">
            <v>LU</v>
          </cell>
          <cell r="K1130" t="str">
            <v>F</v>
          </cell>
          <cell r="M1130">
            <v>17.013488983482102</v>
          </cell>
          <cell r="N1130">
            <v>4</v>
          </cell>
        </row>
        <row r="1131">
          <cell r="E1131" t="str">
            <v>Arizona v California</v>
          </cell>
          <cell r="I1131" t="str">
            <v>LU</v>
          </cell>
          <cell r="K1131" t="str">
            <v>Out</v>
          </cell>
          <cell r="M1131">
            <v>12.9540041670428</v>
          </cell>
          <cell r="N1131">
            <v>4</v>
          </cell>
        </row>
        <row r="1132">
          <cell r="E1132" t="str">
            <v>Arizona v California</v>
          </cell>
          <cell r="I1132" t="str">
            <v>LU</v>
          </cell>
          <cell r="K1132" t="str">
            <v>Out</v>
          </cell>
          <cell r="M1132">
            <v>8.3654460019531793</v>
          </cell>
          <cell r="N1132">
            <v>4</v>
          </cell>
        </row>
        <row r="1133">
          <cell r="E1133" t="str">
            <v>Arizona v California</v>
          </cell>
          <cell r="I1133" t="str">
            <v>LU</v>
          </cell>
          <cell r="K1133" t="str">
            <v>Out</v>
          </cell>
          <cell r="M1133">
            <v>22.6833269889981</v>
          </cell>
          <cell r="N1133">
            <v>4</v>
          </cell>
        </row>
        <row r="1134">
          <cell r="E1134" t="str">
            <v>Arizona v California</v>
          </cell>
          <cell r="I1134" t="str">
            <v>LU</v>
          </cell>
          <cell r="K1134" t="str">
            <v>Out</v>
          </cell>
          <cell r="M1134">
            <v>1.6976521532703499</v>
          </cell>
          <cell r="N1134">
            <v>4</v>
          </cell>
        </row>
        <row r="1135">
          <cell r="E1135" t="str">
            <v>Arizona v California</v>
          </cell>
          <cell r="I1135" t="str">
            <v>LU</v>
          </cell>
          <cell r="K1135" t="str">
            <v>Out</v>
          </cell>
          <cell r="M1135">
            <v>1.0987894908012401</v>
          </cell>
          <cell r="N1135">
            <v>4</v>
          </cell>
        </row>
        <row r="1136">
          <cell r="E1136" t="str">
            <v>Arizona v California</v>
          </cell>
          <cell r="I1136" t="str">
            <v>LU</v>
          </cell>
          <cell r="K1136" t="str">
            <v>Out</v>
          </cell>
          <cell r="M1136">
            <v>5.2976325598456997</v>
          </cell>
          <cell r="N1136">
            <v>4</v>
          </cell>
        </row>
        <row r="1137">
          <cell r="E1137" t="str">
            <v>Arizona v California</v>
          </cell>
          <cell r="I1137" t="str">
            <v>LU</v>
          </cell>
          <cell r="K1137" t="str">
            <v>F</v>
          </cell>
          <cell r="M1137">
            <v>4.8860142288212103</v>
          </cell>
          <cell r="N1137">
            <v>4</v>
          </cell>
        </row>
        <row r="1138">
          <cell r="E1138" t="str">
            <v>Arizona v California</v>
          </cell>
          <cell r="I1138" t="str">
            <v>LU</v>
          </cell>
          <cell r="K1138" t="str">
            <v>INP</v>
          </cell>
          <cell r="M1138">
            <v>8.3864338888897301</v>
          </cell>
          <cell r="N1138">
            <v>1</v>
          </cell>
        </row>
        <row r="1139">
          <cell r="E1139" t="str">
            <v>Arizona v California</v>
          </cell>
          <cell r="I1139" t="str">
            <v>LU</v>
          </cell>
          <cell r="K1139" t="str">
            <v>Out</v>
          </cell>
          <cell r="M1139">
            <v>12.87422301064</v>
          </cell>
          <cell r="N1139">
            <v>4</v>
          </cell>
        </row>
        <row r="1140">
          <cell r="E1140" t="str">
            <v>Arizona v California</v>
          </cell>
          <cell r="I1140" t="str">
            <v>LU</v>
          </cell>
          <cell r="K1140" t="str">
            <v>Out</v>
          </cell>
          <cell r="M1140">
            <v>1.5390977976509099</v>
          </cell>
          <cell r="N1140">
            <v>4</v>
          </cell>
        </row>
        <row r="1141">
          <cell r="E1141" t="str">
            <v>Arizona v California</v>
          </cell>
          <cell r="I1141" t="str">
            <v>LU</v>
          </cell>
          <cell r="K1141" t="str">
            <v>INP</v>
          </cell>
          <cell r="M1141">
            <v>6.05937964759939</v>
          </cell>
          <cell r="N1141">
            <v>1</v>
          </cell>
        </row>
        <row r="1142">
          <cell r="E1142" t="str">
            <v>Arizona v California</v>
          </cell>
          <cell r="I1142" t="str">
            <v>LU</v>
          </cell>
          <cell r="K1142" t="str">
            <v>Out</v>
          </cell>
          <cell r="M1142">
            <v>100.565444055821</v>
          </cell>
          <cell r="N1142">
            <v>4</v>
          </cell>
        </row>
        <row r="1143">
          <cell r="E1143" t="str">
            <v>Arizona v California</v>
          </cell>
          <cell r="I1143" t="str">
            <v>LU</v>
          </cell>
          <cell r="K1143" t="str">
            <v>F</v>
          </cell>
          <cell r="M1143">
            <v>3.4185066641411899</v>
          </cell>
          <cell r="N1143">
            <v>4</v>
          </cell>
        </row>
        <row r="1144">
          <cell r="E1144" t="str">
            <v>Arizona v California</v>
          </cell>
          <cell r="I1144" t="str">
            <v>LU</v>
          </cell>
          <cell r="K1144" t="str">
            <v>F</v>
          </cell>
          <cell r="M1144">
            <v>1.67278086547617</v>
          </cell>
          <cell r="N1144">
            <v>4</v>
          </cell>
        </row>
        <row r="1145">
          <cell r="E1145" t="str">
            <v>Arizona v California</v>
          </cell>
          <cell r="I1145" t="str">
            <v>LU</v>
          </cell>
          <cell r="K1145" t="str">
            <v>INP</v>
          </cell>
          <cell r="M1145">
            <v>1.8392803258744601</v>
          </cell>
          <cell r="N1145">
            <v>1</v>
          </cell>
        </row>
        <row r="1146">
          <cell r="E1146" t="str">
            <v>Arizona v California</v>
          </cell>
          <cell r="I1146" t="str">
            <v>LU</v>
          </cell>
          <cell r="K1146" t="str">
            <v>INP</v>
          </cell>
          <cell r="M1146">
            <v>0.41418492047066602</v>
          </cell>
          <cell r="N1146">
            <v>1</v>
          </cell>
        </row>
        <row r="1147">
          <cell r="E1147" t="str">
            <v>Arizona v California</v>
          </cell>
          <cell r="I1147" t="str">
            <v>LU</v>
          </cell>
          <cell r="K1147" t="str">
            <v>Out</v>
          </cell>
          <cell r="M1147">
            <v>4.4259356365171501</v>
          </cell>
          <cell r="N1147">
            <v>4</v>
          </cell>
        </row>
        <row r="1148">
          <cell r="E1148" t="str">
            <v>Arizona v California</v>
          </cell>
          <cell r="I1148" t="str">
            <v>LU</v>
          </cell>
          <cell r="K1148" t="str">
            <v>INP</v>
          </cell>
          <cell r="M1148">
            <v>12.2343457057774</v>
          </cell>
          <cell r="N1148">
            <v>2</v>
          </cell>
        </row>
        <row r="1149">
          <cell r="E1149" t="str">
            <v>Arizona v California</v>
          </cell>
          <cell r="I1149" t="str">
            <v>LU</v>
          </cell>
          <cell r="K1149" t="str">
            <v>Res,D</v>
          </cell>
          <cell r="M1149">
            <v>0.235500955094857</v>
          </cell>
          <cell r="N1149">
            <v>4</v>
          </cell>
        </row>
        <row r="1150">
          <cell r="E1150" t="str">
            <v>Arizona v California</v>
          </cell>
          <cell r="I1150" t="str">
            <v>LU</v>
          </cell>
          <cell r="K1150" t="str">
            <v>F</v>
          </cell>
          <cell r="M1150">
            <v>4.5142595317493299</v>
          </cell>
          <cell r="N1150">
            <v>4</v>
          </cell>
        </row>
        <row r="1151">
          <cell r="E1151" t="str">
            <v>Arizona v California</v>
          </cell>
          <cell r="I1151" t="str">
            <v>LU</v>
          </cell>
          <cell r="K1151" t="str">
            <v>F</v>
          </cell>
          <cell r="M1151">
            <v>11.6423920986638</v>
          </cell>
          <cell r="N1151">
            <v>4</v>
          </cell>
        </row>
        <row r="1152">
          <cell r="E1152" t="str">
            <v>Arizona v California</v>
          </cell>
          <cell r="I1152" t="str">
            <v>LU</v>
          </cell>
          <cell r="K1152" t="str">
            <v>F</v>
          </cell>
          <cell r="M1152">
            <v>0.57061458809730103</v>
          </cell>
          <cell r="N1152">
            <v>4</v>
          </cell>
        </row>
        <row r="1153">
          <cell r="E1153" t="str">
            <v>Arizona v California</v>
          </cell>
          <cell r="I1153" t="str">
            <v>LU</v>
          </cell>
          <cell r="K1153" t="str">
            <v>Out</v>
          </cell>
          <cell r="M1153">
            <v>41.0171881845556</v>
          </cell>
          <cell r="N1153">
            <v>4</v>
          </cell>
        </row>
        <row r="1154">
          <cell r="E1154" t="str">
            <v>Arizona v California</v>
          </cell>
          <cell r="I1154" t="str">
            <v>LU</v>
          </cell>
          <cell r="K1154" t="str">
            <v>Res,W</v>
          </cell>
          <cell r="M1154">
            <v>0.300679968651477</v>
          </cell>
          <cell r="N1154">
            <v>4</v>
          </cell>
        </row>
        <row r="1155">
          <cell r="E1155" t="str">
            <v>Arizona v California</v>
          </cell>
          <cell r="I1155" t="str">
            <v>LU</v>
          </cell>
          <cell r="K1155" t="str">
            <v>F</v>
          </cell>
          <cell r="M1155">
            <v>46.401374158354699</v>
          </cell>
          <cell r="N1155">
            <v>4</v>
          </cell>
        </row>
        <row r="1156">
          <cell r="E1156" t="str">
            <v>Arizona v California</v>
          </cell>
          <cell r="I1156" t="str">
            <v>LU</v>
          </cell>
          <cell r="K1156" t="str">
            <v>Out</v>
          </cell>
          <cell r="M1156">
            <v>12.9675957969395</v>
          </cell>
          <cell r="N1156">
            <v>4</v>
          </cell>
        </row>
        <row r="1157">
          <cell r="E1157" t="str">
            <v>Arizona v California</v>
          </cell>
          <cell r="I1157" t="str">
            <v>LU</v>
          </cell>
          <cell r="K1157" t="str">
            <v>Out</v>
          </cell>
          <cell r="M1157">
            <v>21.1626117577865</v>
          </cell>
          <cell r="N1157">
            <v>4</v>
          </cell>
        </row>
        <row r="1158">
          <cell r="E1158" t="str">
            <v>Arizona v California</v>
          </cell>
          <cell r="I1158" t="str">
            <v>LU</v>
          </cell>
          <cell r="K1158" t="str">
            <v>F</v>
          </cell>
          <cell r="M1158">
            <v>0.78742479827879297</v>
          </cell>
          <cell r="N1158">
            <v>4</v>
          </cell>
        </row>
        <row r="1159">
          <cell r="E1159" t="str">
            <v>Arizona v California</v>
          </cell>
          <cell r="I1159" t="str">
            <v>LU</v>
          </cell>
          <cell r="K1159" t="str">
            <v>Res,D</v>
          </cell>
          <cell r="M1159">
            <v>0.51160294805462503</v>
          </cell>
          <cell r="N1159">
            <v>4</v>
          </cell>
        </row>
        <row r="1160">
          <cell r="E1160" t="str">
            <v>Arizona v California</v>
          </cell>
          <cell r="I1160" t="str">
            <v>LU</v>
          </cell>
          <cell r="K1160" t="str">
            <v>Out</v>
          </cell>
          <cell r="M1160">
            <v>9.7388574495303998E-2</v>
          </cell>
          <cell r="N1160">
            <v>4</v>
          </cell>
        </row>
        <row r="1161">
          <cell r="E1161" t="str">
            <v>Arizona v California</v>
          </cell>
          <cell r="I1161" t="str">
            <v>LU</v>
          </cell>
          <cell r="K1161" t="str">
            <v>Out</v>
          </cell>
          <cell r="M1161">
            <v>4.2562297316911497</v>
          </cell>
          <cell r="N1161">
            <v>4</v>
          </cell>
        </row>
        <row r="1162">
          <cell r="E1162" t="str">
            <v>Arizona v California</v>
          </cell>
          <cell r="I1162" t="str">
            <v>LU</v>
          </cell>
          <cell r="K1162" t="str">
            <v>F</v>
          </cell>
          <cell r="M1162">
            <v>3.9643615933926202</v>
          </cell>
          <cell r="N1162">
            <v>4</v>
          </cell>
        </row>
        <row r="1163">
          <cell r="E1163" t="str">
            <v>Arizona v California</v>
          </cell>
          <cell r="I1163" t="str">
            <v>LU</v>
          </cell>
          <cell r="K1163" t="str">
            <v>Out</v>
          </cell>
          <cell r="M1163">
            <v>15.6311691824465</v>
          </cell>
          <cell r="N1163">
            <v>4</v>
          </cell>
        </row>
        <row r="1164">
          <cell r="E1164" t="str">
            <v>Arizona v California</v>
          </cell>
          <cell r="I1164" t="str">
            <v>LU</v>
          </cell>
          <cell r="K1164" t="str">
            <v>Out</v>
          </cell>
          <cell r="M1164">
            <v>0.10143922772741799</v>
          </cell>
          <cell r="N1164">
            <v>4</v>
          </cell>
        </row>
        <row r="1165">
          <cell r="E1165" t="str">
            <v>Arizona v California</v>
          </cell>
          <cell r="I1165" t="str">
            <v>LU</v>
          </cell>
          <cell r="K1165" t="str">
            <v>Out</v>
          </cell>
          <cell r="M1165">
            <v>13.859619702825199</v>
          </cell>
          <cell r="N1165">
            <v>4</v>
          </cell>
        </row>
        <row r="1166">
          <cell r="E1166" t="str">
            <v>Arizona v California</v>
          </cell>
          <cell r="I1166" t="str">
            <v>LU</v>
          </cell>
          <cell r="K1166" t="str">
            <v>Out</v>
          </cell>
          <cell r="M1166">
            <v>0.57618443003422304</v>
          </cell>
          <cell r="N1166">
            <v>4</v>
          </cell>
        </row>
        <row r="1167">
          <cell r="E1167" t="str">
            <v>Arizona v California</v>
          </cell>
          <cell r="I1167" t="str">
            <v>LU</v>
          </cell>
          <cell r="K1167" t="str">
            <v>Out</v>
          </cell>
          <cell r="M1167">
            <v>0.123754398480924</v>
          </cell>
          <cell r="N1167">
            <v>4</v>
          </cell>
        </row>
        <row r="1168">
          <cell r="E1168" t="str">
            <v>Arizona v California</v>
          </cell>
          <cell r="I1168" t="str">
            <v>LU</v>
          </cell>
          <cell r="K1168" t="str">
            <v>F</v>
          </cell>
          <cell r="M1168">
            <v>2.1379320224313099</v>
          </cell>
          <cell r="N1168">
            <v>4</v>
          </cell>
        </row>
        <row r="1169">
          <cell r="E1169" t="str">
            <v>Arizona v California</v>
          </cell>
          <cell r="I1169" t="str">
            <v>LU</v>
          </cell>
          <cell r="K1169" t="str">
            <v>F</v>
          </cell>
          <cell r="M1169">
            <v>0.27604422727172001</v>
          </cell>
          <cell r="N1169">
            <v>4</v>
          </cell>
        </row>
        <row r="1170">
          <cell r="E1170" t="str">
            <v>Arizona v California</v>
          </cell>
          <cell r="I1170" t="str">
            <v>LU</v>
          </cell>
          <cell r="K1170" t="str">
            <v>F</v>
          </cell>
          <cell r="M1170">
            <v>0.14330622173030999</v>
          </cell>
          <cell r="N1170">
            <v>4</v>
          </cell>
        </row>
        <row r="1171">
          <cell r="E1171" t="str">
            <v>Arizona v California</v>
          </cell>
          <cell r="I1171" t="str">
            <v>LU</v>
          </cell>
          <cell r="K1171" t="str">
            <v>F</v>
          </cell>
          <cell r="M1171">
            <v>6.1990027699455696</v>
          </cell>
          <cell r="N1171">
            <v>4</v>
          </cell>
        </row>
        <row r="1172">
          <cell r="E1172" t="str">
            <v>Arizona v California</v>
          </cell>
          <cell r="I1172" t="str">
            <v>LU</v>
          </cell>
          <cell r="K1172" t="str">
            <v>F</v>
          </cell>
          <cell r="M1172">
            <v>2.86628071712782</v>
          </cell>
          <cell r="N1172">
            <v>4</v>
          </cell>
        </row>
        <row r="1173">
          <cell r="E1173" t="str">
            <v>Arizona v California</v>
          </cell>
          <cell r="I1173" t="str">
            <v>LU</v>
          </cell>
          <cell r="K1173" t="str">
            <v>F</v>
          </cell>
          <cell r="M1173">
            <v>5.9979864341731099</v>
          </cell>
          <cell r="N1173">
            <v>4</v>
          </cell>
        </row>
        <row r="1174">
          <cell r="E1174" t="str">
            <v>Arizona v California</v>
          </cell>
          <cell r="I1174" t="str">
            <v>LU</v>
          </cell>
          <cell r="K1174" t="str">
            <v>F</v>
          </cell>
          <cell r="M1174">
            <v>7.85716927456685</v>
          </cell>
          <cell r="N1174">
            <v>4</v>
          </cell>
        </row>
        <row r="1175">
          <cell r="E1175" t="str">
            <v>Arizona v California</v>
          </cell>
          <cell r="I1175" t="str">
            <v>LU</v>
          </cell>
          <cell r="K1175" t="str">
            <v>DSL</v>
          </cell>
          <cell r="M1175">
            <v>0.47104179941603203</v>
          </cell>
          <cell r="N1175">
            <v>2</v>
          </cell>
        </row>
        <row r="1176">
          <cell r="E1176" t="str">
            <v>Arizona v California</v>
          </cell>
          <cell r="I1176" t="str">
            <v>LU</v>
          </cell>
          <cell r="K1176" t="str">
            <v>Stk,W</v>
          </cell>
          <cell r="M1176">
            <v>0.16353394373347899</v>
          </cell>
          <cell r="N1176">
            <v>4</v>
          </cell>
        </row>
        <row r="1177">
          <cell r="E1177" t="str">
            <v>Arizona v California</v>
          </cell>
          <cell r="I1177" t="str">
            <v>LU</v>
          </cell>
          <cell r="K1177" t="str">
            <v>Out</v>
          </cell>
          <cell r="M1177">
            <v>15.2200414399547</v>
          </cell>
          <cell r="N1177">
            <v>4</v>
          </cell>
        </row>
        <row r="1178">
          <cell r="E1178" t="str">
            <v>Arizona v California</v>
          </cell>
          <cell r="I1178" t="str">
            <v>LU</v>
          </cell>
          <cell r="K1178" t="str">
            <v>DSL</v>
          </cell>
          <cell r="M1178">
            <v>0.54479387017376002</v>
          </cell>
          <cell r="N1178">
            <v>2</v>
          </cell>
        </row>
        <row r="1179">
          <cell r="E1179" t="str">
            <v>Arizona v California</v>
          </cell>
          <cell r="I1179" t="str">
            <v>LU</v>
          </cell>
          <cell r="K1179" t="str">
            <v>Out</v>
          </cell>
          <cell r="M1179">
            <v>1.0209596994183201</v>
          </cell>
          <cell r="N1179">
            <v>4</v>
          </cell>
        </row>
        <row r="1180">
          <cell r="E1180" t="str">
            <v>Arizona v California</v>
          </cell>
          <cell r="I1180" t="str">
            <v>LU</v>
          </cell>
          <cell r="K1180" t="str">
            <v>Out</v>
          </cell>
          <cell r="M1180">
            <v>0.323505490597844</v>
          </cell>
          <cell r="N1180">
            <v>4</v>
          </cell>
        </row>
        <row r="1181">
          <cell r="E1181" t="str">
            <v>Arizona v California</v>
          </cell>
          <cell r="I1181" t="str">
            <v>LU</v>
          </cell>
          <cell r="K1181" t="str">
            <v>F</v>
          </cell>
          <cell r="M1181">
            <v>0.72679979656978499</v>
          </cell>
          <cell r="N1181">
            <v>4</v>
          </cell>
        </row>
        <row r="1182">
          <cell r="E1182" t="str">
            <v>Arizona v California</v>
          </cell>
          <cell r="I1182" t="str">
            <v>LU</v>
          </cell>
          <cell r="K1182" t="str">
            <v>F</v>
          </cell>
          <cell r="M1182">
            <v>1.82297078961306</v>
          </cell>
          <cell r="N1182">
            <v>4</v>
          </cell>
        </row>
        <row r="1183">
          <cell r="E1183" t="str">
            <v>Arizona v California</v>
          </cell>
          <cell r="I1183" t="str">
            <v>LU</v>
          </cell>
          <cell r="K1183" t="str">
            <v>Out</v>
          </cell>
          <cell r="M1183">
            <v>7.2267703438245601</v>
          </cell>
          <cell r="N1183">
            <v>4</v>
          </cell>
        </row>
        <row r="1184">
          <cell r="E1184" t="str">
            <v>Arizona v California</v>
          </cell>
          <cell r="I1184" t="str">
            <v>LU</v>
          </cell>
          <cell r="K1184" t="str">
            <v>F</v>
          </cell>
          <cell r="M1184">
            <v>2.80561350160652</v>
          </cell>
          <cell r="N1184">
            <v>4</v>
          </cell>
        </row>
        <row r="1185">
          <cell r="E1185" t="str">
            <v>Arizona v California</v>
          </cell>
          <cell r="I1185" t="str">
            <v>LU</v>
          </cell>
          <cell r="K1185" t="str">
            <v>Out</v>
          </cell>
          <cell r="M1185">
            <v>4.5766812214024002</v>
          </cell>
          <cell r="N1185">
            <v>4</v>
          </cell>
        </row>
        <row r="1186">
          <cell r="E1186" t="str">
            <v>Arizona v California</v>
          </cell>
          <cell r="I1186" t="str">
            <v>LU</v>
          </cell>
          <cell r="K1186" t="str">
            <v>Out</v>
          </cell>
          <cell r="M1186">
            <v>6.1121268358863796</v>
          </cell>
          <cell r="N1186">
            <v>4</v>
          </cell>
        </row>
        <row r="1187">
          <cell r="E1187" t="str">
            <v>Arizona v California</v>
          </cell>
          <cell r="I1187" t="str">
            <v>LU</v>
          </cell>
          <cell r="K1187" t="str">
            <v>F</v>
          </cell>
          <cell r="M1187">
            <v>1.2945898653691099</v>
          </cell>
          <cell r="N1187">
            <v>4</v>
          </cell>
        </row>
        <row r="1188">
          <cell r="E1188" t="str">
            <v>Arizona v California</v>
          </cell>
          <cell r="I1188" t="str">
            <v>LU</v>
          </cell>
          <cell r="K1188" t="str">
            <v>F</v>
          </cell>
          <cell r="M1188">
            <v>1.2127217629817599</v>
          </cell>
          <cell r="N1188">
            <v>4</v>
          </cell>
        </row>
        <row r="1189">
          <cell r="E1189" t="str">
            <v>Arizona v California</v>
          </cell>
          <cell r="I1189" t="str">
            <v>LU</v>
          </cell>
          <cell r="K1189" t="str">
            <v>INP</v>
          </cell>
          <cell r="M1189">
            <v>19.639935152037101</v>
          </cell>
          <cell r="N1189">
            <v>1</v>
          </cell>
        </row>
        <row r="1190">
          <cell r="E1190" t="str">
            <v>Arizona v California</v>
          </cell>
          <cell r="I1190" t="str">
            <v>LU</v>
          </cell>
          <cell r="K1190" t="str">
            <v>F</v>
          </cell>
          <cell r="M1190">
            <v>0.32754687894338602</v>
          </cell>
          <cell r="N1190">
            <v>4</v>
          </cell>
        </row>
        <row r="1191">
          <cell r="E1191" t="str">
            <v>Arizona v California</v>
          </cell>
          <cell r="I1191" t="str">
            <v>LU</v>
          </cell>
          <cell r="K1191" t="str">
            <v>Out</v>
          </cell>
          <cell r="M1191">
            <v>1.2977687023873301</v>
          </cell>
          <cell r="N1191">
            <v>4</v>
          </cell>
        </row>
        <row r="1192">
          <cell r="E1192" t="str">
            <v>Arizona v California</v>
          </cell>
          <cell r="I1192" t="str">
            <v>LU</v>
          </cell>
          <cell r="K1192" t="str">
            <v>F</v>
          </cell>
          <cell r="M1192">
            <v>2.0057277914954499</v>
          </cell>
          <cell r="N1192">
            <v>4</v>
          </cell>
        </row>
        <row r="1193">
          <cell r="E1193" t="str">
            <v>Arizona v California</v>
          </cell>
          <cell r="I1193" t="str">
            <v>LU</v>
          </cell>
          <cell r="K1193" t="str">
            <v>INP</v>
          </cell>
          <cell r="M1193">
            <v>7.3641004017825704</v>
          </cell>
          <cell r="N1193">
            <v>1</v>
          </cell>
        </row>
        <row r="1194">
          <cell r="E1194" t="str">
            <v>Arizona v California</v>
          </cell>
          <cell r="I1194" t="str">
            <v>LU</v>
          </cell>
          <cell r="K1194" t="str">
            <v>Out</v>
          </cell>
          <cell r="M1194">
            <v>9.8479904495635004</v>
          </cell>
          <cell r="N1194">
            <v>4</v>
          </cell>
        </row>
        <row r="1195">
          <cell r="E1195" t="str">
            <v>Arizona v California</v>
          </cell>
          <cell r="I1195" t="str">
            <v>LU</v>
          </cell>
          <cell r="K1195" t="str">
            <v>Out</v>
          </cell>
          <cell r="M1195">
            <v>2.2443304668511401</v>
          </cell>
          <cell r="N1195">
            <v>4</v>
          </cell>
        </row>
        <row r="1196">
          <cell r="E1196" t="str">
            <v>Arizona v California</v>
          </cell>
          <cell r="I1196" t="str">
            <v>LU</v>
          </cell>
          <cell r="K1196" t="str">
            <v>F</v>
          </cell>
          <cell r="M1196">
            <v>0.80065762263678597</v>
          </cell>
          <cell r="N1196">
            <v>4</v>
          </cell>
        </row>
        <row r="1197">
          <cell r="E1197" t="str">
            <v>Arizona v California</v>
          </cell>
          <cell r="I1197" t="str">
            <v>LU</v>
          </cell>
          <cell r="K1197" t="str">
            <v>Out</v>
          </cell>
          <cell r="M1197">
            <v>0.39742326437063402</v>
          </cell>
          <cell r="N1197">
            <v>4</v>
          </cell>
        </row>
        <row r="1198">
          <cell r="E1198" t="str">
            <v>Arizona v California</v>
          </cell>
          <cell r="I1198" t="str">
            <v>LU</v>
          </cell>
          <cell r="K1198" t="str">
            <v>Out</v>
          </cell>
          <cell r="M1198">
            <v>0.31381473318697201</v>
          </cell>
          <cell r="N1198">
            <v>4</v>
          </cell>
        </row>
        <row r="1199">
          <cell r="E1199" t="str">
            <v>Arizona v California</v>
          </cell>
          <cell r="I1199" t="str">
            <v>LU</v>
          </cell>
          <cell r="K1199" t="str">
            <v>Out</v>
          </cell>
          <cell r="M1199">
            <v>8.8364241049037595</v>
          </cell>
          <cell r="N1199">
            <v>4</v>
          </cell>
        </row>
        <row r="1200">
          <cell r="E1200" t="str">
            <v>Arizona v California</v>
          </cell>
          <cell r="I1200" t="str">
            <v>LU</v>
          </cell>
          <cell r="K1200" t="str">
            <v>F</v>
          </cell>
          <cell r="M1200">
            <v>3.05228617083251</v>
          </cell>
          <cell r="N1200">
            <v>4</v>
          </cell>
        </row>
        <row r="1201">
          <cell r="E1201" t="str">
            <v>Arizona v California</v>
          </cell>
          <cell r="I1201" t="str">
            <v>LU</v>
          </cell>
          <cell r="K1201" t="str">
            <v>Out</v>
          </cell>
          <cell r="M1201">
            <v>4.0646134254551098</v>
          </cell>
          <cell r="N1201">
            <v>4</v>
          </cell>
        </row>
        <row r="1202">
          <cell r="E1202" t="str">
            <v>Arizona v California</v>
          </cell>
          <cell r="I1202" t="str">
            <v>LU</v>
          </cell>
          <cell r="K1202" t="str">
            <v>F</v>
          </cell>
          <cell r="M1202">
            <v>0.69462418352147504</v>
          </cell>
          <cell r="N1202">
            <v>4</v>
          </cell>
        </row>
        <row r="1203">
          <cell r="E1203" t="str">
            <v>Arizona v California</v>
          </cell>
          <cell r="I1203" t="str">
            <v>LU</v>
          </cell>
          <cell r="K1203" t="str">
            <v>F</v>
          </cell>
          <cell r="M1203">
            <v>0.48788379526768699</v>
          </cell>
          <cell r="N1203">
            <v>4</v>
          </cell>
        </row>
        <row r="1204">
          <cell r="E1204" t="str">
            <v>Arizona v California</v>
          </cell>
          <cell r="I1204" t="str">
            <v>LU</v>
          </cell>
          <cell r="K1204" t="str">
            <v>INP</v>
          </cell>
          <cell r="M1204">
            <v>3.8001136376620601</v>
          </cell>
          <cell r="N1204">
            <v>1</v>
          </cell>
        </row>
        <row r="1205">
          <cell r="E1205" t="str">
            <v>Arizona v California</v>
          </cell>
          <cell r="I1205" t="str">
            <v>LU</v>
          </cell>
          <cell r="K1205" t="str">
            <v>Out</v>
          </cell>
          <cell r="M1205">
            <v>0.16184083853714801</v>
          </cell>
          <cell r="N1205">
            <v>4</v>
          </cell>
        </row>
        <row r="1206">
          <cell r="E1206" t="str">
            <v>Arizona v California</v>
          </cell>
          <cell r="I1206" t="str">
            <v>LU</v>
          </cell>
          <cell r="K1206" t="str">
            <v>F</v>
          </cell>
          <cell r="M1206">
            <v>0.472414375275094</v>
          </cell>
          <cell r="N1206">
            <v>4</v>
          </cell>
        </row>
        <row r="1207">
          <cell r="E1207" t="str">
            <v>Arizona v California</v>
          </cell>
          <cell r="I1207" t="str">
            <v>LU</v>
          </cell>
          <cell r="K1207" t="str">
            <v>F</v>
          </cell>
          <cell r="M1207">
            <v>0.40204695742178298</v>
          </cell>
          <cell r="N1207">
            <v>4</v>
          </cell>
        </row>
        <row r="1208">
          <cell r="E1208" t="str">
            <v>Arizona v California</v>
          </cell>
          <cell r="I1208" t="str">
            <v>LU</v>
          </cell>
          <cell r="K1208" t="str">
            <v>Stk,D</v>
          </cell>
          <cell r="M1208">
            <v>0.39719434425863798</v>
          </cell>
          <cell r="N1208">
            <v>4</v>
          </cell>
        </row>
        <row r="1209">
          <cell r="E1209" t="str">
            <v>Arizona v California</v>
          </cell>
          <cell r="I1209" t="str">
            <v>LU</v>
          </cell>
          <cell r="K1209" t="str">
            <v>Out</v>
          </cell>
          <cell r="M1209">
            <v>0.20792745655530401</v>
          </cell>
          <cell r="N1209">
            <v>4</v>
          </cell>
        </row>
        <row r="1210">
          <cell r="E1210" t="str">
            <v>Arizona v California</v>
          </cell>
          <cell r="I1210" t="str">
            <v>LU</v>
          </cell>
          <cell r="K1210" t="str">
            <v>F</v>
          </cell>
          <cell r="M1210">
            <v>2.4129487573468098</v>
          </cell>
          <cell r="N1210">
            <v>4</v>
          </cell>
        </row>
        <row r="1211">
          <cell r="E1211" t="str">
            <v>Arizona v California</v>
          </cell>
          <cell r="I1211" t="str">
            <v>LU</v>
          </cell>
          <cell r="K1211" t="str">
            <v>Out</v>
          </cell>
          <cell r="M1211">
            <v>0.86186092550549198</v>
          </cell>
          <cell r="N1211">
            <v>4</v>
          </cell>
        </row>
        <row r="1212">
          <cell r="E1212" t="str">
            <v>Arizona v California</v>
          </cell>
          <cell r="I1212" t="str">
            <v>LU</v>
          </cell>
          <cell r="K1212" t="str">
            <v>Out</v>
          </cell>
          <cell r="M1212">
            <v>7.4118638932200998E-2</v>
          </cell>
          <cell r="N1212">
            <v>4</v>
          </cell>
        </row>
        <row r="1213">
          <cell r="E1213" t="str">
            <v>Arizona v California</v>
          </cell>
          <cell r="I1213" t="str">
            <v>LU</v>
          </cell>
          <cell r="K1213" t="str">
            <v>Out</v>
          </cell>
          <cell r="M1213">
            <v>22.322419037013098</v>
          </cell>
          <cell r="N1213">
            <v>4</v>
          </cell>
        </row>
        <row r="1214">
          <cell r="E1214" t="str">
            <v>Arizona v California</v>
          </cell>
          <cell r="I1214" t="str">
            <v>LU</v>
          </cell>
          <cell r="K1214" t="str">
            <v>F</v>
          </cell>
          <cell r="M1214">
            <v>1.8608129126764901</v>
          </cell>
          <cell r="N1214">
            <v>4</v>
          </cell>
        </row>
        <row r="1215">
          <cell r="E1215" t="str">
            <v>Arizona v California</v>
          </cell>
          <cell r="I1215" t="str">
            <v>LU</v>
          </cell>
          <cell r="K1215" t="str">
            <v>F</v>
          </cell>
          <cell r="M1215">
            <v>0.15799544749883401</v>
          </cell>
          <cell r="N1215">
            <v>4</v>
          </cell>
        </row>
        <row r="1216">
          <cell r="E1216" t="str">
            <v>Arizona v California</v>
          </cell>
          <cell r="I1216" t="str">
            <v>LU</v>
          </cell>
          <cell r="K1216" t="str">
            <v>Res,W</v>
          </cell>
          <cell r="M1216">
            <v>6.1112789932168896</v>
          </cell>
          <cell r="N1216">
            <v>4</v>
          </cell>
        </row>
        <row r="1217">
          <cell r="E1217" t="str">
            <v>Arizona v California</v>
          </cell>
          <cell r="I1217" t="str">
            <v>LU</v>
          </cell>
          <cell r="K1217" t="str">
            <v>Out</v>
          </cell>
          <cell r="M1217">
            <v>10.3076140002165</v>
          </cell>
          <cell r="N1217">
            <v>4</v>
          </cell>
        </row>
        <row r="1218">
          <cell r="E1218" t="str">
            <v>Arizona v California</v>
          </cell>
          <cell r="I1218" t="str">
            <v>LU</v>
          </cell>
          <cell r="K1218" t="str">
            <v>F</v>
          </cell>
          <cell r="M1218">
            <v>0.77540468381296801</v>
          </cell>
          <cell r="N1218">
            <v>4</v>
          </cell>
        </row>
        <row r="1219">
          <cell r="E1219" t="str">
            <v>Arizona v California</v>
          </cell>
          <cell r="I1219" t="str">
            <v>LU</v>
          </cell>
          <cell r="K1219" t="str">
            <v>Out</v>
          </cell>
          <cell r="M1219">
            <v>1.1862616003333699</v>
          </cell>
          <cell r="N1219">
            <v>4</v>
          </cell>
        </row>
        <row r="1220">
          <cell r="E1220" t="str">
            <v>Arizona v California</v>
          </cell>
          <cell r="I1220" t="str">
            <v>LU</v>
          </cell>
          <cell r="K1220" t="str">
            <v>DSL</v>
          </cell>
          <cell r="M1220">
            <v>0.46353711385059498</v>
          </cell>
          <cell r="N1220">
            <v>2</v>
          </cell>
        </row>
        <row r="1221">
          <cell r="E1221" t="str">
            <v>Arizona v California</v>
          </cell>
          <cell r="I1221" t="str">
            <v>LU</v>
          </cell>
          <cell r="K1221" t="str">
            <v>Out</v>
          </cell>
          <cell r="M1221">
            <v>12.2866118708501</v>
          </cell>
          <cell r="N1221">
            <v>4</v>
          </cell>
        </row>
        <row r="1222">
          <cell r="E1222" t="str">
            <v>Arizona v California</v>
          </cell>
          <cell r="I1222" t="str">
            <v>LU</v>
          </cell>
          <cell r="K1222" t="str">
            <v>Out</v>
          </cell>
          <cell r="M1222">
            <v>0.286351071672792</v>
          </cell>
          <cell r="N1222">
            <v>4</v>
          </cell>
        </row>
        <row r="1223">
          <cell r="E1223" t="str">
            <v>Arizona v California</v>
          </cell>
          <cell r="I1223" t="str">
            <v>LU</v>
          </cell>
          <cell r="K1223" t="str">
            <v>Out</v>
          </cell>
          <cell r="M1223">
            <v>12.5688005343365</v>
          </cell>
          <cell r="N1223">
            <v>4</v>
          </cell>
        </row>
        <row r="1224">
          <cell r="E1224" t="str">
            <v>Arizona v California</v>
          </cell>
          <cell r="I1224" t="str">
            <v>LU</v>
          </cell>
          <cell r="K1224" t="str">
            <v>Out</v>
          </cell>
          <cell r="M1224">
            <v>8.52665966293449</v>
          </cell>
          <cell r="N1224">
            <v>4</v>
          </cell>
        </row>
        <row r="1225">
          <cell r="E1225" t="str">
            <v>Arizona v California</v>
          </cell>
          <cell r="I1225" t="str">
            <v>LU</v>
          </cell>
          <cell r="K1225" t="str">
            <v>Out</v>
          </cell>
          <cell r="M1225">
            <v>12.2459860584753</v>
          </cell>
          <cell r="N1225">
            <v>4</v>
          </cell>
        </row>
        <row r="1226">
          <cell r="E1226" t="str">
            <v>Arizona v California</v>
          </cell>
          <cell r="I1226" t="str">
            <v>LU</v>
          </cell>
          <cell r="K1226" t="str">
            <v>F</v>
          </cell>
          <cell r="M1226">
            <v>0.72005544804140198</v>
          </cell>
          <cell r="N1226">
            <v>4</v>
          </cell>
        </row>
        <row r="1227">
          <cell r="E1227" t="str">
            <v>Arizona v California</v>
          </cell>
          <cell r="I1227" t="str">
            <v>LU</v>
          </cell>
          <cell r="K1227" t="str">
            <v>Out</v>
          </cell>
          <cell r="M1227">
            <v>0.13083070732715699</v>
          </cell>
          <cell r="N1227">
            <v>4</v>
          </cell>
        </row>
        <row r="1228">
          <cell r="E1228" t="str">
            <v>Arizona v California</v>
          </cell>
          <cell r="I1228" t="str">
            <v>LU</v>
          </cell>
          <cell r="K1228" t="str">
            <v>Out</v>
          </cell>
          <cell r="M1228">
            <v>0.311404426832532</v>
          </cell>
          <cell r="N1228">
            <v>4</v>
          </cell>
        </row>
        <row r="1229">
          <cell r="E1229" t="str">
            <v>Arizona v California</v>
          </cell>
          <cell r="I1229" t="str">
            <v>LU</v>
          </cell>
          <cell r="K1229" t="str">
            <v>Out</v>
          </cell>
          <cell r="M1229">
            <v>30.573333016816001</v>
          </cell>
          <cell r="N1229">
            <v>4</v>
          </cell>
        </row>
        <row r="1230">
          <cell r="E1230" t="str">
            <v>Arizona v California</v>
          </cell>
          <cell r="I1230" t="str">
            <v>LU</v>
          </cell>
          <cell r="K1230" t="str">
            <v>F</v>
          </cell>
          <cell r="M1230">
            <v>9.0569091552910999E-2</v>
          </cell>
          <cell r="N1230">
            <v>4</v>
          </cell>
        </row>
        <row r="1231">
          <cell r="E1231" t="str">
            <v>Arizona v California</v>
          </cell>
          <cell r="I1231" t="str">
            <v>LU</v>
          </cell>
          <cell r="K1231" t="str">
            <v>F</v>
          </cell>
          <cell r="M1231">
            <v>0.465706256355302</v>
          </cell>
          <cell r="N1231">
            <v>4</v>
          </cell>
        </row>
        <row r="1232">
          <cell r="E1232" t="str">
            <v>Arizona v California</v>
          </cell>
          <cell r="I1232" t="str">
            <v>LU</v>
          </cell>
          <cell r="K1232" t="str">
            <v>Res,W</v>
          </cell>
          <cell r="M1232">
            <v>1.09914449425014</v>
          </cell>
          <cell r="N1232">
            <v>4</v>
          </cell>
        </row>
        <row r="1233">
          <cell r="E1233" t="str">
            <v>Arizona v California</v>
          </cell>
          <cell r="I1233" t="str">
            <v>LU</v>
          </cell>
          <cell r="K1233" t="str">
            <v>F</v>
          </cell>
          <cell r="M1233">
            <v>0.78520802183815197</v>
          </cell>
          <cell r="N1233">
            <v>4</v>
          </cell>
        </row>
        <row r="1234">
          <cell r="E1234" t="str">
            <v>Arizona v California</v>
          </cell>
          <cell r="I1234" t="str">
            <v>LU</v>
          </cell>
          <cell r="K1234" t="str">
            <v>Out</v>
          </cell>
          <cell r="M1234">
            <v>0.102335554926444</v>
          </cell>
          <cell r="N1234">
            <v>4</v>
          </cell>
        </row>
        <row r="1235">
          <cell r="E1235" t="str">
            <v>Arizona v California</v>
          </cell>
          <cell r="I1235" t="str">
            <v>LU</v>
          </cell>
          <cell r="K1235" t="str">
            <v>DSL</v>
          </cell>
          <cell r="M1235">
            <v>0.109673400953109</v>
          </cell>
          <cell r="N1235">
            <v>2</v>
          </cell>
        </row>
        <row r="1236">
          <cell r="E1236" t="str">
            <v>Arizona v California</v>
          </cell>
          <cell r="I1236" t="str">
            <v>LU</v>
          </cell>
          <cell r="K1236" t="str">
            <v>DSL</v>
          </cell>
          <cell r="M1236">
            <v>0.12188034793875201</v>
          </cell>
          <cell r="N1236">
            <v>2</v>
          </cell>
        </row>
        <row r="1237">
          <cell r="E1237" t="str">
            <v>Arizona v California</v>
          </cell>
          <cell r="I1237" t="str">
            <v>LU</v>
          </cell>
          <cell r="K1237" t="str">
            <v>DSL</v>
          </cell>
          <cell r="M1237">
            <v>0.228737587493099</v>
          </cell>
          <cell r="N1237">
            <v>2</v>
          </cell>
        </row>
        <row r="1238">
          <cell r="E1238" t="str">
            <v>Arizona v California</v>
          </cell>
          <cell r="I1238" t="str">
            <v>LU</v>
          </cell>
          <cell r="K1238" t="str">
            <v>F</v>
          </cell>
          <cell r="M1238">
            <v>0.14747186356140801</v>
          </cell>
          <cell r="N1238">
            <v>4</v>
          </cell>
        </row>
        <row r="1239">
          <cell r="E1239" t="str">
            <v>Arizona v California</v>
          </cell>
          <cell r="I1239" t="str">
            <v>LU</v>
          </cell>
          <cell r="K1239" t="str">
            <v>F</v>
          </cell>
          <cell r="M1239">
            <v>1.9385577486415599</v>
          </cell>
          <cell r="N1239">
            <v>4</v>
          </cell>
        </row>
        <row r="1240">
          <cell r="E1240" t="str">
            <v>Arizona v California</v>
          </cell>
          <cell r="I1240" t="str">
            <v>LU</v>
          </cell>
          <cell r="K1240" t="str">
            <v>F</v>
          </cell>
          <cell r="M1240">
            <v>0.38635918367885103</v>
          </cell>
          <cell r="N1240">
            <v>4</v>
          </cell>
        </row>
        <row r="1241">
          <cell r="E1241" t="str">
            <v>Arizona v California</v>
          </cell>
          <cell r="I1241" t="str">
            <v>LU</v>
          </cell>
          <cell r="K1241" t="str">
            <v>F</v>
          </cell>
          <cell r="M1241">
            <v>5.3894868445773E-2</v>
          </cell>
          <cell r="N1241">
            <v>4</v>
          </cell>
        </row>
        <row r="1242">
          <cell r="E1242" t="str">
            <v>Arizona v California</v>
          </cell>
          <cell r="I1242" t="str">
            <v>LU</v>
          </cell>
          <cell r="K1242" t="str">
            <v>S</v>
          </cell>
          <cell r="M1242">
            <v>0.49260106091121197</v>
          </cell>
          <cell r="N1242">
            <v>5</v>
          </cell>
        </row>
        <row r="1243">
          <cell r="E1243" t="str">
            <v>Arizona v California</v>
          </cell>
          <cell r="I1243" t="str">
            <v>LU</v>
          </cell>
          <cell r="K1243" t="str">
            <v>INP</v>
          </cell>
          <cell r="M1243">
            <v>8.9459029134573793</v>
          </cell>
          <cell r="N1243">
            <v>1</v>
          </cell>
        </row>
        <row r="1244">
          <cell r="E1244" t="str">
            <v>Arizona v California</v>
          </cell>
          <cell r="I1244" t="str">
            <v>LU</v>
          </cell>
          <cell r="K1244" t="str">
            <v>S</v>
          </cell>
          <cell r="M1244">
            <v>1.29360100702211</v>
          </cell>
          <cell r="N1244">
            <v>5</v>
          </cell>
        </row>
        <row r="1245">
          <cell r="E1245" t="str">
            <v>Arizona v California</v>
          </cell>
          <cell r="I1245" t="str">
            <v>LU</v>
          </cell>
          <cell r="K1245" t="str">
            <v>F</v>
          </cell>
          <cell r="M1245">
            <v>3.7616323965849801</v>
          </cell>
          <cell r="N1245">
            <v>4</v>
          </cell>
        </row>
        <row r="1246">
          <cell r="E1246" t="str">
            <v>Arizona v California</v>
          </cell>
          <cell r="I1246" t="str">
            <v>LU</v>
          </cell>
          <cell r="K1246" t="str">
            <v>Out</v>
          </cell>
          <cell r="M1246">
            <v>9.7619697019563603</v>
          </cell>
          <cell r="N1246">
            <v>4</v>
          </cell>
        </row>
        <row r="1247">
          <cell r="E1247" t="str">
            <v>Arizona v California</v>
          </cell>
          <cell r="I1247" t="str">
            <v>LU</v>
          </cell>
          <cell r="K1247" t="str">
            <v>F</v>
          </cell>
          <cell r="M1247">
            <v>0.55859011463678898</v>
          </cell>
          <cell r="N1247">
            <v>4</v>
          </cell>
        </row>
        <row r="1248">
          <cell r="E1248" t="str">
            <v>Arizona v California</v>
          </cell>
          <cell r="I1248" t="str">
            <v>LU</v>
          </cell>
          <cell r="K1248" t="str">
            <v>DSL</v>
          </cell>
          <cell r="M1248">
            <v>4.0380585519443998E-2</v>
          </cell>
          <cell r="N1248">
            <v>2</v>
          </cell>
        </row>
        <row r="1249">
          <cell r="E1249" t="str">
            <v>Arizona v California</v>
          </cell>
          <cell r="I1249" t="str">
            <v>LU</v>
          </cell>
          <cell r="K1249" t="str">
            <v>F</v>
          </cell>
          <cell r="M1249">
            <v>2.9584488515881999E-2</v>
          </cell>
          <cell r="N1249">
            <v>4</v>
          </cell>
        </row>
        <row r="1250">
          <cell r="E1250" t="str">
            <v>Arizona v California</v>
          </cell>
          <cell r="I1250" t="str">
            <v>LU</v>
          </cell>
          <cell r="K1250" t="str">
            <v>Out</v>
          </cell>
          <cell r="M1250">
            <v>22.156190542769199</v>
          </cell>
          <cell r="N1250">
            <v>4</v>
          </cell>
        </row>
        <row r="1251">
          <cell r="E1251" t="str">
            <v>Arizona v California</v>
          </cell>
          <cell r="I1251" t="str">
            <v>LU</v>
          </cell>
          <cell r="K1251" t="str">
            <v>S</v>
          </cell>
          <cell r="M1251">
            <v>16.1603965878138</v>
          </cell>
          <cell r="N1251">
            <v>5</v>
          </cell>
        </row>
        <row r="1252">
          <cell r="E1252" t="str">
            <v>Arizona v California</v>
          </cell>
          <cell r="I1252" t="str">
            <v>LU</v>
          </cell>
          <cell r="K1252" t="str">
            <v>F</v>
          </cell>
          <cell r="M1252">
            <v>0.85505931092437504</v>
          </cell>
          <cell r="N1252">
            <v>4</v>
          </cell>
        </row>
        <row r="1253">
          <cell r="E1253" t="str">
            <v>Arizona v California</v>
          </cell>
          <cell r="I1253" t="str">
            <v>LU</v>
          </cell>
          <cell r="K1253" t="str">
            <v>F</v>
          </cell>
          <cell r="M1253">
            <v>1.0918087502720399</v>
          </cell>
          <cell r="N1253">
            <v>4</v>
          </cell>
        </row>
        <row r="1254">
          <cell r="E1254" t="str">
            <v>Arizona v California</v>
          </cell>
          <cell r="I1254" t="str">
            <v>LU</v>
          </cell>
          <cell r="K1254" t="str">
            <v>F</v>
          </cell>
          <cell r="M1254">
            <v>5.7586337121204E-2</v>
          </cell>
          <cell r="N1254">
            <v>4</v>
          </cell>
        </row>
        <row r="1255">
          <cell r="E1255" t="str">
            <v>Arizona v California</v>
          </cell>
          <cell r="I1255" t="str">
            <v>LU</v>
          </cell>
          <cell r="K1255" t="str">
            <v>Out</v>
          </cell>
          <cell r="M1255">
            <v>18.612769746679501</v>
          </cell>
          <cell r="N1255">
            <v>4</v>
          </cell>
        </row>
        <row r="1256">
          <cell r="E1256" t="str">
            <v>Arizona v California</v>
          </cell>
          <cell r="I1256" t="str">
            <v>LU</v>
          </cell>
          <cell r="K1256" t="str">
            <v>INP</v>
          </cell>
          <cell r="M1256">
            <v>0.59197063944984696</v>
          </cell>
          <cell r="N1256">
            <v>1</v>
          </cell>
        </row>
        <row r="1257">
          <cell r="E1257" t="str">
            <v>Arizona v California</v>
          </cell>
          <cell r="I1257" t="str">
            <v>LU</v>
          </cell>
          <cell r="K1257" t="str">
            <v>F</v>
          </cell>
          <cell r="M1257">
            <v>0.10088720849841799</v>
          </cell>
          <cell r="N1257">
            <v>4</v>
          </cell>
        </row>
        <row r="1258">
          <cell r="E1258" t="str">
            <v>Arizona v California</v>
          </cell>
          <cell r="I1258" t="str">
            <v>LU</v>
          </cell>
          <cell r="K1258" t="str">
            <v>INP</v>
          </cell>
          <cell r="M1258">
            <v>9.1854740466285207</v>
          </cell>
          <cell r="N1258">
            <v>1</v>
          </cell>
        </row>
        <row r="1259">
          <cell r="E1259" t="str">
            <v>Arizona v California</v>
          </cell>
          <cell r="I1259" t="str">
            <v>LU</v>
          </cell>
          <cell r="K1259" t="str">
            <v>F</v>
          </cell>
          <cell r="M1259">
            <v>1.27342640904306</v>
          </cell>
          <cell r="N1259">
            <v>4</v>
          </cell>
        </row>
        <row r="1260">
          <cell r="E1260" t="str">
            <v>Arizona v California</v>
          </cell>
          <cell r="I1260" t="str">
            <v>LU</v>
          </cell>
          <cell r="K1260" t="str">
            <v>F</v>
          </cell>
          <cell r="M1260">
            <v>6.3148518941369997E-2</v>
          </cell>
          <cell r="N1260">
            <v>4</v>
          </cell>
        </row>
        <row r="1261">
          <cell r="E1261" t="str">
            <v>Arizona v California</v>
          </cell>
          <cell r="I1261" t="str">
            <v>LU</v>
          </cell>
          <cell r="K1261" t="str">
            <v>F</v>
          </cell>
          <cell r="M1261">
            <v>4.3461453014510001E-2</v>
          </cell>
          <cell r="N1261">
            <v>4</v>
          </cell>
        </row>
        <row r="1262">
          <cell r="E1262" t="str">
            <v>Arizona v California</v>
          </cell>
          <cell r="I1262" t="str">
            <v>LU</v>
          </cell>
          <cell r="K1262" t="str">
            <v>INP</v>
          </cell>
          <cell r="M1262">
            <v>0.18463672279579099</v>
          </cell>
          <cell r="N1262">
            <v>1</v>
          </cell>
        </row>
        <row r="1263">
          <cell r="E1263" t="str">
            <v>Arizona v California</v>
          </cell>
          <cell r="I1263" t="str">
            <v>LU</v>
          </cell>
          <cell r="K1263" t="str">
            <v>F</v>
          </cell>
          <cell r="M1263">
            <v>8.9571945055464504</v>
          </cell>
          <cell r="N1263">
            <v>4</v>
          </cell>
        </row>
        <row r="1264">
          <cell r="E1264" t="str">
            <v>Arizona v California</v>
          </cell>
          <cell r="I1264" t="str">
            <v>LU</v>
          </cell>
          <cell r="K1264" t="str">
            <v>F</v>
          </cell>
          <cell r="M1264">
            <v>0.141292807670826</v>
          </cell>
          <cell r="N1264">
            <v>4</v>
          </cell>
        </row>
        <row r="1265">
          <cell r="E1265" t="str">
            <v>Arizona v California</v>
          </cell>
          <cell r="I1265" t="str">
            <v>LU</v>
          </cell>
          <cell r="K1265" t="str">
            <v>Out</v>
          </cell>
          <cell r="M1265">
            <v>0.42324588861474899</v>
          </cell>
          <cell r="N1265">
            <v>4</v>
          </cell>
        </row>
        <row r="1266">
          <cell r="E1266" t="str">
            <v>Arizona v California</v>
          </cell>
          <cell r="I1266" t="str">
            <v>LU</v>
          </cell>
          <cell r="K1266" t="str">
            <v>Out</v>
          </cell>
          <cell r="M1266">
            <v>4.4611371969244704</v>
          </cell>
          <cell r="N1266">
            <v>4</v>
          </cell>
        </row>
        <row r="1267">
          <cell r="E1267" t="str">
            <v>Arizona v California</v>
          </cell>
          <cell r="I1267" t="str">
            <v>LU</v>
          </cell>
          <cell r="K1267" t="str">
            <v>F</v>
          </cell>
          <cell r="M1267">
            <v>0.36250563651819101</v>
          </cell>
          <cell r="N1267">
            <v>4</v>
          </cell>
        </row>
        <row r="1268">
          <cell r="E1268" t="str">
            <v>Arizona v California</v>
          </cell>
          <cell r="I1268" t="str">
            <v>LU</v>
          </cell>
          <cell r="K1268" t="str">
            <v>Res,D</v>
          </cell>
          <cell r="M1268">
            <v>0.29198629078039801</v>
          </cell>
          <cell r="N1268">
            <v>4</v>
          </cell>
        </row>
        <row r="1269">
          <cell r="E1269" t="str">
            <v>Arizona v California</v>
          </cell>
          <cell r="I1269" t="str">
            <v>LU</v>
          </cell>
          <cell r="K1269" t="str">
            <v>INP</v>
          </cell>
          <cell r="M1269">
            <v>7.0990237358360497</v>
          </cell>
          <cell r="N1269">
            <v>1</v>
          </cell>
        </row>
        <row r="1270">
          <cell r="E1270" t="str">
            <v>Arizona v California</v>
          </cell>
          <cell r="I1270" t="str">
            <v>LU</v>
          </cell>
          <cell r="K1270" t="str">
            <v>F</v>
          </cell>
          <cell r="M1270">
            <v>3.64060007398658</v>
          </cell>
          <cell r="N1270">
            <v>4</v>
          </cell>
        </row>
        <row r="1271">
          <cell r="E1271" t="str">
            <v>Arizona v California</v>
          </cell>
          <cell r="I1271" t="str">
            <v>LU</v>
          </cell>
          <cell r="K1271" t="str">
            <v>Out</v>
          </cell>
          <cell r="M1271">
            <v>2.93730798190487</v>
          </cell>
          <cell r="N1271">
            <v>4</v>
          </cell>
        </row>
        <row r="1272">
          <cell r="E1272" t="str">
            <v>Arizona v California</v>
          </cell>
          <cell r="I1272" t="str">
            <v>LU</v>
          </cell>
          <cell r="K1272" t="str">
            <v>DSL</v>
          </cell>
          <cell r="M1272">
            <v>0.83984282995148796</v>
          </cell>
          <cell r="N1272">
            <v>2</v>
          </cell>
        </row>
        <row r="1273">
          <cell r="E1273" t="str">
            <v>Arizona v California</v>
          </cell>
          <cell r="I1273" t="str">
            <v>LU</v>
          </cell>
          <cell r="K1273" t="str">
            <v>S</v>
          </cell>
          <cell r="M1273">
            <v>6.2801581124722903</v>
          </cell>
          <cell r="N1273">
            <v>5</v>
          </cell>
        </row>
        <row r="1274">
          <cell r="E1274" t="str">
            <v>Arizona v California</v>
          </cell>
          <cell r="I1274" t="str">
            <v>LU</v>
          </cell>
          <cell r="K1274" t="str">
            <v>F</v>
          </cell>
          <cell r="M1274">
            <v>8.1228346346360905</v>
          </cell>
          <cell r="N1274">
            <v>4</v>
          </cell>
        </row>
        <row r="1275">
          <cell r="E1275" t="str">
            <v>Arizona v California</v>
          </cell>
          <cell r="I1275" t="str">
            <v>LU</v>
          </cell>
          <cell r="K1275" t="str">
            <v>INP</v>
          </cell>
          <cell r="M1275">
            <v>14.3083356565554</v>
          </cell>
          <cell r="N1275">
            <v>1</v>
          </cell>
        </row>
        <row r="1276">
          <cell r="E1276" t="str">
            <v>Arizona v California</v>
          </cell>
          <cell r="I1276" t="str">
            <v>LU</v>
          </cell>
          <cell r="K1276" t="str">
            <v>Out</v>
          </cell>
          <cell r="M1276">
            <v>13.532402687194001</v>
          </cell>
          <cell r="N1276">
            <v>4</v>
          </cell>
        </row>
        <row r="1277">
          <cell r="E1277" t="str">
            <v>Arizona v California</v>
          </cell>
          <cell r="I1277" t="str">
            <v>LU</v>
          </cell>
          <cell r="K1277" t="str">
            <v>F</v>
          </cell>
          <cell r="M1277">
            <v>0.48025020088224302</v>
          </cell>
          <cell r="N1277">
            <v>4</v>
          </cell>
        </row>
        <row r="1278">
          <cell r="E1278" t="str">
            <v>Arizona v California</v>
          </cell>
          <cell r="I1278" t="str">
            <v>LU</v>
          </cell>
          <cell r="K1278" t="str">
            <v>INP</v>
          </cell>
          <cell r="M1278">
            <v>4.2130123560932704</v>
          </cell>
          <cell r="N1278">
            <v>1</v>
          </cell>
        </row>
        <row r="1279">
          <cell r="E1279" t="str">
            <v>Arizona v California</v>
          </cell>
          <cell r="I1279" t="str">
            <v>LU</v>
          </cell>
          <cell r="K1279" t="str">
            <v>Out</v>
          </cell>
          <cell r="M1279">
            <v>35.9510757271144</v>
          </cell>
          <cell r="N1279">
            <v>4</v>
          </cell>
        </row>
        <row r="1280">
          <cell r="E1280" t="str">
            <v>Arizona v California</v>
          </cell>
          <cell r="I1280" t="str">
            <v>LU</v>
          </cell>
          <cell r="K1280" t="str">
            <v>F</v>
          </cell>
          <cell r="M1280">
            <v>27.781698780933901</v>
          </cell>
          <cell r="N1280">
            <v>4</v>
          </cell>
        </row>
        <row r="1281">
          <cell r="E1281" t="str">
            <v>Arizona v California</v>
          </cell>
          <cell r="I1281" t="str">
            <v>LU</v>
          </cell>
          <cell r="K1281" t="str">
            <v>F</v>
          </cell>
          <cell r="M1281">
            <v>6.2830404351074698</v>
          </cell>
          <cell r="N1281">
            <v>4</v>
          </cell>
        </row>
        <row r="1282">
          <cell r="E1282" t="str">
            <v>Arizona v California</v>
          </cell>
          <cell r="I1282" t="str">
            <v>LU</v>
          </cell>
          <cell r="K1282" t="str">
            <v>F</v>
          </cell>
          <cell r="M1282">
            <v>8.3461066255380096</v>
          </cell>
          <cell r="N1282">
            <v>4</v>
          </cell>
        </row>
        <row r="1283">
          <cell r="E1283" t="str">
            <v>Arizona v California</v>
          </cell>
          <cell r="I1283" t="str">
            <v>LU</v>
          </cell>
          <cell r="K1283" t="str">
            <v>Out</v>
          </cell>
          <cell r="M1283">
            <v>13.146132508791499</v>
          </cell>
          <cell r="N1283">
            <v>4</v>
          </cell>
        </row>
        <row r="1284">
          <cell r="E1284" t="str">
            <v>Arizona v California</v>
          </cell>
          <cell r="I1284" t="str">
            <v>LU</v>
          </cell>
          <cell r="K1284" t="str">
            <v>Out</v>
          </cell>
          <cell r="M1284">
            <v>0.15018330213345699</v>
          </cell>
          <cell r="N1284">
            <v>4</v>
          </cell>
        </row>
        <row r="1285">
          <cell r="E1285" t="str">
            <v>Arizona v California</v>
          </cell>
          <cell r="I1285" t="str">
            <v>LU</v>
          </cell>
          <cell r="K1285" t="str">
            <v>F</v>
          </cell>
          <cell r="M1285">
            <v>8.91720668520699</v>
          </cell>
          <cell r="N1285">
            <v>4</v>
          </cell>
        </row>
        <row r="1286">
          <cell r="E1286" t="str">
            <v>Arizona v California</v>
          </cell>
          <cell r="I1286" t="str">
            <v>LU</v>
          </cell>
          <cell r="K1286" t="str">
            <v>F</v>
          </cell>
          <cell r="M1286">
            <v>1.06645538993138</v>
          </cell>
          <cell r="N1286">
            <v>4</v>
          </cell>
        </row>
        <row r="1287">
          <cell r="E1287" t="str">
            <v>Arizona v California</v>
          </cell>
          <cell r="I1287" t="str">
            <v>LU</v>
          </cell>
          <cell r="K1287" t="str">
            <v>INP</v>
          </cell>
          <cell r="M1287">
            <v>4.4146539446842299</v>
          </cell>
          <cell r="N1287">
            <v>1</v>
          </cell>
        </row>
        <row r="1288">
          <cell r="E1288" t="str">
            <v>Arizona v California</v>
          </cell>
          <cell r="I1288" t="str">
            <v>LU</v>
          </cell>
          <cell r="K1288" t="str">
            <v>Res,W</v>
          </cell>
          <cell r="M1288">
            <v>0.14582727307905</v>
          </cell>
          <cell r="N1288">
            <v>4</v>
          </cell>
        </row>
        <row r="1289">
          <cell r="E1289" t="str">
            <v>Arizona v California</v>
          </cell>
          <cell r="I1289" t="str">
            <v>LU</v>
          </cell>
          <cell r="K1289" t="str">
            <v>Res,W</v>
          </cell>
          <cell r="M1289">
            <v>0.68534696072714596</v>
          </cell>
          <cell r="N1289">
            <v>4</v>
          </cell>
        </row>
        <row r="1290">
          <cell r="E1290" t="str">
            <v>Arizona v California</v>
          </cell>
          <cell r="I1290" t="str">
            <v>LU</v>
          </cell>
          <cell r="K1290" t="str">
            <v>Out</v>
          </cell>
          <cell r="M1290">
            <v>29.434195670318299</v>
          </cell>
          <cell r="N1290">
            <v>4</v>
          </cell>
        </row>
        <row r="1291">
          <cell r="E1291" t="str">
            <v>Arizona v California</v>
          </cell>
          <cell r="I1291" t="str">
            <v>LU</v>
          </cell>
          <cell r="K1291" t="str">
            <v>F</v>
          </cell>
          <cell r="M1291">
            <v>2.4018613787429999</v>
          </cell>
          <cell r="N1291">
            <v>4</v>
          </cell>
        </row>
        <row r="1292">
          <cell r="E1292" t="str">
            <v>Arizona v California</v>
          </cell>
          <cell r="I1292" t="str">
            <v>LU</v>
          </cell>
          <cell r="K1292" t="str">
            <v>F</v>
          </cell>
          <cell r="M1292">
            <v>16.420249747898598</v>
          </cell>
          <cell r="N1292">
            <v>4</v>
          </cell>
        </row>
        <row r="1293">
          <cell r="E1293" t="str">
            <v>Arizona v California</v>
          </cell>
          <cell r="I1293" t="str">
            <v>LU</v>
          </cell>
          <cell r="K1293" t="str">
            <v>Out</v>
          </cell>
          <cell r="M1293">
            <v>9.8301205160915703</v>
          </cell>
          <cell r="N1293">
            <v>4</v>
          </cell>
        </row>
        <row r="1294">
          <cell r="E1294" t="str">
            <v>Arizona v California</v>
          </cell>
          <cell r="I1294" t="str">
            <v>LU</v>
          </cell>
          <cell r="K1294" t="str">
            <v>Out</v>
          </cell>
          <cell r="M1294">
            <v>0.59010314671022301</v>
          </cell>
          <cell r="N1294">
            <v>4</v>
          </cell>
        </row>
        <row r="1295">
          <cell r="E1295" t="str">
            <v>Arizona v California</v>
          </cell>
          <cell r="I1295" t="str">
            <v>LU</v>
          </cell>
          <cell r="K1295" t="str">
            <v>Out</v>
          </cell>
          <cell r="M1295">
            <v>42.143931669949502</v>
          </cell>
          <cell r="N1295">
            <v>4</v>
          </cell>
        </row>
        <row r="1296">
          <cell r="E1296" t="str">
            <v>Arizona v California</v>
          </cell>
          <cell r="I1296" t="str">
            <v>LU</v>
          </cell>
          <cell r="K1296" t="str">
            <v>F</v>
          </cell>
          <cell r="M1296">
            <v>12.502159347946399</v>
          </cell>
          <cell r="N1296">
            <v>4</v>
          </cell>
        </row>
        <row r="1297">
          <cell r="E1297" t="str">
            <v>Arizona v California</v>
          </cell>
          <cell r="I1297" t="str">
            <v>LU</v>
          </cell>
          <cell r="K1297" t="str">
            <v>Out</v>
          </cell>
          <cell r="M1297">
            <v>5.74855029261595</v>
          </cell>
          <cell r="N1297">
            <v>4</v>
          </cell>
        </row>
        <row r="1298">
          <cell r="E1298" t="str">
            <v>Arizona v California</v>
          </cell>
          <cell r="I1298" t="str">
            <v>LU</v>
          </cell>
          <cell r="K1298" t="str">
            <v>Out</v>
          </cell>
          <cell r="M1298">
            <v>8.4135636703807002</v>
          </cell>
          <cell r="N1298">
            <v>4</v>
          </cell>
        </row>
        <row r="1299">
          <cell r="E1299" t="str">
            <v>Arizona v California</v>
          </cell>
          <cell r="I1299" t="str">
            <v>LU</v>
          </cell>
          <cell r="K1299" t="str">
            <v>Out</v>
          </cell>
          <cell r="M1299">
            <v>11.8400371777423</v>
          </cell>
          <cell r="N1299">
            <v>4</v>
          </cell>
        </row>
        <row r="1300">
          <cell r="E1300" t="str">
            <v>Arizona v California</v>
          </cell>
          <cell r="I1300" t="str">
            <v>LU</v>
          </cell>
          <cell r="K1300" t="str">
            <v>Out</v>
          </cell>
          <cell r="M1300">
            <v>78.573950420180907</v>
          </cell>
          <cell r="N1300">
            <v>4</v>
          </cell>
        </row>
        <row r="1301">
          <cell r="E1301" t="str">
            <v>Arizona v California</v>
          </cell>
          <cell r="I1301" t="str">
            <v>LU</v>
          </cell>
          <cell r="K1301" t="str">
            <v>INP</v>
          </cell>
          <cell r="M1301">
            <v>1.48992343188174</v>
          </cell>
          <cell r="N1301">
            <v>1</v>
          </cell>
        </row>
        <row r="1302">
          <cell r="E1302" t="str">
            <v>Arizona v California</v>
          </cell>
          <cell r="I1302" t="str">
            <v>LU</v>
          </cell>
          <cell r="K1302" t="str">
            <v>INP</v>
          </cell>
          <cell r="M1302">
            <v>2.08215488365992</v>
          </cell>
          <cell r="N1302">
            <v>1</v>
          </cell>
        </row>
        <row r="1303">
          <cell r="E1303" t="str">
            <v>Arizona v California</v>
          </cell>
          <cell r="I1303" t="str">
            <v>LU</v>
          </cell>
          <cell r="K1303" t="str">
            <v>Out</v>
          </cell>
          <cell r="M1303">
            <v>1.3684904741405599</v>
          </cell>
          <cell r="N1303">
            <v>4</v>
          </cell>
        </row>
        <row r="1304">
          <cell r="E1304" t="str">
            <v>Arizona v California</v>
          </cell>
          <cell r="I1304" t="str">
            <v>LU</v>
          </cell>
          <cell r="K1304" t="str">
            <v>F</v>
          </cell>
          <cell r="M1304">
            <v>26.982567400155201</v>
          </cell>
          <cell r="N1304">
            <v>4</v>
          </cell>
        </row>
        <row r="1305">
          <cell r="E1305" t="str">
            <v>Arizona v California</v>
          </cell>
          <cell r="I1305" t="str">
            <v>LU</v>
          </cell>
          <cell r="K1305" t="str">
            <v>Out</v>
          </cell>
          <cell r="M1305">
            <v>5.1339645329122998</v>
          </cell>
          <cell r="N1305">
            <v>4</v>
          </cell>
        </row>
        <row r="1306">
          <cell r="E1306" t="str">
            <v>Arizona v California</v>
          </cell>
          <cell r="I1306" t="str">
            <v>LU</v>
          </cell>
          <cell r="K1306" t="str">
            <v>Out</v>
          </cell>
          <cell r="M1306">
            <v>7.16106280918439</v>
          </cell>
          <cell r="N1306">
            <v>4</v>
          </cell>
        </row>
        <row r="1307">
          <cell r="E1307" t="str">
            <v>Arizona v California</v>
          </cell>
          <cell r="I1307" t="str">
            <v>LU</v>
          </cell>
          <cell r="K1307" t="str">
            <v>Out</v>
          </cell>
          <cell r="M1307">
            <v>16.322805148473101</v>
          </cell>
          <cell r="N1307">
            <v>4</v>
          </cell>
        </row>
        <row r="1308">
          <cell r="E1308" t="str">
            <v>Arizona v California</v>
          </cell>
          <cell r="I1308" t="str">
            <v>LU</v>
          </cell>
          <cell r="K1308" t="str">
            <v>Out</v>
          </cell>
          <cell r="M1308">
            <v>83.271972311300701</v>
          </cell>
          <cell r="N1308">
            <v>4</v>
          </cell>
        </row>
        <row r="1309">
          <cell r="E1309" t="str">
            <v>Arizona v California</v>
          </cell>
          <cell r="I1309" t="str">
            <v>LU</v>
          </cell>
          <cell r="K1309" t="str">
            <v>Out</v>
          </cell>
          <cell r="M1309">
            <v>5.9621329445674203</v>
          </cell>
          <cell r="N1309">
            <v>4</v>
          </cell>
        </row>
        <row r="1310">
          <cell r="E1310" t="str">
            <v>Arizona v California</v>
          </cell>
          <cell r="I1310" t="str">
            <v>LU</v>
          </cell>
          <cell r="K1310" t="str">
            <v>F</v>
          </cell>
          <cell r="M1310">
            <v>6.4482450262516204</v>
          </cell>
          <cell r="N1310">
            <v>4</v>
          </cell>
        </row>
        <row r="1311">
          <cell r="E1311" t="str">
            <v>Arizona v California</v>
          </cell>
          <cell r="I1311" t="str">
            <v>LU</v>
          </cell>
          <cell r="K1311" t="str">
            <v>Out</v>
          </cell>
          <cell r="M1311">
            <v>3.52155559386448</v>
          </cell>
          <cell r="N1311">
            <v>4</v>
          </cell>
        </row>
        <row r="1312">
          <cell r="E1312" t="str">
            <v>Arizona v California</v>
          </cell>
          <cell r="I1312" t="str">
            <v>LU</v>
          </cell>
          <cell r="K1312" t="str">
            <v>Res,D</v>
          </cell>
          <cell r="M1312">
            <v>5.8525171708926002E-2</v>
          </cell>
          <cell r="N1312">
            <v>4</v>
          </cell>
        </row>
        <row r="1313">
          <cell r="E1313" t="str">
            <v>Arizona v California</v>
          </cell>
          <cell r="I1313" t="str">
            <v>LU</v>
          </cell>
          <cell r="K1313" t="str">
            <v>F</v>
          </cell>
          <cell r="M1313">
            <v>5.7135045538988702</v>
          </cell>
          <cell r="N1313">
            <v>4</v>
          </cell>
        </row>
        <row r="1314">
          <cell r="E1314" t="str">
            <v>Arizona v California</v>
          </cell>
          <cell r="I1314" t="str">
            <v>LU</v>
          </cell>
          <cell r="K1314" t="str">
            <v>Out</v>
          </cell>
          <cell r="M1314">
            <v>7.4402462212283904</v>
          </cell>
          <cell r="N1314">
            <v>4</v>
          </cell>
        </row>
        <row r="1315">
          <cell r="E1315" t="str">
            <v>Arizona v California</v>
          </cell>
          <cell r="I1315" t="str">
            <v>LU</v>
          </cell>
          <cell r="K1315" t="str">
            <v>DSL</v>
          </cell>
          <cell r="M1315">
            <v>0.22164062354135</v>
          </cell>
          <cell r="N1315">
            <v>2</v>
          </cell>
        </row>
        <row r="1316">
          <cell r="E1316" t="str">
            <v>Arizona v California</v>
          </cell>
          <cell r="I1316" t="str">
            <v>LU</v>
          </cell>
          <cell r="K1316" t="str">
            <v>F</v>
          </cell>
          <cell r="M1316">
            <v>8.8279861243521491</v>
          </cell>
          <cell r="N1316">
            <v>4</v>
          </cell>
        </row>
        <row r="1317">
          <cell r="E1317" t="str">
            <v>Arizona v California</v>
          </cell>
          <cell r="I1317" t="str">
            <v>LU</v>
          </cell>
          <cell r="K1317" t="str">
            <v>Res,W</v>
          </cell>
          <cell r="M1317">
            <v>14.7125217531971</v>
          </cell>
          <cell r="N1317">
            <v>4</v>
          </cell>
        </row>
        <row r="1318">
          <cell r="E1318" t="str">
            <v>Arizona v California</v>
          </cell>
          <cell r="I1318" t="str">
            <v>LU</v>
          </cell>
          <cell r="K1318" t="str">
            <v>F</v>
          </cell>
          <cell r="M1318">
            <v>1.9267766974642899</v>
          </cell>
          <cell r="N1318">
            <v>4</v>
          </cell>
        </row>
        <row r="1319">
          <cell r="E1319" t="str">
            <v>Arizona v California</v>
          </cell>
          <cell r="I1319" t="str">
            <v>LU</v>
          </cell>
          <cell r="K1319" t="str">
            <v>F</v>
          </cell>
          <cell r="M1319">
            <v>1.0096952862731901</v>
          </cell>
          <cell r="N1319">
            <v>4</v>
          </cell>
        </row>
        <row r="1320">
          <cell r="E1320" t="str">
            <v>Arizona v California</v>
          </cell>
          <cell r="I1320" t="str">
            <v>LU</v>
          </cell>
          <cell r="K1320" t="str">
            <v>F</v>
          </cell>
          <cell r="M1320">
            <v>1.07365044429708</v>
          </cell>
          <cell r="N1320">
            <v>4</v>
          </cell>
        </row>
        <row r="1321">
          <cell r="E1321" t="str">
            <v>Arizona v California</v>
          </cell>
          <cell r="I1321" t="str">
            <v>LU</v>
          </cell>
          <cell r="K1321" t="str">
            <v>DSL</v>
          </cell>
          <cell r="M1321">
            <v>0.248538297372565</v>
          </cell>
          <cell r="N1321">
            <v>2</v>
          </cell>
        </row>
        <row r="1322">
          <cell r="E1322" t="str">
            <v>Arizona v California</v>
          </cell>
          <cell r="I1322" t="str">
            <v>LU</v>
          </cell>
          <cell r="K1322" t="str">
            <v>DSL</v>
          </cell>
          <cell r="M1322">
            <v>9.0573577665429006E-2</v>
          </cell>
          <cell r="N1322">
            <v>2</v>
          </cell>
        </row>
        <row r="1323">
          <cell r="E1323" t="str">
            <v>Arizona v California</v>
          </cell>
          <cell r="I1323" t="str">
            <v>LU</v>
          </cell>
          <cell r="K1323" t="str">
            <v>DSL</v>
          </cell>
          <cell r="M1323">
            <v>0.41588372159007903</v>
          </cell>
          <cell r="N1323">
            <v>2</v>
          </cell>
        </row>
        <row r="1324">
          <cell r="E1324" t="str">
            <v>Arizona v California</v>
          </cell>
          <cell r="I1324" t="str">
            <v>LU</v>
          </cell>
          <cell r="K1324" t="str">
            <v>DSL</v>
          </cell>
          <cell r="M1324">
            <v>7.7011562707492001E-2</v>
          </cell>
          <cell r="N1324">
            <v>2</v>
          </cell>
        </row>
        <row r="1325">
          <cell r="E1325" t="str">
            <v>Arizona v California</v>
          </cell>
          <cell r="I1325" t="str">
            <v>LU</v>
          </cell>
          <cell r="K1325" t="str">
            <v>INP</v>
          </cell>
          <cell r="M1325">
            <v>23.206987049800201</v>
          </cell>
          <cell r="N1325">
            <v>2</v>
          </cell>
        </row>
        <row r="1326">
          <cell r="E1326" t="str">
            <v>Arizona v California</v>
          </cell>
          <cell r="I1326" t="str">
            <v>LU</v>
          </cell>
          <cell r="K1326" t="str">
            <v>F</v>
          </cell>
          <cell r="M1326">
            <v>0.299453392291813</v>
          </cell>
          <cell r="N1326">
            <v>4</v>
          </cell>
        </row>
        <row r="1327">
          <cell r="E1327" t="str">
            <v>Arizona v California</v>
          </cell>
          <cell r="I1327" t="str">
            <v>LU</v>
          </cell>
          <cell r="K1327" t="str">
            <v>F</v>
          </cell>
          <cell r="M1327">
            <v>1.4135861886613199</v>
          </cell>
          <cell r="N1327">
            <v>4</v>
          </cell>
        </row>
        <row r="1328">
          <cell r="E1328" t="str">
            <v>Arizona v California</v>
          </cell>
          <cell r="I1328" t="str">
            <v>LU</v>
          </cell>
          <cell r="K1328" t="str">
            <v>F</v>
          </cell>
          <cell r="M1328">
            <v>1.06769426139114</v>
          </cell>
          <cell r="N1328">
            <v>4</v>
          </cell>
        </row>
        <row r="1329">
          <cell r="E1329" t="str">
            <v>Arizona v California</v>
          </cell>
          <cell r="I1329" t="str">
            <v>LU</v>
          </cell>
          <cell r="K1329" t="str">
            <v>F</v>
          </cell>
          <cell r="M1329">
            <v>1.03250525576365</v>
          </cell>
          <cell r="N1329">
            <v>4</v>
          </cell>
        </row>
        <row r="1330">
          <cell r="E1330" t="str">
            <v>Arizona v California</v>
          </cell>
          <cell r="I1330" t="str">
            <v>LU</v>
          </cell>
          <cell r="K1330" t="str">
            <v>F</v>
          </cell>
          <cell r="M1330">
            <v>0.72094261367210399</v>
          </cell>
          <cell r="N1330">
            <v>4</v>
          </cell>
        </row>
        <row r="1331">
          <cell r="E1331" t="str">
            <v>Arizona v California</v>
          </cell>
          <cell r="I1331" t="str">
            <v>LU</v>
          </cell>
          <cell r="K1331" t="str">
            <v>F</v>
          </cell>
          <cell r="M1331">
            <v>0.58784045462292001</v>
          </cell>
          <cell r="N1331">
            <v>4</v>
          </cell>
        </row>
        <row r="1332">
          <cell r="E1332" t="str">
            <v>Arizona v California</v>
          </cell>
          <cell r="I1332" t="str">
            <v>LU</v>
          </cell>
          <cell r="K1332" t="str">
            <v>F</v>
          </cell>
          <cell r="M1332">
            <v>0.30487478672197399</v>
          </cell>
          <cell r="N1332">
            <v>4</v>
          </cell>
        </row>
        <row r="1333">
          <cell r="E1333" t="str">
            <v>Arizona v California</v>
          </cell>
          <cell r="I1333" t="str">
            <v>LU</v>
          </cell>
          <cell r="K1333" t="str">
            <v>F</v>
          </cell>
          <cell r="M1333">
            <v>0.94969317332158398</v>
          </cell>
          <cell r="N1333">
            <v>4</v>
          </cell>
        </row>
        <row r="1334">
          <cell r="E1334" t="str">
            <v>Arizona v California</v>
          </cell>
          <cell r="I1334" t="str">
            <v>LU</v>
          </cell>
          <cell r="K1334" t="str">
            <v>F</v>
          </cell>
          <cell r="M1334">
            <v>0.61860023995753999</v>
          </cell>
          <cell r="N1334">
            <v>4</v>
          </cell>
        </row>
        <row r="1335">
          <cell r="E1335" t="str">
            <v>Arizona v California</v>
          </cell>
          <cell r="I1335" t="str">
            <v>LU</v>
          </cell>
          <cell r="K1335" t="str">
            <v>F</v>
          </cell>
          <cell r="M1335">
            <v>0.303419790440972</v>
          </cell>
          <cell r="N1335">
            <v>4</v>
          </cell>
        </row>
        <row r="1336">
          <cell r="E1336" t="str">
            <v>Arizona v California</v>
          </cell>
          <cell r="I1336" t="str">
            <v>LU</v>
          </cell>
          <cell r="K1336" t="str">
            <v>F</v>
          </cell>
          <cell r="M1336">
            <v>1.0273179835222901</v>
          </cell>
          <cell r="N1336">
            <v>4</v>
          </cell>
        </row>
        <row r="1337">
          <cell r="E1337" t="str">
            <v>Arizona v California</v>
          </cell>
          <cell r="I1337" t="str">
            <v>LU</v>
          </cell>
          <cell r="K1337" t="str">
            <v>F</v>
          </cell>
          <cell r="M1337">
            <v>1.0122101128066301</v>
          </cell>
          <cell r="N1337">
            <v>4</v>
          </cell>
        </row>
        <row r="1338">
          <cell r="E1338" t="str">
            <v>Arizona v California</v>
          </cell>
          <cell r="I1338" t="str">
            <v>LU</v>
          </cell>
          <cell r="K1338" t="str">
            <v>F</v>
          </cell>
          <cell r="M1338">
            <v>1.5108997783828999</v>
          </cell>
          <cell r="N1338">
            <v>4</v>
          </cell>
        </row>
        <row r="1339">
          <cell r="E1339" t="str">
            <v>Arizona v California</v>
          </cell>
          <cell r="I1339" t="str">
            <v>LU</v>
          </cell>
          <cell r="K1339" t="str">
            <v>F</v>
          </cell>
          <cell r="M1339">
            <v>0.96051889110564304</v>
          </cell>
          <cell r="N1339">
            <v>4</v>
          </cell>
        </row>
        <row r="1340">
          <cell r="E1340" t="str">
            <v>Arizona v California</v>
          </cell>
          <cell r="I1340" t="str">
            <v>LU</v>
          </cell>
          <cell r="K1340" t="str">
            <v>F</v>
          </cell>
          <cell r="M1340">
            <v>1.0205796953998001</v>
          </cell>
          <cell r="N1340">
            <v>4</v>
          </cell>
        </row>
        <row r="1341">
          <cell r="E1341" t="str">
            <v>Arizona v California</v>
          </cell>
          <cell r="I1341" t="str">
            <v>LU</v>
          </cell>
          <cell r="K1341" t="str">
            <v>F</v>
          </cell>
          <cell r="M1341">
            <v>0.618426141848056</v>
          </cell>
          <cell r="N1341">
            <v>4</v>
          </cell>
        </row>
        <row r="1342">
          <cell r="E1342" t="str">
            <v>Arizona v California</v>
          </cell>
          <cell r="I1342" t="str">
            <v>LU</v>
          </cell>
          <cell r="K1342" t="str">
            <v>F</v>
          </cell>
          <cell r="M1342">
            <v>5.0587139887757901</v>
          </cell>
          <cell r="N1342">
            <v>4</v>
          </cell>
        </row>
        <row r="1343">
          <cell r="E1343" t="str">
            <v>Arizona v California</v>
          </cell>
          <cell r="I1343" t="str">
            <v>LU</v>
          </cell>
          <cell r="K1343" t="str">
            <v>F</v>
          </cell>
          <cell r="M1343">
            <v>0.370817802600927</v>
          </cell>
          <cell r="N1343">
            <v>4</v>
          </cell>
        </row>
        <row r="1344">
          <cell r="E1344" t="str">
            <v>Arizona v California</v>
          </cell>
          <cell r="I1344" t="str">
            <v>LU</v>
          </cell>
          <cell r="K1344" t="str">
            <v>F</v>
          </cell>
          <cell r="M1344">
            <v>0.247638580412434</v>
          </cell>
          <cell r="N1344">
            <v>4</v>
          </cell>
        </row>
        <row r="1345">
          <cell r="E1345" t="str">
            <v>Arizona v California</v>
          </cell>
          <cell r="I1345" t="str">
            <v>LU</v>
          </cell>
          <cell r="K1345" t="str">
            <v>F</v>
          </cell>
          <cell r="M1345">
            <v>0.16499359345207701</v>
          </cell>
          <cell r="N1345">
            <v>4</v>
          </cell>
        </row>
        <row r="1346">
          <cell r="E1346" t="str">
            <v>Arizona v California</v>
          </cell>
          <cell r="I1346" t="str">
            <v>LU</v>
          </cell>
          <cell r="K1346" t="str">
            <v>DSL</v>
          </cell>
          <cell r="M1346">
            <v>0.39988149954404101</v>
          </cell>
          <cell r="N1346">
            <v>2</v>
          </cell>
        </row>
        <row r="1347">
          <cell r="E1347" t="str">
            <v>Arizona v California</v>
          </cell>
          <cell r="I1347" t="str">
            <v>LU</v>
          </cell>
          <cell r="K1347" t="str">
            <v>F</v>
          </cell>
          <cell r="M1347">
            <v>0.51717275901556303</v>
          </cell>
          <cell r="N1347">
            <v>4</v>
          </cell>
        </row>
        <row r="1348">
          <cell r="E1348" t="str">
            <v>Arizona v California</v>
          </cell>
          <cell r="I1348" t="str">
            <v>LU</v>
          </cell>
          <cell r="K1348" t="str">
            <v>F</v>
          </cell>
          <cell r="M1348">
            <v>0.44002697246255101</v>
          </cell>
          <cell r="N1348">
            <v>4</v>
          </cell>
        </row>
        <row r="1349">
          <cell r="E1349" t="str">
            <v>Arizona v California</v>
          </cell>
          <cell r="I1349" t="str">
            <v>LU</v>
          </cell>
          <cell r="K1349" t="str">
            <v>INP</v>
          </cell>
          <cell r="M1349">
            <v>2.5977184564533902</v>
          </cell>
          <cell r="N1349">
            <v>1</v>
          </cell>
        </row>
        <row r="1350">
          <cell r="E1350" t="str">
            <v>Arizona v California</v>
          </cell>
          <cell r="I1350" t="str">
            <v>LU</v>
          </cell>
          <cell r="K1350" t="str">
            <v>F</v>
          </cell>
          <cell r="M1350">
            <v>0.96729445902229905</v>
          </cell>
          <cell r="N1350">
            <v>4</v>
          </cell>
        </row>
        <row r="1351">
          <cell r="E1351" t="str">
            <v>Arizona v California</v>
          </cell>
          <cell r="I1351" t="str">
            <v>LU</v>
          </cell>
          <cell r="K1351" t="str">
            <v>INP</v>
          </cell>
          <cell r="M1351">
            <v>1.93091954623411</v>
          </cell>
          <cell r="N1351">
            <v>1</v>
          </cell>
        </row>
        <row r="1352">
          <cell r="E1352" t="str">
            <v>Arizona v California</v>
          </cell>
          <cell r="I1352" t="str">
            <v>LU</v>
          </cell>
          <cell r="K1352" t="str">
            <v>Res,W</v>
          </cell>
          <cell r="M1352">
            <v>0.34154398077475401</v>
          </cell>
          <cell r="N1352">
            <v>4</v>
          </cell>
        </row>
        <row r="1353">
          <cell r="E1353" t="str">
            <v>Arizona v California</v>
          </cell>
          <cell r="I1353" t="str">
            <v>LU</v>
          </cell>
          <cell r="K1353" t="str">
            <v>F</v>
          </cell>
          <cell r="M1353">
            <v>9.2400099197296998E-2</v>
          </cell>
          <cell r="N1353">
            <v>4</v>
          </cell>
        </row>
        <row r="1354">
          <cell r="E1354" t="str">
            <v>Arizona v California</v>
          </cell>
          <cell r="I1354" t="str">
            <v>LU</v>
          </cell>
          <cell r="K1354" t="str">
            <v>F</v>
          </cell>
          <cell r="M1354">
            <v>5.01585468004071</v>
          </cell>
          <cell r="N1354">
            <v>4</v>
          </cell>
        </row>
        <row r="1355">
          <cell r="E1355" t="str">
            <v>Arizona v California</v>
          </cell>
          <cell r="I1355" t="str">
            <v>LU</v>
          </cell>
          <cell r="K1355" t="str">
            <v>F</v>
          </cell>
          <cell r="M1355">
            <v>1.00269692503938</v>
          </cell>
          <cell r="N1355">
            <v>4</v>
          </cell>
        </row>
        <row r="1356">
          <cell r="E1356" t="str">
            <v>Arizona v California</v>
          </cell>
          <cell r="I1356" t="str">
            <v>LU</v>
          </cell>
          <cell r="K1356" t="str">
            <v>F</v>
          </cell>
          <cell r="M1356">
            <v>0.247547478688777</v>
          </cell>
          <cell r="N1356">
            <v>4</v>
          </cell>
        </row>
        <row r="1357">
          <cell r="E1357" t="str">
            <v>Arizona v California</v>
          </cell>
          <cell r="I1357" t="str">
            <v>LU</v>
          </cell>
          <cell r="K1357" t="str">
            <v>F</v>
          </cell>
          <cell r="M1357">
            <v>1.1329402047449899</v>
          </cell>
          <cell r="N1357">
            <v>4</v>
          </cell>
        </row>
        <row r="1358">
          <cell r="E1358" t="str">
            <v>Arizona v California</v>
          </cell>
          <cell r="I1358" t="str">
            <v>LU</v>
          </cell>
          <cell r="K1358" t="str">
            <v>F</v>
          </cell>
          <cell r="M1358">
            <v>0.84906894214391204</v>
          </cell>
          <cell r="N1358">
            <v>4</v>
          </cell>
        </row>
        <row r="1359">
          <cell r="E1359" t="str">
            <v>Arizona v California</v>
          </cell>
          <cell r="I1359" t="str">
            <v>LU</v>
          </cell>
          <cell r="K1359" t="str">
            <v>F</v>
          </cell>
          <cell r="M1359">
            <v>2.0399382299084201</v>
          </cell>
          <cell r="N1359">
            <v>4</v>
          </cell>
        </row>
        <row r="1360">
          <cell r="E1360" t="str">
            <v>Arizona v California</v>
          </cell>
          <cell r="I1360" t="str">
            <v>LU</v>
          </cell>
          <cell r="K1360" t="str">
            <v>Res,W</v>
          </cell>
          <cell r="M1360">
            <v>1.2523019836411899</v>
          </cell>
          <cell r="N1360">
            <v>4</v>
          </cell>
        </row>
        <row r="1361">
          <cell r="E1361" t="str">
            <v>Arizona v California</v>
          </cell>
          <cell r="I1361" t="str">
            <v>LU</v>
          </cell>
          <cell r="K1361" t="str">
            <v>F</v>
          </cell>
          <cell r="M1361">
            <v>6.2103383724496197</v>
          </cell>
          <cell r="N1361">
            <v>4</v>
          </cell>
        </row>
        <row r="1362">
          <cell r="E1362" t="str">
            <v>Arizona v California</v>
          </cell>
          <cell r="I1362" t="str">
            <v>LU</v>
          </cell>
          <cell r="K1362" t="str">
            <v>Out</v>
          </cell>
          <cell r="M1362">
            <v>0.19435455593571499</v>
          </cell>
          <cell r="N1362">
            <v>4</v>
          </cell>
        </row>
        <row r="1363">
          <cell r="E1363" t="str">
            <v>Arizona v California</v>
          </cell>
          <cell r="I1363" t="str">
            <v>LU</v>
          </cell>
          <cell r="K1363" t="str">
            <v>Out</v>
          </cell>
          <cell r="M1363">
            <v>0.24746907878910701</v>
          </cell>
          <cell r="N1363">
            <v>4</v>
          </cell>
        </row>
        <row r="1364">
          <cell r="E1364" t="str">
            <v>Arizona v California</v>
          </cell>
          <cell r="I1364" t="str">
            <v>LU</v>
          </cell>
          <cell r="K1364" t="str">
            <v>F</v>
          </cell>
          <cell r="M1364">
            <v>7.7128117963904994E-2</v>
          </cell>
          <cell r="N1364">
            <v>4</v>
          </cell>
        </row>
        <row r="1365">
          <cell r="E1365" t="str">
            <v>Arizona v California</v>
          </cell>
          <cell r="I1365" t="str">
            <v>LU</v>
          </cell>
          <cell r="K1365" t="str">
            <v>Out</v>
          </cell>
          <cell r="M1365">
            <v>1.0030428342904301</v>
          </cell>
          <cell r="N1365">
            <v>4</v>
          </cell>
        </row>
        <row r="1366">
          <cell r="E1366" t="str">
            <v>Arizona v California</v>
          </cell>
          <cell r="I1366" t="str">
            <v>LU</v>
          </cell>
          <cell r="K1366" t="str">
            <v>F</v>
          </cell>
          <cell r="M1366">
            <v>1.0058573512814999</v>
          </cell>
          <cell r="N1366">
            <v>4</v>
          </cell>
        </row>
        <row r="1367">
          <cell r="E1367" t="str">
            <v>Arizona v California</v>
          </cell>
          <cell r="I1367" t="str">
            <v>LU</v>
          </cell>
          <cell r="K1367" t="str">
            <v>DSL</v>
          </cell>
          <cell r="M1367">
            <v>9.8687537009073997E-2</v>
          </cell>
          <cell r="N1367">
            <v>2</v>
          </cell>
        </row>
        <row r="1368">
          <cell r="E1368" t="str">
            <v>Arizona v California</v>
          </cell>
          <cell r="I1368" t="str">
            <v>LU</v>
          </cell>
          <cell r="K1368" t="str">
            <v>DSL</v>
          </cell>
          <cell r="M1368">
            <v>6.0278616636709997E-2</v>
          </cell>
          <cell r="N1368">
            <v>2</v>
          </cell>
        </row>
        <row r="1369">
          <cell r="E1369" t="str">
            <v>Arizona v California</v>
          </cell>
          <cell r="I1369" t="str">
            <v>LU</v>
          </cell>
          <cell r="K1369" t="str">
            <v>DSL</v>
          </cell>
          <cell r="M1369">
            <v>6.7597856052039995E-2</v>
          </cell>
          <cell r="N1369">
            <v>2</v>
          </cell>
        </row>
        <row r="1370">
          <cell r="E1370" t="str">
            <v>Arizona v California</v>
          </cell>
          <cell r="I1370" t="str">
            <v>LU</v>
          </cell>
          <cell r="K1370" t="str">
            <v>DSL</v>
          </cell>
          <cell r="M1370">
            <v>0.241151291616994</v>
          </cell>
          <cell r="N1370">
            <v>2</v>
          </cell>
        </row>
        <row r="1371">
          <cell r="E1371" t="str">
            <v>Arizona v California</v>
          </cell>
          <cell r="I1371" t="str">
            <v>LU</v>
          </cell>
          <cell r="K1371" t="str">
            <v>DSL</v>
          </cell>
          <cell r="M1371">
            <v>7.5038550139900004E-2</v>
          </cell>
          <cell r="N1371">
            <v>2</v>
          </cell>
        </row>
        <row r="1372">
          <cell r="E1372" t="str">
            <v>Arizona v California</v>
          </cell>
          <cell r="I1372" t="str">
            <v>LU</v>
          </cell>
          <cell r="K1372" t="str">
            <v>F</v>
          </cell>
          <cell r="M1372">
            <v>0.48773356437274301</v>
          </cell>
          <cell r="N1372">
            <v>4</v>
          </cell>
        </row>
        <row r="1373">
          <cell r="E1373" t="str">
            <v>Arizona v California</v>
          </cell>
          <cell r="I1373" t="str">
            <v>LU</v>
          </cell>
          <cell r="K1373" t="str">
            <v>INP</v>
          </cell>
          <cell r="M1373">
            <v>4.4841392392612498</v>
          </cell>
          <cell r="N1373">
            <v>1</v>
          </cell>
        </row>
        <row r="1374">
          <cell r="E1374" t="str">
            <v>Arizona v California</v>
          </cell>
          <cell r="I1374" t="str">
            <v>LU</v>
          </cell>
          <cell r="K1374" t="str">
            <v>Out</v>
          </cell>
          <cell r="M1374">
            <v>2.82982908237264</v>
          </cell>
          <cell r="N1374">
            <v>4</v>
          </cell>
        </row>
        <row r="1375">
          <cell r="I1375" t="str">
            <v>LU</v>
          </cell>
          <cell r="K1375" t="str">
            <v>Out</v>
          </cell>
          <cell r="M1375">
            <v>3.8035092707751001</v>
          </cell>
          <cell r="N1375">
            <v>4</v>
          </cell>
        </row>
        <row r="1376">
          <cell r="E1376" t="str">
            <v>Arizona v California</v>
          </cell>
          <cell r="I1376" t="str">
            <v>GW</v>
          </cell>
          <cell r="K1376" t="str">
            <v>DSL</v>
          </cell>
          <cell r="M1376">
            <v>2.1899640758400001E-3</v>
          </cell>
          <cell r="N1376">
            <v>2</v>
          </cell>
        </row>
        <row r="1377">
          <cell r="E1377" t="str">
            <v>Arizona v California</v>
          </cell>
          <cell r="I1377" t="str">
            <v>GW</v>
          </cell>
          <cell r="K1377" t="str">
            <v>DSL</v>
          </cell>
          <cell r="M1377">
            <v>5.833920122806E-3</v>
          </cell>
          <cell r="N1377">
            <v>2</v>
          </cell>
        </row>
        <row r="1378">
          <cell r="E1378" t="str">
            <v>Arizona v California</v>
          </cell>
          <cell r="I1378" t="str">
            <v>GW</v>
          </cell>
          <cell r="K1378" t="str">
            <v>DSL</v>
          </cell>
          <cell r="M1378">
            <v>8.7952251676300004E-3</v>
          </cell>
          <cell r="N1378">
            <v>2</v>
          </cell>
        </row>
        <row r="1379">
          <cell r="E1379" t="str">
            <v>Arizona v California</v>
          </cell>
          <cell r="I1379" t="str">
            <v>GW</v>
          </cell>
          <cell r="K1379" t="str">
            <v>DSL</v>
          </cell>
          <cell r="M1379">
            <v>9.3565221041630002E-3</v>
          </cell>
          <cell r="N1379">
            <v>2</v>
          </cell>
        </row>
        <row r="1380">
          <cell r="E1380" t="str">
            <v>Arizona v California</v>
          </cell>
          <cell r="I1380" t="str">
            <v>GW</v>
          </cell>
          <cell r="K1380" t="str">
            <v>DSL</v>
          </cell>
          <cell r="M1380">
            <v>1.2650484709594E-2</v>
          </cell>
          <cell r="N1380">
            <v>2</v>
          </cell>
        </row>
        <row r="1381">
          <cell r="E1381" t="str">
            <v>Arizona v California</v>
          </cell>
          <cell r="I1381" t="str">
            <v>GW</v>
          </cell>
          <cell r="K1381" t="str">
            <v>DSL</v>
          </cell>
          <cell r="M1381">
            <v>1.365406982629E-2</v>
          </cell>
          <cell r="N1381">
            <v>2</v>
          </cell>
        </row>
        <row r="1382">
          <cell r="E1382" t="str">
            <v>Arizona v California</v>
          </cell>
          <cell r="I1382" t="str">
            <v>GW</v>
          </cell>
          <cell r="K1382" t="str">
            <v>DSL</v>
          </cell>
          <cell r="M1382">
            <v>1.4418337518437E-2</v>
          </cell>
          <cell r="N1382">
            <v>2</v>
          </cell>
        </row>
        <row r="1383">
          <cell r="E1383" t="str">
            <v>Arizona v California</v>
          </cell>
          <cell r="I1383" t="str">
            <v>GW</v>
          </cell>
          <cell r="K1383" t="str">
            <v>DSL</v>
          </cell>
          <cell r="M1383">
            <v>1.6274394580191E-2</v>
          </cell>
          <cell r="N1383">
            <v>2</v>
          </cell>
        </row>
        <row r="1384">
          <cell r="E1384" t="str">
            <v>Arizona v California</v>
          </cell>
          <cell r="I1384" t="str">
            <v>GW</v>
          </cell>
          <cell r="K1384" t="str">
            <v>DSL</v>
          </cell>
          <cell r="M1384">
            <v>2.2625166206174E-2</v>
          </cell>
          <cell r="N1384">
            <v>2</v>
          </cell>
        </row>
        <row r="1385">
          <cell r="E1385" t="str">
            <v>Arizona v California</v>
          </cell>
          <cell r="I1385" t="str">
            <v>GW</v>
          </cell>
          <cell r="K1385" t="str">
            <v>DSL</v>
          </cell>
          <cell r="M1385">
            <v>2.3004600032907E-2</v>
          </cell>
          <cell r="N1385">
            <v>2</v>
          </cell>
        </row>
        <row r="1386">
          <cell r="E1386" t="str">
            <v>Arizona v California</v>
          </cell>
          <cell r="I1386" t="str">
            <v>GW</v>
          </cell>
          <cell r="K1386" t="str">
            <v>DSL</v>
          </cell>
          <cell r="M1386">
            <v>2.6060514023439001E-2</v>
          </cell>
          <cell r="N1386">
            <v>2</v>
          </cell>
        </row>
        <row r="1387">
          <cell r="E1387" t="str">
            <v>Arizona v California</v>
          </cell>
          <cell r="I1387" t="str">
            <v>GW</v>
          </cell>
          <cell r="K1387" t="str">
            <v>MV</v>
          </cell>
          <cell r="M1387">
            <v>3.7811018749026003E-2</v>
          </cell>
          <cell r="N1387">
            <v>1</v>
          </cell>
        </row>
        <row r="1388">
          <cell r="E1388" t="str">
            <v>Arizona v California</v>
          </cell>
          <cell r="I1388" t="str">
            <v>GW</v>
          </cell>
          <cell r="K1388" t="str">
            <v>DSL</v>
          </cell>
          <cell r="M1388">
            <v>3.8527095802507003E-2</v>
          </cell>
          <cell r="N1388">
            <v>2</v>
          </cell>
        </row>
        <row r="1389">
          <cell r="E1389" t="str">
            <v>Arizona v California</v>
          </cell>
          <cell r="I1389" t="str">
            <v>GW</v>
          </cell>
          <cell r="K1389" t="str">
            <v>Fo</v>
          </cell>
          <cell r="M1389">
            <v>4.0264735727226997E-2</v>
          </cell>
          <cell r="N1389">
            <v>2</v>
          </cell>
        </row>
        <row r="1390">
          <cell r="E1390" t="str">
            <v>Arizona v California</v>
          </cell>
          <cell r="I1390" t="str">
            <v>GW</v>
          </cell>
          <cell r="K1390" t="str">
            <v>DSL</v>
          </cell>
          <cell r="M1390">
            <v>4.2822742858373002E-2</v>
          </cell>
          <cell r="N1390">
            <v>2</v>
          </cell>
        </row>
        <row r="1391">
          <cell r="E1391" t="str">
            <v>Arizona v California</v>
          </cell>
          <cell r="I1391" t="str">
            <v>GW</v>
          </cell>
          <cell r="K1391" t="str">
            <v>DSL</v>
          </cell>
          <cell r="M1391">
            <v>5.0676492039568997E-2</v>
          </cell>
          <cell r="N1391">
            <v>2</v>
          </cell>
        </row>
        <row r="1392">
          <cell r="E1392" t="str">
            <v>Arizona v California</v>
          </cell>
          <cell r="I1392" t="str">
            <v>GW</v>
          </cell>
          <cell r="K1392" t="str">
            <v>DSL</v>
          </cell>
          <cell r="M1392">
            <v>5.5392819705148998E-2</v>
          </cell>
          <cell r="N1392">
            <v>2</v>
          </cell>
        </row>
        <row r="1393">
          <cell r="E1393" t="str">
            <v>Arizona v California</v>
          </cell>
          <cell r="I1393" t="str">
            <v>GW</v>
          </cell>
          <cell r="K1393" t="str">
            <v>DSL</v>
          </cell>
          <cell r="M1393">
            <v>6.1432911912644002E-2</v>
          </cell>
          <cell r="N1393">
            <v>2</v>
          </cell>
        </row>
        <row r="1394">
          <cell r="E1394" t="str">
            <v>Arizona v California</v>
          </cell>
          <cell r="I1394" t="str">
            <v>GW</v>
          </cell>
          <cell r="K1394" t="str">
            <v>DSL</v>
          </cell>
          <cell r="M1394">
            <v>6.4316440214716997E-2</v>
          </cell>
          <cell r="N1394">
            <v>2</v>
          </cell>
        </row>
        <row r="1395">
          <cell r="E1395" t="str">
            <v>Arizona v California</v>
          </cell>
          <cell r="I1395" t="str">
            <v>GW</v>
          </cell>
          <cell r="K1395" t="str">
            <v>DSL</v>
          </cell>
          <cell r="M1395">
            <v>6.5216793805865994E-2</v>
          </cell>
          <cell r="N1395">
            <v>2</v>
          </cell>
        </row>
        <row r="1396">
          <cell r="E1396" t="str">
            <v>Arizona v California</v>
          </cell>
          <cell r="I1396" t="str">
            <v>GW</v>
          </cell>
          <cell r="K1396" t="str">
            <v>Tw</v>
          </cell>
          <cell r="M1396">
            <v>7.2571893490476005E-2</v>
          </cell>
          <cell r="N1396">
            <v>1</v>
          </cell>
        </row>
        <row r="1397">
          <cell r="E1397" t="str">
            <v>Arizona v California</v>
          </cell>
          <cell r="I1397" t="str">
            <v>GW</v>
          </cell>
          <cell r="K1397" t="str">
            <v>DSL</v>
          </cell>
          <cell r="M1397">
            <v>7.6400281390765004E-2</v>
          </cell>
          <cell r="N1397">
            <v>2</v>
          </cell>
        </row>
        <row r="1398">
          <cell r="E1398" t="str">
            <v>Arizona v California</v>
          </cell>
          <cell r="I1398" t="str">
            <v>GW</v>
          </cell>
          <cell r="K1398" t="str">
            <v>DSL</v>
          </cell>
          <cell r="M1398">
            <v>8.1651975027488999E-2</v>
          </cell>
          <cell r="N1398">
            <v>2</v>
          </cell>
        </row>
        <row r="1399">
          <cell r="E1399" t="str">
            <v>Arizona v California</v>
          </cell>
          <cell r="I1399" t="str">
            <v>GW</v>
          </cell>
          <cell r="K1399" t="str">
            <v>DSL</v>
          </cell>
          <cell r="M1399">
            <v>8.3944133898912004E-2</v>
          </cell>
          <cell r="N1399">
            <v>2</v>
          </cell>
        </row>
        <row r="1400">
          <cell r="E1400" t="str">
            <v>Arizona v California</v>
          </cell>
          <cell r="I1400" t="str">
            <v>GW</v>
          </cell>
          <cell r="K1400" t="str">
            <v>DSL</v>
          </cell>
          <cell r="M1400">
            <v>0.101368832047306</v>
          </cell>
          <cell r="N1400">
            <v>2</v>
          </cell>
        </row>
        <row r="1401">
          <cell r="E1401" t="str">
            <v>Arizona v California</v>
          </cell>
          <cell r="I1401" t="str">
            <v>GW</v>
          </cell>
          <cell r="K1401" t="str">
            <v>DSL</v>
          </cell>
          <cell r="M1401">
            <v>0.10501803371738</v>
          </cell>
          <cell r="N1401">
            <v>2</v>
          </cell>
        </row>
        <row r="1402">
          <cell r="E1402" t="str">
            <v>Arizona v California</v>
          </cell>
          <cell r="I1402" t="str">
            <v>GW</v>
          </cell>
          <cell r="K1402" t="str">
            <v>DSL</v>
          </cell>
          <cell r="M1402">
            <v>0.119782557563793</v>
          </cell>
          <cell r="N1402">
            <v>2</v>
          </cell>
        </row>
        <row r="1403">
          <cell r="E1403" t="str">
            <v>Arizona v California</v>
          </cell>
          <cell r="I1403" t="str">
            <v>GW</v>
          </cell>
          <cell r="K1403" t="str">
            <v>DSL</v>
          </cell>
          <cell r="M1403">
            <v>0.121268316775135</v>
          </cell>
          <cell r="N1403">
            <v>2</v>
          </cell>
        </row>
        <row r="1404">
          <cell r="E1404" t="str">
            <v>Arizona v California</v>
          </cell>
          <cell r="I1404" t="str">
            <v>GW</v>
          </cell>
          <cell r="K1404" t="str">
            <v>INP</v>
          </cell>
          <cell r="M1404">
            <v>0.12266612113223201</v>
          </cell>
          <cell r="N1404">
            <v>1</v>
          </cell>
        </row>
        <row r="1405">
          <cell r="E1405" t="str">
            <v>Arizona v California</v>
          </cell>
          <cell r="I1405" t="str">
            <v>GW</v>
          </cell>
          <cell r="K1405" t="str">
            <v>DSL</v>
          </cell>
          <cell r="M1405">
            <v>0.12286543894294499</v>
          </cell>
          <cell r="N1405">
            <v>3</v>
          </cell>
        </row>
        <row r="1406">
          <cell r="E1406" t="str">
            <v>Arizona v California</v>
          </cell>
          <cell r="I1406" t="str">
            <v>GW</v>
          </cell>
          <cell r="K1406" t="str">
            <v>DSL</v>
          </cell>
          <cell r="M1406">
            <v>0.123428277365824</v>
          </cell>
          <cell r="N1406">
            <v>1</v>
          </cell>
        </row>
        <row r="1407">
          <cell r="E1407" t="str">
            <v>Arizona v California</v>
          </cell>
          <cell r="I1407" t="str">
            <v>GW</v>
          </cell>
          <cell r="K1407" t="str">
            <v>DSL</v>
          </cell>
          <cell r="M1407">
            <v>0.12417949608761</v>
          </cell>
          <cell r="N1407">
            <v>2</v>
          </cell>
        </row>
        <row r="1408">
          <cell r="E1408" t="str">
            <v>Arizona v California</v>
          </cell>
          <cell r="I1408" t="str">
            <v>GW</v>
          </cell>
          <cell r="K1408" t="str">
            <v>DSL</v>
          </cell>
          <cell r="M1408">
            <v>0.153723977356862</v>
          </cell>
          <cell r="N1408">
            <v>2</v>
          </cell>
        </row>
        <row r="1409">
          <cell r="E1409" t="str">
            <v>Arizona v California</v>
          </cell>
          <cell r="I1409" t="str">
            <v>GW</v>
          </cell>
          <cell r="K1409" t="str">
            <v>INP</v>
          </cell>
          <cell r="M1409">
            <v>0.162999288064682</v>
          </cell>
          <cell r="N1409">
            <v>1</v>
          </cell>
        </row>
        <row r="1410">
          <cell r="E1410" t="str">
            <v>Arizona v California</v>
          </cell>
          <cell r="I1410" t="str">
            <v>GW</v>
          </cell>
          <cell r="K1410" t="str">
            <v>IPP</v>
          </cell>
          <cell r="M1410">
            <v>0.167667657877208</v>
          </cell>
          <cell r="N1410">
            <v>1</v>
          </cell>
        </row>
        <row r="1411">
          <cell r="E1411" t="str">
            <v>Arizona v California</v>
          </cell>
          <cell r="I1411" t="str">
            <v>GW</v>
          </cell>
          <cell r="K1411" t="str">
            <v>DSL</v>
          </cell>
          <cell r="M1411">
            <v>0.16817866215874</v>
          </cell>
          <cell r="N1411">
            <v>2</v>
          </cell>
        </row>
        <row r="1412">
          <cell r="E1412" t="str">
            <v>Arizona v California</v>
          </cell>
          <cell r="I1412" t="str">
            <v>GW</v>
          </cell>
          <cell r="K1412" t="str">
            <v>IPP</v>
          </cell>
          <cell r="M1412">
            <v>0.16993581212001899</v>
          </cell>
          <cell r="N1412">
            <v>1</v>
          </cell>
        </row>
        <row r="1413">
          <cell r="E1413" t="str">
            <v>Arizona v California</v>
          </cell>
          <cell r="I1413" t="str">
            <v>GW</v>
          </cell>
          <cell r="K1413" t="str">
            <v>DSL</v>
          </cell>
          <cell r="M1413">
            <v>0.17268241867803</v>
          </cell>
          <cell r="N1413">
            <v>2</v>
          </cell>
        </row>
        <row r="1414">
          <cell r="E1414" t="str">
            <v>Arizona v California</v>
          </cell>
          <cell r="I1414" t="str">
            <v>GW</v>
          </cell>
          <cell r="K1414" t="str">
            <v>DSL</v>
          </cell>
          <cell r="M1414">
            <v>0.18204229039112199</v>
          </cell>
          <cell r="N1414">
            <v>3</v>
          </cell>
        </row>
        <row r="1415">
          <cell r="E1415" t="str">
            <v>Arizona v California</v>
          </cell>
          <cell r="I1415" t="str">
            <v>GW</v>
          </cell>
          <cell r="K1415" t="str">
            <v>DSL</v>
          </cell>
          <cell r="M1415">
            <v>0.19320257191503701</v>
          </cell>
          <cell r="N1415">
            <v>2</v>
          </cell>
        </row>
        <row r="1416">
          <cell r="E1416" t="str">
            <v>Arizona v California</v>
          </cell>
          <cell r="I1416" t="str">
            <v>GW</v>
          </cell>
          <cell r="K1416" t="str">
            <v>INP</v>
          </cell>
          <cell r="M1416">
            <v>0.19506563337275401</v>
          </cell>
          <cell r="N1416">
            <v>1</v>
          </cell>
        </row>
        <row r="1417">
          <cell r="E1417" t="str">
            <v>Arizona v California</v>
          </cell>
          <cell r="I1417" t="str">
            <v>GW</v>
          </cell>
          <cell r="K1417" t="str">
            <v>DSL</v>
          </cell>
          <cell r="M1417">
            <v>0.20071865838413899</v>
          </cell>
          <cell r="N1417">
            <v>3</v>
          </cell>
        </row>
        <row r="1418">
          <cell r="E1418" t="str">
            <v>Arizona v California</v>
          </cell>
          <cell r="I1418" t="str">
            <v>GW</v>
          </cell>
          <cell r="K1418" t="str">
            <v>DSL</v>
          </cell>
          <cell r="M1418">
            <v>0.22079554547800201</v>
          </cell>
          <cell r="N1418">
            <v>2</v>
          </cell>
        </row>
        <row r="1419">
          <cell r="E1419" t="str">
            <v>Arizona v California</v>
          </cell>
          <cell r="I1419" t="str">
            <v>GW</v>
          </cell>
          <cell r="K1419" t="str">
            <v>F</v>
          </cell>
          <cell r="M1419">
            <v>6.2570905728714002E-2</v>
          </cell>
          <cell r="N1419">
            <v>4</v>
          </cell>
        </row>
        <row r="1420">
          <cell r="E1420" t="str">
            <v>Arizona v California</v>
          </cell>
          <cell r="I1420" t="str">
            <v>GW</v>
          </cell>
          <cell r="K1420" t="str">
            <v>DSL</v>
          </cell>
          <cell r="M1420">
            <v>0.23175766517333499</v>
          </cell>
          <cell r="N1420">
            <v>2</v>
          </cell>
        </row>
        <row r="1421">
          <cell r="E1421" t="str">
            <v>Arizona v California</v>
          </cell>
          <cell r="I1421" t="str">
            <v>GW</v>
          </cell>
          <cell r="K1421" t="str">
            <v>F</v>
          </cell>
          <cell r="M1421">
            <v>6.4882916703015006E-2</v>
          </cell>
          <cell r="N1421">
            <v>4</v>
          </cell>
        </row>
        <row r="1422">
          <cell r="E1422" t="str">
            <v>Arizona v California</v>
          </cell>
          <cell r="I1422" t="str">
            <v>GW</v>
          </cell>
          <cell r="K1422" t="str">
            <v>INP</v>
          </cell>
          <cell r="M1422">
            <v>0.24193176897239299</v>
          </cell>
          <cell r="N1422">
            <v>1</v>
          </cell>
        </row>
        <row r="1423">
          <cell r="E1423" t="str">
            <v>Arizona v California</v>
          </cell>
          <cell r="I1423" t="str">
            <v>GW</v>
          </cell>
          <cell r="K1423" t="str">
            <v>F</v>
          </cell>
          <cell r="M1423">
            <v>6.5574952480476997E-2</v>
          </cell>
          <cell r="N1423">
            <v>4</v>
          </cell>
        </row>
        <row r="1424">
          <cell r="E1424" t="str">
            <v>Arizona v California</v>
          </cell>
          <cell r="I1424" t="str">
            <v>GW</v>
          </cell>
          <cell r="K1424" t="str">
            <v>F</v>
          </cell>
          <cell r="M1424">
            <v>6.8466558095537006E-2</v>
          </cell>
          <cell r="N1424">
            <v>4</v>
          </cell>
        </row>
        <row r="1425">
          <cell r="E1425" t="str">
            <v>Arizona v California</v>
          </cell>
          <cell r="I1425" t="str">
            <v>GW</v>
          </cell>
          <cell r="K1425" t="str">
            <v>INP</v>
          </cell>
          <cell r="M1425">
            <v>0.25141703395288401</v>
          </cell>
          <cell r="N1425">
            <v>1</v>
          </cell>
        </row>
        <row r="1426">
          <cell r="E1426" t="str">
            <v>Arizona v California</v>
          </cell>
          <cell r="I1426" t="str">
            <v>GW</v>
          </cell>
          <cell r="K1426" t="str">
            <v>IPP</v>
          </cell>
          <cell r="M1426">
            <v>0.25943572096096901</v>
          </cell>
          <cell r="N1426">
            <v>1</v>
          </cell>
        </row>
        <row r="1427">
          <cell r="E1427" t="str">
            <v>Arizona v California</v>
          </cell>
          <cell r="I1427" t="str">
            <v>GW</v>
          </cell>
          <cell r="K1427" t="str">
            <v>Stk,W</v>
          </cell>
          <cell r="M1427">
            <v>7.6471681920795995E-2</v>
          </cell>
          <cell r="N1427">
            <v>4</v>
          </cell>
        </row>
        <row r="1428">
          <cell r="E1428" t="str">
            <v>Arizona v California</v>
          </cell>
          <cell r="I1428" t="str">
            <v>GW</v>
          </cell>
          <cell r="K1428" t="str">
            <v>F</v>
          </cell>
          <cell r="M1428">
            <v>8.1220612421085997E-2</v>
          </cell>
          <cell r="N1428">
            <v>4</v>
          </cell>
        </row>
        <row r="1429">
          <cell r="E1429" t="str">
            <v>Arizona v California</v>
          </cell>
          <cell r="I1429" t="str">
            <v>GW</v>
          </cell>
          <cell r="K1429" t="str">
            <v>INP</v>
          </cell>
          <cell r="M1429">
            <v>0.259507403485356</v>
          </cell>
          <cell r="N1429">
            <v>1</v>
          </cell>
        </row>
        <row r="1430">
          <cell r="E1430" t="str">
            <v>Arizona v California</v>
          </cell>
          <cell r="I1430" t="str">
            <v>GW</v>
          </cell>
          <cell r="K1430" t="str">
            <v>DSL</v>
          </cell>
          <cell r="M1430">
            <v>0.260750368476317</v>
          </cell>
          <cell r="N1430">
            <v>3</v>
          </cell>
        </row>
        <row r="1431">
          <cell r="E1431" t="str">
            <v>Arizona v California</v>
          </cell>
          <cell r="I1431" t="str">
            <v>GW</v>
          </cell>
          <cell r="K1431" t="str">
            <v>F</v>
          </cell>
          <cell r="M1431">
            <v>9.3547664300825006E-2</v>
          </cell>
          <cell r="N1431">
            <v>4</v>
          </cell>
        </row>
        <row r="1432">
          <cell r="E1432" t="str">
            <v>Arizona v California</v>
          </cell>
          <cell r="I1432" t="str">
            <v>GW</v>
          </cell>
          <cell r="K1432" t="str">
            <v>Fo</v>
          </cell>
          <cell r="M1432">
            <v>0.26671513395003199</v>
          </cell>
          <cell r="N1432">
            <v>2</v>
          </cell>
        </row>
        <row r="1433">
          <cell r="E1433" t="str">
            <v>Arizona v California</v>
          </cell>
          <cell r="I1433" t="str">
            <v>GW</v>
          </cell>
          <cell r="K1433" t="str">
            <v>IPP</v>
          </cell>
          <cell r="M1433">
            <v>0.27060001028360098</v>
          </cell>
          <cell r="N1433">
            <v>1</v>
          </cell>
        </row>
        <row r="1434">
          <cell r="E1434" t="str">
            <v>Arizona v California</v>
          </cell>
          <cell r="I1434" t="str">
            <v>GW</v>
          </cell>
          <cell r="K1434" t="str">
            <v>IPP</v>
          </cell>
          <cell r="M1434">
            <v>0.27070602698798202</v>
          </cell>
          <cell r="N1434">
            <v>1</v>
          </cell>
        </row>
        <row r="1435">
          <cell r="E1435" t="str">
            <v>Arizona v California</v>
          </cell>
          <cell r="I1435" t="str">
            <v>GW</v>
          </cell>
          <cell r="K1435" t="str">
            <v>F</v>
          </cell>
          <cell r="M1435">
            <v>0.119907927701286</v>
          </cell>
          <cell r="N1435">
            <v>4</v>
          </cell>
        </row>
        <row r="1436">
          <cell r="E1436" t="str">
            <v>Arizona v California</v>
          </cell>
          <cell r="I1436" t="str">
            <v>GW</v>
          </cell>
          <cell r="K1436" t="str">
            <v>DSL</v>
          </cell>
          <cell r="M1436">
            <v>0.27752233352269501</v>
          </cell>
          <cell r="N1436">
            <v>2</v>
          </cell>
        </row>
        <row r="1437">
          <cell r="E1437" t="str">
            <v>Arizona v California</v>
          </cell>
          <cell r="I1437" t="str">
            <v>GW</v>
          </cell>
          <cell r="K1437" t="str">
            <v>DSL</v>
          </cell>
          <cell r="M1437">
            <v>0.279172883219511</v>
          </cell>
          <cell r="N1437">
            <v>3</v>
          </cell>
        </row>
        <row r="1438">
          <cell r="E1438" t="str">
            <v>Arizona v California</v>
          </cell>
          <cell r="I1438" t="str">
            <v>GW</v>
          </cell>
          <cell r="K1438" t="str">
            <v>INP</v>
          </cell>
          <cell r="M1438">
            <v>0.33745601349812199</v>
          </cell>
          <cell r="N1438">
            <v>1</v>
          </cell>
        </row>
        <row r="1439">
          <cell r="E1439" t="str">
            <v>Arizona v California</v>
          </cell>
          <cell r="I1439" t="str">
            <v>GW</v>
          </cell>
          <cell r="K1439" t="str">
            <v>DSL</v>
          </cell>
          <cell r="M1439">
            <v>0.339674681207075</v>
          </cell>
          <cell r="N1439">
            <v>1</v>
          </cell>
        </row>
        <row r="1440">
          <cell r="E1440" t="str">
            <v>Arizona v California</v>
          </cell>
          <cell r="I1440" t="str">
            <v>GW</v>
          </cell>
          <cell r="K1440" t="str">
            <v>Res,D</v>
          </cell>
          <cell r="M1440">
            <v>0.13872525482534601</v>
          </cell>
          <cell r="N1440">
            <v>4</v>
          </cell>
        </row>
        <row r="1441">
          <cell r="E1441" t="str">
            <v>Arizona v California</v>
          </cell>
          <cell r="I1441" t="str">
            <v>GW</v>
          </cell>
          <cell r="K1441" t="str">
            <v>Res,D</v>
          </cell>
          <cell r="M1441">
            <v>0.14810625167197</v>
          </cell>
          <cell r="N1441">
            <v>4</v>
          </cell>
        </row>
        <row r="1442">
          <cell r="E1442" t="str">
            <v>Arizona v California</v>
          </cell>
          <cell r="I1442" t="str">
            <v>GW</v>
          </cell>
          <cell r="K1442" t="str">
            <v>F</v>
          </cell>
          <cell r="M1442">
            <v>0.151851846278998</v>
          </cell>
          <cell r="N1442">
            <v>4</v>
          </cell>
        </row>
        <row r="1443">
          <cell r="E1443" t="str">
            <v>Arizona v California</v>
          </cell>
          <cell r="I1443" t="str">
            <v>GW</v>
          </cell>
          <cell r="K1443" t="str">
            <v>IPP</v>
          </cell>
          <cell r="M1443">
            <v>0.34640586129457301</v>
          </cell>
          <cell r="N1443">
            <v>1</v>
          </cell>
        </row>
        <row r="1444">
          <cell r="E1444" t="str">
            <v>Arizona v California</v>
          </cell>
          <cell r="I1444" t="str">
            <v>GW</v>
          </cell>
          <cell r="K1444" t="str">
            <v>F</v>
          </cell>
          <cell r="M1444">
            <v>0.15972358503112299</v>
          </cell>
          <cell r="N1444">
            <v>4</v>
          </cell>
        </row>
        <row r="1445">
          <cell r="E1445" t="str">
            <v>Arizona v California</v>
          </cell>
          <cell r="I1445" t="str">
            <v>GW</v>
          </cell>
          <cell r="K1445" t="str">
            <v>H</v>
          </cell>
          <cell r="M1445">
            <v>0.35000085928111202</v>
          </cell>
          <cell r="N1445">
            <v>1</v>
          </cell>
        </row>
        <row r="1446">
          <cell r="E1446" t="str">
            <v>Arizona v California</v>
          </cell>
          <cell r="I1446" t="str">
            <v>GW</v>
          </cell>
          <cell r="K1446" t="str">
            <v>MV</v>
          </cell>
          <cell r="M1446">
            <v>0.35809092716188601</v>
          </cell>
          <cell r="N1446">
            <v>2</v>
          </cell>
        </row>
        <row r="1447">
          <cell r="E1447" t="str">
            <v>Arizona v California</v>
          </cell>
          <cell r="I1447" t="str">
            <v>GW</v>
          </cell>
          <cell r="K1447" t="str">
            <v>F</v>
          </cell>
          <cell r="M1447">
            <v>0.17551411045239401</v>
          </cell>
          <cell r="N1447">
            <v>4</v>
          </cell>
        </row>
        <row r="1448">
          <cell r="E1448" t="str">
            <v>Arizona v California</v>
          </cell>
          <cell r="I1448" t="str">
            <v>GW</v>
          </cell>
          <cell r="K1448" t="str">
            <v>DSL</v>
          </cell>
          <cell r="M1448">
            <v>0.35930032955247598</v>
          </cell>
          <cell r="N1448">
            <v>2</v>
          </cell>
        </row>
        <row r="1449">
          <cell r="E1449" t="str">
            <v>Arizona v California</v>
          </cell>
          <cell r="I1449" t="str">
            <v>GW</v>
          </cell>
          <cell r="K1449" t="str">
            <v>Out</v>
          </cell>
          <cell r="M1449">
            <v>0.18451082934985799</v>
          </cell>
          <cell r="N1449">
            <v>4</v>
          </cell>
        </row>
        <row r="1450">
          <cell r="E1450" t="str">
            <v>Arizona v California</v>
          </cell>
          <cell r="I1450" t="str">
            <v>GW</v>
          </cell>
          <cell r="K1450" t="str">
            <v>F</v>
          </cell>
          <cell r="M1450">
            <v>0.186948673040774</v>
          </cell>
          <cell r="N1450">
            <v>4</v>
          </cell>
        </row>
        <row r="1451">
          <cell r="E1451" t="str">
            <v>Arizona v California</v>
          </cell>
          <cell r="I1451" t="str">
            <v>GW</v>
          </cell>
          <cell r="K1451" t="str">
            <v>F</v>
          </cell>
          <cell r="M1451">
            <v>0.188223894970037</v>
          </cell>
          <cell r="N1451">
            <v>4</v>
          </cell>
        </row>
        <row r="1452">
          <cell r="E1452" t="str">
            <v>Arizona v California</v>
          </cell>
          <cell r="I1452" t="str">
            <v>GW</v>
          </cell>
          <cell r="K1452" t="str">
            <v>F</v>
          </cell>
          <cell r="M1452">
            <v>0.19089630538222299</v>
          </cell>
          <cell r="N1452">
            <v>4</v>
          </cell>
        </row>
        <row r="1453">
          <cell r="E1453" t="str">
            <v>Arizona v California</v>
          </cell>
          <cell r="I1453" t="str">
            <v>GW</v>
          </cell>
          <cell r="K1453" t="str">
            <v>DSL</v>
          </cell>
          <cell r="M1453">
            <v>0.365237711269427</v>
          </cell>
          <cell r="N1453">
            <v>2</v>
          </cell>
        </row>
        <row r="1454">
          <cell r="E1454" t="str">
            <v>Arizona v California</v>
          </cell>
          <cell r="I1454" t="str">
            <v>GW</v>
          </cell>
          <cell r="K1454" t="str">
            <v>DSL</v>
          </cell>
          <cell r="M1454">
            <v>0.38299334725199702</v>
          </cell>
          <cell r="N1454">
            <v>1</v>
          </cell>
        </row>
        <row r="1455">
          <cell r="E1455" t="str">
            <v>Arizona v California</v>
          </cell>
          <cell r="I1455" t="str">
            <v>GW</v>
          </cell>
          <cell r="K1455" t="str">
            <v>F</v>
          </cell>
          <cell r="M1455">
            <v>0.20726788667624299</v>
          </cell>
          <cell r="N1455">
            <v>4</v>
          </cell>
        </row>
        <row r="1456">
          <cell r="E1456" t="str">
            <v>Arizona v California</v>
          </cell>
          <cell r="I1456" t="str">
            <v>GW</v>
          </cell>
          <cell r="K1456" t="str">
            <v>IPP</v>
          </cell>
          <cell r="M1456">
            <v>0.393044721774091</v>
          </cell>
          <cell r="N1456">
            <v>1</v>
          </cell>
        </row>
        <row r="1457">
          <cell r="E1457" t="str">
            <v>Arizona v California</v>
          </cell>
          <cell r="I1457" t="str">
            <v>GW</v>
          </cell>
          <cell r="K1457" t="str">
            <v>Res,W</v>
          </cell>
          <cell r="M1457">
            <v>0.38581005851716899</v>
          </cell>
          <cell r="N1457">
            <v>4</v>
          </cell>
        </row>
        <row r="1458">
          <cell r="E1458" t="str">
            <v>Arizona v California</v>
          </cell>
          <cell r="I1458" t="str">
            <v>GW</v>
          </cell>
          <cell r="K1458" t="str">
            <v>IPP</v>
          </cell>
          <cell r="M1458">
            <v>0.43606587312147999</v>
          </cell>
          <cell r="N1458">
            <v>1</v>
          </cell>
        </row>
        <row r="1459">
          <cell r="E1459" t="str">
            <v>Arizona v California</v>
          </cell>
          <cell r="I1459" t="str">
            <v>GW</v>
          </cell>
          <cell r="K1459" t="str">
            <v>Res,W</v>
          </cell>
          <cell r="M1459">
            <v>0.37709825937767899</v>
          </cell>
          <cell r="N1459">
            <v>4</v>
          </cell>
        </row>
        <row r="1460">
          <cell r="E1460" t="str">
            <v>Arizona v California</v>
          </cell>
          <cell r="I1460" t="str">
            <v>GW</v>
          </cell>
          <cell r="K1460" t="str">
            <v>DSL</v>
          </cell>
          <cell r="M1460">
            <v>0.44442776176290499</v>
          </cell>
          <cell r="N1460">
            <v>2</v>
          </cell>
        </row>
        <row r="1461">
          <cell r="E1461" t="str">
            <v>Arizona v California</v>
          </cell>
          <cell r="I1461" t="str">
            <v>GW</v>
          </cell>
          <cell r="K1461" t="str">
            <v>F</v>
          </cell>
          <cell r="M1461">
            <v>0.24282065897194299</v>
          </cell>
          <cell r="N1461">
            <v>4</v>
          </cell>
        </row>
        <row r="1462">
          <cell r="E1462" t="str">
            <v>Arizona v California</v>
          </cell>
          <cell r="I1462" t="str">
            <v>GW</v>
          </cell>
          <cell r="K1462" t="str">
            <v>F</v>
          </cell>
          <cell r="M1462">
            <v>0.24460478375855599</v>
          </cell>
          <cell r="N1462">
            <v>4</v>
          </cell>
        </row>
        <row r="1463">
          <cell r="E1463" t="str">
            <v>Arizona v California</v>
          </cell>
          <cell r="I1463" t="str">
            <v>GW</v>
          </cell>
          <cell r="K1463" t="str">
            <v>Out</v>
          </cell>
          <cell r="M1463">
            <v>0.24742592758670501</v>
          </cell>
          <cell r="N1463">
            <v>4</v>
          </cell>
        </row>
        <row r="1464">
          <cell r="E1464" t="str">
            <v>Arizona v California</v>
          </cell>
          <cell r="I1464" t="str">
            <v>GW</v>
          </cell>
          <cell r="K1464" t="str">
            <v>Res,D</v>
          </cell>
          <cell r="M1464">
            <v>0.25509094360372803</v>
          </cell>
          <cell r="N1464">
            <v>4</v>
          </cell>
        </row>
        <row r="1465">
          <cell r="E1465" t="str">
            <v>Arizona v California</v>
          </cell>
          <cell r="I1465" t="str">
            <v>GW</v>
          </cell>
          <cell r="K1465" t="str">
            <v>F</v>
          </cell>
          <cell r="M1465">
            <v>0.258556856970801</v>
          </cell>
          <cell r="N1465">
            <v>4</v>
          </cell>
        </row>
        <row r="1466">
          <cell r="E1466" t="str">
            <v>Arizona v California</v>
          </cell>
          <cell r="I1466" t="str">
            <v>GW</v>
          </cell>
          <cell r="K1466" t="str">
            <v>INP</v>
          </cell>
          <cell r="M1466">
            <v>0.46667928161543598</v>
          </cell>
          <cell r="N1466">
            <v>2</v>
          </cell>
        </row>
        <row r="1467">
          <cell r="E1467" t="str">
            <v>Arizona v California</v>
          </cell>
          <cell r="I1467" t="str">
            <v>GW</v>
          </cell>
          <cell r="K1467" t="str">
            <v>IPP</v>
          </cell>
          <cell r="M1467">
            <v>0.46751127417258498</v>
          </cell>
          <cell r="N1467">
            <v>1</v>
          </cell>
        </row>
        <row r="1468">
          <cell r="E1468" t="str">
            <v>Arizona v California</v>
          </cell>
          <cell r="I1468" t="str">
            <v>GW</v>
          </cell>
          <cell r="K1468" t="str">
            <v>Res,D</v>
          </cell>
          <cell r="M1468">
            <v>0.27462300076944801</v>
          </cell>
          <cell r="N1468">
            <v>4</v>
          </cell>
        </row>
        <row r="1469">
          <cell r="E1469" t="str">
            <v>Arizona v California</v>
          </cell>
          <cell r="I1469" t="str">
            <v>GW</v>
          </cell>
          <cell r="K1469" t="str">
            <v>DSL</v>
          </cell>
          <cell r="M1469">
            <v>0.46769630631792303</v>
          </cell>
          <cell r="N1469">
            <v>2</v>
          </cell>
        </row>
        <row r="1470">
          <cell r="E1470" t="str">
            <v>Arizona v California</v>
          </cell>
          <cell r="I1470" t="str">
            <v>GW</v>
          </cell>
          <cell r="K1470" t="str">
            <v>INP</v>
          </cell>
          <cell r="M1470">
            <v>0.46842338349745</v>
          </cell>
          <cell r="N1470">
            <v>1</v>
          </cell>
        </row>
        <row r="1471">
          <cell r="E1471" t="str">
            <v>Arizona v California</v>
          </cell>
          <cell r="I1471" t="str">
            <v>GW</v>
          </cell>
          <cell r="K1471" t="str">
            <v>Res,D</v>
          </cell>
          <cell r="M1471">
            <v>0.29505330574077399</v>
          </cell>
          <cell r="N1471">
            <v>4</v>
          </cell>
        </row>
        <row r="1472">
          <cell r="E1472" t="str">
            <v>Arizona v California</v>
          </cell>
          <cell r="I1472" t="str">
            <v>GW</v>
          </cell>
          <cell r="K1472" t="str">
            <v>F</v>
          </cell>
          <cell r="M1472">
            <v>0.29915171345778002</v>
          </cell>
          <cell r="N1472">
            <v>4</v>
          </cell>
        </row>
        <row r="1473">
          <cell r="E1473" t="str">
            <v>Arizona v California</v>
          </cell>
          <cell r="I1473" t="str">
            <v>GW</v>
          </cell>
          <cell r="K1473" t="str">
            <v>F</v>
          </cell>
          <cell r="M1473">
            <v>0.32064460178637799</v>
          </cell>
          <cell r="N1473">
            <v>4</v>
          </cell>
        </row>
        <row r="1474">
          <cell r="E1474" t="str">
            <v>Arizona v California</v>
          </cell>
          <cell r="I1474" t="str">
            <v>GW</v>
          </cell>
          <cell r="K1474" t="str">
            <v>Res,D</v>
          </cell>
          <cell r="M1474">
            <v>0.328785025095372</v>
          </cell>
          <cell r="N1474">
            <v>4</v>
          </cell>
        </row>
        <row r="1475">
          <cell r="E1475" t="str">
            <v>Arizona v California</v>
          </cell>
          <cell r="I1475" t="str">
            <v>GW</v>
          </cell>
          <cell r="K1475" t="str">
            <v>Res,D</v>
          </cell>
          <cell r="M1475">
            <v>0.329696717685453</v>
          </cell>
          <cell r="N1475">
            <v>4</v>
          </cell>
        </row>
        <row r="1476">
          <cell r="E1476" t="str">
            <v>Arizona v California</v>
          </cell>
          <cell r="I1476" t="str">
            <v>GW</v>
          </cell>
          <cell r="K1476" t="str">
            <v>Tw</v>
          </cell>
          <cell r="M1476">
            <v>0.48317601420857698</v>
          </cell>
          <cell r="N1476">
            <v>1</v>
          </cell>
        </row>
        <row r="1477">
          <cell r="E1477" t="str">
            <v>Arizona v California</v>
          </cell>
          <cell r="I1477" t="str">
            <v>GW</v>
          </cell>
          <cell r="K1477" t="str">
            <v>INP</v>
          </cell>
          <cell r="M1477">
            <v>0.49526102125024601</v>
          </cell>
          <cell r="N1477">
            <v>1</v>
          </cell>
        </row>
        <row r="1478">
          <cell r="E1478" t="str">
            <v>Arizona v California</v>
          </cell>
          <cell r="I1478" t="str">
            <v>GW</v>
          </cell>
          <cell r="K1478" t="str">
            <v>F</v>
          </cell>
          <cell r="M1478">
            <v>0.36562534492586402</v>
          </cell>
          <cell r="N1478">
            <v>4</v>
          </cell>
        </row>
        <row r="1479">
          <cell r="E1479" t="str">
            <v>Arizona v California</v>
          </cell>
          <cell r="I1479" t="str">
            <v>GW</v>
          </cell>
          <cell r="K1479" t="str">
            <v>F</v>
          </cell>
          <cell r="M1479">
            <v>0.37255099404551401</v>
          </cell>
          <cell r="N1479">
            <v>4</v>
          </cell>
        </row>
        <row r="1480">
          <cell r="E1480" t="str">
            <v>Arizona v California</v>
          </cell>
          <cell r="I1480" t="str">
            <v>GW</v>
          </cell>
          <cell r="K1480" t="str">
            <v>IPP</v>
          </cell>
          <cell r="M1480">
            <v>0.49549590364488399</v>
          </cell>
          <cell r="N1480">
            <v>1</v>
          </cell>
        </row>
        <row r="1481">
          <cell r="E1481" t="str">
            <v>Arizona v California</v>
          </cell>
          <cell r="I1481" t="str">
            <v>GW</v>
          </cell>
          <cell r="K1481" t="str">
            <v>IPP</v>
          </cell>
          <cell r="M1481">
            <v>0.49961684651010502</v>
          </cell>
          <cell r="N1481">
            <v>1</v>
          </cell>
        </row>
        <row r="1482">
          <cell r="E1482" t="str">
            <v>Arizona v California</v>
          </cell>
          <cell r="I1482" t="str">
            <v>GW</v>
          </cell>
          <cell r="K1482" t="str">
            <v>F</v>
          </cell>
          <cell r="M1482">
            <v>0.420664830065549</v>
          </cell>
          <cell r="N1482">
            <v>4</v>
          </cell>
        </row>
        <row r="1483">
          <cell r="E1483" t="str">
            <v>Arizona v California</v>
          </cell>
          <cell r="I1483" t="str">
            <v>GW</v>
          </cell>
          <cell r="K1483" t="str">
            <v>IPP</v>
          </cell>
          <cell r="M1483">
            <v>0.53419645704821495</v>
          </cell>
          <cell r="N1483">
            <v>1</v>
          </cell>
        </row>
        <row r="1484">
          <cell r="E1484" t="str">
            <v>Arizona v California</v>
          </cell>
          <cell r="I1484" t="str">
            <v>GW</v>
          </cell>
          <cell r="K1484" t="str">
            <v>INP</v>
          </cell>
          <cell r="M1484">
            <v>0.53727772487394398</v>
          </cell>
          <cell r="N1484">
            <v>1</v>
          </cell>
        </row>
        <row r="1485">
          <cell r="E1485" t="str">
            <v>Arizona v California</v>
          </cell>
          <cell r="I1485" t="str">
            <v>GW</v>
          </cell>
          <cell r="K1485" t="str">
            <v>DSL</v>
          </cell>
          <cell r="M1485">
            <v>0.67883675331080995</v>
          </cell>
          <cell r="N1485">
            <v>2</v>
          </cell>
        </row>
        <row r="1486">
          <cell r="E1486" t="str">
            <v>Arizona v California</v>
          </cell>
          <cell r="I1486" t="str">
            <v>GW</v>
          </cell>
          <cell r="K1486" t="str">
            <v>IPP</v>
          </cell>
          <cell r="M1486">
            <v>0.68111616456215696</v>
          </cell>
          <cell r="N1486">
            <v>1</v>
          </cell>
        </row>
        <row r="1487">
          <cell r="E1487" t="str">
            <v>Arizona v California</v>
          </cell>
          <cell r="I1487" t="str">
            <v>GW</v>
          </cell>
          <cell r="K1487" t="str">
            <v>IPP</v>
          </cell>
          <cell r="M1487">
            <v>0.734131581322649</v>
          </cell>
          <cell r="N1487">
            <v>1</v>
          </cell>
        </row>
        <row r="1488">
          <cell r="E1488" t="str">
            <v>Arizona v California</v>
          </cell>
          <cell r="I1488" t="str">
            <v>GW</v>
          </cell>
          <cell r="K1488" t="str">
            <v>INP</v>
          </cell>
          <cell r="M1488">
            <v>0.74210702730316502</v>
          </cell>
          <cell r="N1488">
            <v>1</v>
          </cell>
        </row>
        <row r="1489">
          <cell r="E1489" t="str">
            <v>Arizona v California</v>
          </cell>
          <cell r="I1489" t="str">
            <v>GW</v>
          </cell>
          <cell r="K1489" t="str">
            <v>F</v>
          </cell>
          <cell r="M1489">
            <v>0.51414471344054002</v>
          </cell>
          <cell r="N1489">
            <v>4</v>
          </cell>
        </row>
        <row r="1490">
          <cell r="E1490" t="str">
            <v>Arizona v California</v>
          </cell>
          <cell r="I1490" t="str">
            <v>GW</v>
          </cell>
          <cell r="K1490" t="str">
            <v>F</v>
          </cell>
          <cell r="M1490">
            <v>1.2159747103152601</v>
          </cell>
          <cell r="N1490">
            <v>4</v>
          </cell>
        </row>
        <row r="1491">
          <cell r="E1491" t="str">
            <v>Arizona v California</v>
          </cell>
          <cell r="I1491" t="str">
            <v>GW</v>
          </cell>
          <cell r="K1491" t="str">
            <v>Out</v>
          </cell>
          <cell r="M1491">
            <v>0.51948240410657298</v>
          </cell>
          <cell r="N1491">
            <v>4</v>
          </cell>
        </row>
        <row r="1492">
          <cell r="E1492" t="str">
            <v>Arizona v California</v>
          </cell>
          <cell r="I1492" t="str">
            <v>GW</v>
          </cell>
          <cell r="K1492" t="str">
            <v>INP</v>
          </cell>
          <cell r="M1492">
            <v>0.75129666264475803</v>
          </cell>
          <cell r="N1492">
            <v>1</v>
          </cell>
        </row>
        <row r="1493">
          <cell r="E1493" t="str">
            <v>Arizona v California</v>
          </cell>
          <cell r="I1493" t="str">
            <v>GW</v>
          </cell>
          <cell r="K1493" t="str">
            <v>F</v>
          </cell>
          <cell r="M1493">
            <v>0.54412215021807897</v>
          </cell>
          <cell r="N1493">
            <v>4</v>
          </cell>
        </row>
        <row r="1494">
          <cell r="E1494" t="str">
            <v>Arizona v California</v>
          </cell>
          <cell r="I1494" t="str">
            <v>GW</v>
          </cell>
          <cell r="K1494" t="str">
            <v>NI</v>
          </cell>
          <cell r="M1494">
            <v>0.54497112262717795</v>
          </cell>
          <cell r="N1494">
            <v>4</v>
          </cell>
        </row>
        <row r="1495">
          <cell r="E1495" t="str">
            <v>Arizona v California</v>
          </cell>
          <cell r="I1495" t="str">
            <v>GW</v>
          </cell>
          <cell r="K1495" t="str">
            <v>F</v>
          </cell>
          <cell r="M1495">
            <v>2.10758149459945</v>
          </cell>
          <cell r="N1495">
            <v>4</v>
          </cell>
        </row>
        <row r="1496">
          <cell r="E1496" t="str">
            <v>Arizona v California</v>
          </cell>
          <cell r="I1496" t="str">
            <v>GW</v>
          </cell>
          <cell r="K1496" t="str">
            <v>Res,D</v>
          </cell>
          <cell r="M1496">
            <v>0.546528895803577</v>
          </cell>
          <cell r="N1496">
            <v>4</v>
          </cell>
        </row>
        <row r="1497">
          <cell r="E1497" t="str">
            <v>Arizona v California</v>
          </cell>
          <cell r="I1497" t="str">
            <v>GW</v>
          </cell>
          <cell r="K1497" t="str">
            <v>F</v>
          </cell>
          <cell r="M1497">
            <v>1.3251863367661001</v>
          </cell>
          <cell r="N1497">
            <v>4</v>
          </cell>
        </row>
        <row r="1498">
          <cell r="E1498" t="str">
            <v>Arizona v California</v>
          </cell>
          <cell r="I1498" t="str">
            <v>GW</v>
          </cell>
          <cell r="K1498" t="str">
            <v>F</v>
          </cell>
          <cell r="M1498">
            <v>0.55680881551441097</v>
          </cell>
          <cell r="N1498">
            <v>4</v>
          </cell>
        </row>
        <row r="1499">
          <cell r="E1499" t="str">
            <v>Arizona v California</v>
          </cell>
          <cell r="I1499" t="str">
            <v>GW</v>
          </cell>
          <cell r="K1499" t="str">
            <v>F</v>
          </cell>
          <cell r="M1499">
            <v>1.1718688109497499</v>
          </cell>
          <cell r="N1499">
            <v>4</v>
          </cell>
        </row>
        <row r="1500">
          <cell r="E1500" t="str">
            <v>Arizona v California</v>
          </cell>
          <cell r="I1500" t="str">
            <v>GW</v>
          </cell>
          <cell r="K1500" t="str">
            <v>F</v>
          </cell>
          <cell r="M1500">
            <v>8.71267724841878</v>
          </cell>
          <cell r="N1500">
            <v>4</v>
          </cell>
        </row>
        <row r="1501">
          <cell r="E1501" t="str">
            <v>Arizona v California</v>
          </cell>
          <cell r="I1501" t="str">
            <v>GW</v>
          </cell>
          <cell r="K1501" t="str">
            <v>DSL</v>
          </cell>
          <cell r="M1501">
            <v>0.81012723024879096</v>
          </cell>
          <cell r="N1501">
            <v>3</v>
          </cell>
        </row>
        <row r="1502">
          <cell r="E1502" t="str">
            <v>Arizona v California</v>
          </cell>
          <cell r="I1502" t="str">
            <v>GW</v>
          </cell>
          <cell r="K1502" t="str">
            <v>IPP</v>
          </cell>
          <cell r="M1502">
            <v>0.81619179449469503</v>
          </cell>
          <cell r="N1502">
            <v>1</v>
          </cell>
        </row>
        <row r="1503">
          <cell r="E1503" t="str">
            <v>Arizona v California</v>
          </cell>
          <cell r="I1503" t="str">
            <v>GW</v>
          </cell>
          <cell r="K1503" t="str">
            <v>IPP</v>
          </cell>
          <cell r="M1503">
            <v>0.83908037697288895</v>
          </cell>
          <cell r="N1503">
            <v>1</v>
          </cell>
        </row>
        <row r="1504">
          <cell r="E1504" t="str">
            <v>Arizona v California</v>
          </cell>
          <cell r="I1504" t="str">
            <v>GW</v>
          </cell>
          <cell r="K1504" t="str">
            <v>F</v>
          </cell>
          <cell r="M1504">
            <v>0.55824554645247804</v>
          </cell>
          <cell r="N1504">
            <v>4</v>
          </cell>
        </row>
        <row r="1505">
          <cell r="E1505" t="str">
            <v>Arizona v California</v>
          </cell>
          <cell r="I1505" t="str">
            <v>GW</v>
          </cell>
          <cell r="K1505" t="str">
            <v>F</v>
          </cell>
          <cell r="M1505">
            <v>2.1499680063959001</v>
          </cell>
          <cell r="N1505">
            <v>4</v>
          </cell>
        </row>
        <row r="1506">
          <cell r="E1506" t="str">
            <v>Arizona v California</v>
          </cell>
          <cell r="I1506" t="str">
            <v>GW</v>
          </cell>
          <cell r="K1506" t="str">
            <v>Res,W</v>
          </cell>
          <cell r="M1506">
            <v>0.56949893632492699</v>
          </cell>
          <cell r="N1506">
            <v>4</v>
          </cell>
        </row>
        <row r="1507">
          <cell r="E1507" t="str">
            <v>Arizona v California</v>
          </cell>
          <cell r="I1507" t="str">
            <v>GW</v>
          </cell>
          <cell r="K1507" t="str">
            <v>F</v>
          </cell>
          <cell r="M1507">
            <v>0.58690990670871801</v>
          </cell>
          <cell r="N1507">
            <v>4</v>
          </cell>
        </row>
        <row r="1508">
          <cell r="E1508" t="str">
            <v>Arizona v California</v>
          </cell>
          <cell r="I1508" t="str">
            <v>GW</v>
          </cell>
          <cell r="K1508" t="str">
            <v>F</v>
          </cell>
          <cell r="M1508">
            <v>0.60515487108272104</v>
          </cell>
          <cell r="N1508">
            <v>4</v>
          </cell>
        </row>
        <row r="1509">
          <cell r="E1509" t="str">
            <v>Arizona v California</v>
          </cell>
          <cell r="I1509" t="str">
            <v>GW</v>
          </cell>
          <cell r="K1509" t="str">
            <v>INP</v>
          </cell>
          <cell r="M1509">
            <v>0.85337468786098403</v>
          </cell>
          <cell r="N1509">
            <v>1</v>
          </cell>
        </row>
        <row r="1510">
          <cell r="E1510" t="str">
            <v>Arizona v California</v>
          </cell>
          <cell r="I1510" t="str">
            <v>GW</v>
          </cell>
          <cell r="K1510" t="str">
            <v>F</v>
          </cell>
          <cell r="M1510">
            <v>0.397981427072712</v>
          </cell>
          <cell r="N1510">
            <v>4</v>
          </cell>
        </row>
        <row r="1511">
          <cell r="E1511" t="str">
            <v>Arizona v California</v>
          </cell>
          <cell r="I1511" t="str">
            <v>GW</v>
          </cell>
          <cell r="K1511" t="str">
            <v>INP</v>
          </cell>
          <cell r="M1511">
            <v>0.86514301331366295</v>
          </cell>
          <cell r="N1511">
            <v>1</v>
          </cell>
        </row>
        <row r="1512">
          <cell r="E1512" t="str">
            <v>Arizona v California</v>
          </cell>
          <cell r="I1512" t="str">
            <v>GW</v>
          </cell>
          <cell r="K1512" t="str">
            <v>F</v>
          </cell>
          <cell r="M1512">
            <v>0.62682775423324399</v>
          </cell>
          <cell r="N1512">
            <v>4</v>
          </cell>
        </row>
        <row r="1513">
          <cell r="E1513" t="str">
            <v>Arizona v California</v>
          </cell>
          <cell r="I1513" t="str">
            <v>GW</v>
          </cell>
          <cell r="K1513" t="str">
            <v>IPP</v>
          </cell>
          <cell r="M1513">
            <v>0.88384661930083197</v>
          </cell>
          <cell r="N1513">
            <v>1</v>
          </cell>
        </row>
        <row r="1514">
          <cell r="E1514" t="str">
            <v>Arizona v California</v>
          </cell>
          <cell r="I1514" t="str">
            <v>GW</v>
          </cell>
          <cell r="K1514" t="str">
            <v>DSL</v>
          </cell>
          <cell r="M1514">
            <v>0.89273665938334001</v>
          </cell>
          <cell r="N1514">
            <v>2</v>
          </cell>
        </row>
        <row r="1515">
          <cell r="E1515" t="str">
            <v>Arizona v California</v>
          </cell>
          <cell r="I1515" t="str">
            <v>GW</v>
          </cell>
          <cell r="K1515" t="str">
            <v>F</v>
          </cell>
          <cell r="M1515">
            <v>0.63807602432082</v>
          </cell>
          <cell r="N1515">
            <v>4</v>
          </cell>
        </row>
        <row r="1516">
          <cell r="E1516" t="str">
            <v>Arizona v California</v>
          </cell>
          <cell r="I1516" t="str">
            <v>GW</v>
          </cell>
          <cell r="K1516" t="str">
            <v>MV</v>
          </cell>
          <cell r="M1516">
            <v>0.89463246901244098</v>
          </cell>
          <cell r="N1516">
            <v>1</v>
          </cell>
        </row>
        <row r="1517">
          <cell r="E1517" t="str">
            <v>Arizona v California</v>
          </cell>
          <cell r="I1517" t="str">
            <v>GW</v>
          </cell>
          <cell r="K1517" t="str">
            <v>F</v>
          </cell>
          <cell r="M1517">
            <v>1.1897753719336099</v>
          </cell>
          <cell r="N1517">
            <v>4</v>
          </cell>
        </row>
        <row r="1518">
          <cell r="E1518" t="str">
            <v>Arizona v California</v>
          </cell>
          <cell r="I1518" t="str">
            <v>GW</v>
          </cell>
          <cell r="K1518" t="str">
            <v>Fo</v>
          </cell>
          <cell r="M1518">
            <v>0.938972143327648</v>
          </cell>
          <cell r="N1518">
            <v>1</v>
          </cell>
        </row>
        <row r="1519">
          <cell r="E1519" t="str">
            <v>Arizona v California</v>
          </cell>
          <cell r="I1519" t="str">
            <v>GW</v>
          </cell>
          <cell r="K1519" t="str">
            <v>INP</v>
          </cell>
          <cell r="M1519">
            <v>0.95408873007304296</v>
          </cell>
          <cell r="N1519">
            <v>1</v>
          </cell>
        </row>
        <row r="1520">
          <cell r="E1520" t="str">
            <v>Arizona v California</v>
          </cell>
          <cell r="I1520" t="str">
            <v>GW</v>
          </cell>
          <cell r="K1520" t="str">
            <v>F</v>
          </cell>
          <cell r="M1520">
            <v>0.65051050234119401</v>
          </cell>
          <cell r="N1520">
            <v>4</v>
          </cell>
        </row>
        <row r="1521">
          <cell r="E1521" t="str">
            <v>Arizona v California</v>
          </cell>
          <cell r="I1521" t="str">
            <v>GW</v>
          </cell>
          <cell r="K1521" t="str">
            <v>DSL</v>
          </cell>
          <cell r="M1521">
            <v>0.96203433813328099</v>
          </cell>
          <cell r="N1521">
            <v>2</v>
          </cell>
        </row>
        <row r="1522">
          <cell r="E1522" t="str">
            <v>Arizona v California</v>
          </cell>
          <cell r="I1522" t="str">
            <v>GW</v>
          </cell>
          <cell r="K1522" t="str">
            <v>INP</v>
          </cell>
          <cell r="M1522">
            <v>1.0502429966834901</v>
          </cell>
          <cell r="N1522">
            <v>1</v>
          </cell>
        </row>
        <row r="1523">
          <cell r="E1523" t="str">
            <v>Arizona v California</v>
          </cell>
          <cell r="I1523" t="str">
            <v>GW</v>
          </cell>
          <cell r="K1523" t="str">
            <v>DSL</v>
          </cell>
          <cell r="M1523">
            <v>1.07832962180725</v>
          </cell>
          <cell r="N1523">
            <v>2</v>
          </cell>
        </row>
        <row r="1524">
          <cell r="E1524" t="str">
            <v>Arizona v California</v>
          </cell>
          <cell r="I1524" t="str">
            <v>GW</v>
          </cell>
          <cell r="K1524" t="str">
            <v>IPP</v>
          </cell>
          <cell r="M1524">
            <v>1.1299885709805999</v>
          </cell>
          <cell r="N1524">
            <v>1</v>
          </cell>
        </row>
        <row r="1525">
          <cell r="E1525" t="str">
            <v>Arizona v California</v>
          </cell>
          <cell r="I1525" t="str">
            <v>GW</v>
          </cell>
          <cell r="K1525" t="str">
            <v>F</v>
          </cell>
          <cell r="M1525">
            <v>0.65652806388545304</v>
          </cell>
          <cell r="N1525">
            <v>4</v>
          </cell>
        </row>
        <row r="1526">
          <cell r="E1526" t="str">
            <v>Arizona v California</v>
          </cell>
          <cell r="I1526" t="str">
            <v>GW</v>
          </cell>
          <cell r="K1526" t="str">
            <v>IPP</v>
          </cell>
          <cell r="M1526">
            <v>1.1378021758938599</v>
          </cell>
          <cell r="N1526">
            <v>1</v>
          </cell>
        </row>
        <row r="1527">
          <cell r="E1527" t="str">
            <v>Arizona v California</v>
          </cell>
          <cell r="I1527" t="str">
            <v>GW</v>
          </cell>
          <cell r="K1527" t="str">
            <v>IPP</v>
          </cell>
          <cell r="M1527">
            <v>1.1512087877035799</v>
          </cell>
          <cell r="N1527">
            <v>1</v>
          </cell>
        </row>
        <row r="1528">
          <cell r="E1528" t="str">
            <v>Arizona v California</v>
          </cell>
          <cell r="I1528" t="str">
            <v>GW</v>
          </cell>
          <cell r="K1528" t="str">
            <v>Res,W</v>
          </cell>
          <cell r="M1528">
            <v>0.357715164424937</v>
          </cell>
          <cell r="N1528">
            <v>4</v>
          </cell>
        </row>
        <row r="1529">
          <cell r="E1529" t="str">
            <v>Arizona v California</v>
          </cell>
          <cell r="I1529" t="str">
            <v>GW</v>
          </cell>
          <cell r="K1529" t="str">
            <v>INP</v>
          </cell>
          <cell r="M1529">
            <v>1.17782999407983</v>
          </cell>
          <cell r="N1529">
            <v>1</v>
          </cell>
        </row>
        <row r="1530">
          <cell r="E1530" t="str">
            <v>Arizona v California</v>
          </cell>
          <cell r="I1530" t="str">
            <v>GW</v>
          </cell>
          <cell r="K1530" t="str">
            <v>Stk,D</v>
          </cell>
          <cell r="M1530">
            <v>0.65828164976257597</v>
          </cell>
          <cell r="N1530">
            <v>4</v>
          </cell>
        </row>
        <row r="1531">
          <cell r="E1531" t="str">
            <v>Arizona v California</v>
          </cell>
          <cell r="I1531" t="str">
            <v>GW</v>
          </cell>
          <cell r="K1531" t="str">
            <v>DSL</v>
          </cell>
          <cell r="M1531">
            <v>1.18366724352637</v>
          </cell>
          <cell r="N1531">
            <v>2</v>
          </cell>
        </row>
        <row r="1532">
          <cell r="E1532" t="str">
            <v>Arizona v California</v>
          </cell>
          <cell r="I1532" t="str">
            <v>GW</v>
          </cell>
          <cell r="K1532" t="str">
            <v>Res,W</v>
          </cell>
          <cell r="M1532">
            <v>0.78246624981976898</v>
          </cell>
          <cell r="N1532">
            <v>4</v>
          </cell>
        </row>
        <row r="1533">
          <cell r="E1533" t="str">
            <v>Arizona v California</v>
          </cell>
          <cell r="I1533" t="str">
            <v>GW</v>
          </cell>
          <cell r="K1533" t="str">
            <v>IPP</v>
          </cell>
          <cell r="M1533">
            <v>1.2009127339543999</v>
          </cell>
          <cell r="N1533">
            <v>1</v>
          </cell>
        </row>
        <row r="1534">
          <cell r="E1534" t="str">
            <v>Arizona v California</v>
          </cell>
          <cell r="I1534" t="str">
            <v>GW</v>
          </cell>
          <cell r="K1534" t="str">
            <v>IPP</v>
          </cell>
          <cell r="M1534">
            <v>1.3569014482260999</v>
          </cell>
          <cell r="N1534">
            <v>1</v>
          </cell>
        </row>
        <row r="1535">
          <cell r="E1535" t="str">
            <v>Arizona v California</v>
          </cell>
          <cell r="I1535" t="str">
            <v>GW</v>
          </cell>
          <cell r="K1535" t="str">
            <v>MV</v>
          </cell>
          <cell r="M1535">
            <v>1.3699322915338901</v>
          </cell>
          <cell r="N1535">
            <v>1</v>
          </cell>
        </row>
        <row r="1536">
          <cell r="E1536" t="str">
            <v>Arizona v California</v>
          </cell>
          <cell r="I1536" t="str">
            <v>GW</v>
          </cell>
          <cell r="K1536" t="str">
            <v>IPP</v>
          </cell>
          <cell r="M1536">
            <v>1.4303907600328101</v>
          </cell>
          <cell r="N1536">
            <v>1</v>
          </cell>
        </row>
        <row r="1537">
          <cell r="E1537" t="str">
            <v>Arizona v California</v>
          </cell>
          <cell r="I1537" t="str">
            <v>GW</v>
          </cell>
          <cell r="K1537" t="str">
            <v>IPP</v>
          </cell>
          <cell r="M1537">
            <v>1.43052348302606</v>
          </cell>
          <cell r="N1537">
            <v>1</v>
          </cell>
        </row>
        <row r="1538">
          <cell r="E1538" t="str">
            <v>Arizona v California</v>
          </cell>
          <cell r="I1538" t="str">
            <v>GW</v>
          </cell>
          <cell r="K1538" t="str">
            <v>Res,W</v>
          </cell>
          <cell r="M1538">
            <v>0.58221539965143498</v>
          </cell>
          <cell r="N1538">
            <v>4</v>
          </cell>
        </row>
        <row r="1539">
          <cell r="E1539" t="str">
            <v>Arizona v California</v>
          </cell>
          <cell r="I1539" t="str">
            <v>GW</v>
          </cell>
          <cell r="K1539" t="str">
            <v>DSL</v>
          </cell>
          <cell r="M1539">
            <v>1.4697343278939901</v>
          </cell>
          <cell r="N1539">
            <v>2</v>
          </cell>
        </row>
        <row r="1540">
          <cell r="E1540" t="str">
            <v>Arizona v California</v>
          </cell>
          <cell r="I1540" t="str">
            <v>GW</v>
          </cell>
          <cell r="K1540" t="str">
            <v>F</v>
          </cell>
          <cell r="M1540">
            <v>0.66033029772062701</v>
          </cell>
          <cell r="N1540">
            <v>4</v>
          </cell>
        </row>
        <row r="1541">
          <cell r="E1541" t="str">
            <v>Arizona v California</v>
          </cell>
          <cell r="I1541" t="str">
            <v>GW</v>
          </cell>
          <cell r="K1541" t="str">
            <v>DSL</v>
          </cell>
          <cell r="M1541">
            <v>1.4998193904957899</v>
          </cell>
          <cell r="N1541">
            <v>2</v>
          </cell>
        </row>
        <row r="1542">
          <cell r="E1542" t="str">
            <v>Arizona v California</v>
          </cell>
          <cell r="I1542" t="str">
            <v>GW</v>
          </cell>
          <cell r="K1542" t="str">
            <v>INP</v>
          </cell>
          <cell r="M1542">
            <v>1.5329309028371101</v>
          </cell>
          <cell r="N1542">
            <v>1</v>
          </cell>
        </row>
        <row r="1543">
          <cell r="E1543" t="str">
            <v>Arizona v California</v>
          </cell>
          <cell r="I1543" t="str">
            <v>GW</v>
          </cell>
          <cell r="K1543" t="str">
            <v>IPP</v>
          </cell>
          <cell r="M1543">
            <v>1.53376944494268</v>
          </cell>
          <cell r="N1543">
            <v>1</v>
          </cell>
        </row>
        <row r="1544">
          <cell r="E1544" t="str">
            <v>Arizona v California</v>
          </cell>
          <cell r="I1544" t="str">
            <v>GW</v>
          </cell>
          <cell r="K1544" t="str">
            <v>IPP</v>
          </cell>
          <cell r="M1544">
            <v>1.5859465801308501</v>
          </cell>
          <cell r="N1544">
            <v>1</v>
          </cell>
        </row>
        <row r="1545">
          <cell r="E1545" t="str">
            <v>Arizona v California</v>
          </cell>
          <cell r="I1545" t="str">
            <v>GW</v>
          </cell>
          <cell r="K1545" t="str">
            <v>F</v>
          </cell>
          <cell r="M1545">
            <v>7.4110655489439001E-2</v>
          </cell>
          <cell r="N1545">
            <v>4</v>
          </cell>
        </row>
        <row r="1546">
          <cell r="E1546" t="str">
            <v>Arizona v California</v>
          </cell>
          <cell r="I1546" t="str">
            <v>GW</v>
          </cell>
          <cell r="K1546" t="str">
            <v>F</v>
          </cell>
          <cell r="M1546">
            <v>0.30505470564547799</v>
          </cell>
          <cell r="N1546">
            <v>4</v>
          </cell>
        </row>
        <row r="1547">
          <cell r="E1547" t="str">
            <v>Arizona v California</v>
          </cell>
          <cell r="I1547" t="str">
            <v>GW</v>
          </cell>
          <cell r="K1547" t="str">
            <v>IPP</v>
          </cell>
          <cell r="M1547">
            <v>1.61598146405375</v>
          </cell>
          <cell r="N1547">
            <v>1</v>
          </cell>
        </row>
        <row r="1548">
          <cell r="E1548" t="str">
            <v>Arizona v California</v>
          </cell>
          <cell r="I1548" t="str">
            <v>GW</v>
          </cell>
          <cell r="K1548" t="str">
            <v>INP</v>
          </cell>
          <cell r="M1548">
            <v>1.6185630594103699</v>
          </cell>
          <cell r="N1548">
            <v>1</v>
          </cell>
        </row>
        <row r="1549">
          <cell r="E1549" t="str">
            <v>Arizona v California</v>
          </cell>
          <cell r="I1549" t="str">
            <v>GW</v>
          </cell>
          <cell r="K1549" t="str">
            <v>F</v>
          </cell>
          <cell r="M1549">
            <v>4.46947999887783</v>
          </cell>
          <cell r="N1549">
            <v>4</v>
          </cell>
        </row>
        <row r="1550">
          <cell r="E1550" t="str">
            <v>Arizona v California</v>
          </cell>
          <cell r="I1550" t="str">
            <v>GW</v>
          </cell>
          <cell r="K1550" t="str">
            <v>F</v>
          </cell>
          <cell r="M1550">
            <v>0.66760399853233199</v>
          </cell>
          <cell r="N1550">
            <v>4</v>
          </cell>
        </row>
        <row r="1551">
          <cell r="E1551" t="str">
            <v>Arizona v California</v>
          </cell>
          <cell r="I1551" t="str">
            <v>GW</v>
          </cell>
          <cell r="K1551" t="str">
            <v>INP</v>
          </cell>
          <cell r="M1551">
            <v>1.6535580027471799</v>
          </cell>
          <cell r="N1551">
            <v>2</v>
          </cell>
        </row>
        <row r="1552">
          <cell r="E1552" t="str">
            <v>Arizona v California</v>
          </cell>
          <cell r="I1552" t="str">
            <v>GW</v>
          </cell>
          <cell r="K1552" t="str">
            <v>F</v>
          </cell>
          <cell r="M1552">
            <v>0.686395560788718</v>
          </cell>
          <cell r="N1552">
            <v>4</v>
          </cell>
        </row>
        <row r="1553">
          <cell r="E1553" t="str">
            <v>Arizona v California</v>
          </cell>
          <cell r="I1553" t="str">
            <v>GW</v>
          </cell>
          <cell r="K1553" t="str">
            <v>F</v>
          </cell>
          <cell r="M1553">
            <v>0.699431791141087</v>
          </cell>
          <cell r="N1553">
            <v>4</v>
          </cell>
        </row>
        <row r="1554">
          <cell r="E1554" t="str">
            <v>Arizona v California</v>
          </cell>
          <cell r="I1554" t="str">
            <v>GW</v>
          </cell>
          <cell r="K1554" t="str">
            <v>IPP</v>
          </cell>
          <cell r="M1554">
            <v>1.7013863352735801</v>
          </cell>
          <cell r="N1554">
            <v>1</v>
          </cell>
        </row>
        <row r="1555">
          <cell r="E1555" t="str">
            <v>Arizona v California</v>
          </cell>
          <cell r="I1555" t="str">
            <v>GW</v>
          </cell>
          <cell r="K1555" t="str">
            <v>IPP</v>
          </cell>
          <cell r="M1555">
            <v>1.76291255094931</v>
          </cell>
          <cell r="N1555">
            <v>1</v>
          </cell>
        </row>
        <row r="1556">
          <cell r="E1556" t="str">
            <v>Arizona v California</v>
          </cell>
          <cell r="I1556" t="str">
            <v>GW</v>
          </cell>
          <cell r="K1556" t="str">
            <v>IPP</v>
          </cell>
          <cell r="M1556">
            <v>1.7679672286077499</v>
          </cell>
          <cell r="N1556">
            <v>1</v>
          </cell>
        </row>
        <row r="1557">
          <cell r="E1557" t="str">
            <v>Arizona v California</v>
          </cell>
          <cell r="I1557" t="str">
            <v>GW</v>
          </cell>
          <cell r="K1557" t="str">
            <v>Res,D</v>
          </cell>
          <cell r="M1557">
            <v>0.91680168478083202</v>
          </cell>
          <cell r="N1557">
            <v>4</v>
          </cell>
        </row>
        <row r="1558">
          <cell r="E1558" t="str">
            <v>Arizona v California</v>
          </cell>
          <cell r="I1558" t="str">
            <v>GW</v>
          </cell>
          <cell r="K1558" t="str">
            <v>F</v>
          </cell>
          <cell r="M1558">
            <v>0.92812328488076601</v>
          </cell>
          <cell r="N1558">
            <v>4</v>
          </cell>
        </row>
        <row r="1559">
          <cell r="E1559" t="str">
            <v>Arizona v California</v>
          </cell>
          <cell r="I1559" t="str">
            <v>GW</v>
          </cell>
          <cell r="K1559" t="str">
            <v>DSL</v>
          </cell>
          <cell r="M1559">
            <v>1.9083938976369801</v>
          </cell>
          <cell r="N1559">
            <v>2</v>
          </cell>
        </row>
        <row r="1560">
          <cell r="E1560" t="str">
            <v>Arizona v California</v>
          </cell>
          <cell r="I1560" t="str">
            <v>GW</v>
          </cell>
          <cell r="K1560" t="str">
            <v>F</v>
          </cell>
          <cell r="M1560">
            <v>0.98078181340369097</v>
          </cell>
          <cell r="N1560">
            <v>4</v>
          </cell>
        </row>
        <row r="1561">
          <cell r="E1561" t="str">
            <v>Arizona v California</v>
          </cell>
          <cell r="I1561" t="str">
            <v>GW</v>
          </cell>
          <cell r="K1561" t="str">
            <v>F</v>
          </cell>
          <cell r="M1561">
            <v>0.98196139452542597</v>
          </cell>
          <cell r="N1561">
            <v>4</v>
          </cell>
        </row>
        <row r="1562">
          <cell r="E1562" t="str">
            <v>Arizona v California</v>
          </cell>
          <cell r="I1562" t="str">
            <v>GW</v>
          </cell>
          <cell r="K1562" t="str">
            <v>F</v>
          </cell>
          <cell r="M1562">
            <v>0.98997192002755696</v>
          </cell>
          <cell r="N1562">
            <v>4</v>
          </cell>
        </row>
        <row r="1563">
          <cell r="E1563" t="str">
            <v>Arizona v California</v>
          </cell>
          <cell r="I1563" t="str">
            <v>GW</v>
          </cell>
          <cell r="K1563" t="str">
            <v>Res,D</v>
          </cell>
          <cell r="M1563">
            <v>0.99499688841466305</v>
          </cell>
          <cell r="N1563">
            <v>4</v>
          </cell>
        </row>
        <row r="1564">
          <cell r="E1564" t="str">
            <v>Arizona v California</v>
          </cell>
          <cell r="I1564" t="str">
            <v>GW</v>
          </cell>
          <cell r="K1564" t="str">
            <v>F</v>
          </cell>
          <cell r="M1564">
            <v>0.99830084872709601</v>
          </cell>
          <cell r="N1564">
            <v>4</v>
          </cell>
        </row>
        <row r="1565">
          <cell r="E1565" t="str">
            <v>Arizona v California</v>
          </cell>
          <cell r="I1565" t="str">
            <v>GW</v>
          </cell>
          <cell r="K1565" t="str">
            <v>F</v>
          </cell>
          <cell r="M1565">
            <v>2.8484719979079101</v>
          </cell>
          <cell r="N1565">
            <v>4</v>
          </cell>
        </row>
        <row r="1566">
          <cell r="E1566" t="str">
            <v>Arizona v California</v>
          </cell>
          <cell r="I1566" t="str">
            <v>GW</v>
          </cell>
          <cell r="K1566" t="str">
            <v>F</v>
          </cell>
          <cell r="M1566">
            <v>1.01460007503495</v>
          </cell>
          <cell r="N1566">
            <v>4</v>
          </cell>
        </row>
        <row r="1567">
          <cell r="E1567" t="str">
            <v>Arizona v California</v>
          </cell>
          <cell r="I1567" t="str">
            <v>GW</v>
          </cell>
          <cell r="K1567" t="str">
            <v>F</v>
          </cell>
          <cell r="M1567">
            <v>0.36211144447572902</v>
          </cell>
          <cell r="N1567">
            <v>4</v>
          </cell>
        </row>
        <row r="1568">
          <cell r="E1568" t="str">
            <v>Arizona v California</v>
          </cell>
          <cell r="I1568" t="str">
            <v>GW</v>
          </cell>
          <cell r="K1568" t="str">
            <v>F</v>
          </cell>
          <cell r="M1568">
            <v>0.68161868087903799</v>
          </cell>
          <cell r="N1568">
            <v>4</v>
          </cell>
        </row>
        <row r="1569">
          <cell r="E1569" t="str">
            <v>Arizona v California</v>
          </cell>
          <cell r="I1569" t="str">
            <v>GW</v>
          </cell>
          <cell r="K1569" t="str">
            <v>F</v>
          </cell>
          <cell r="M1569">
            <v>4.0458980932381099</v>
          </cell>
          <cell r="N1569">
            <v>4</v>
          </cell>
        </row>
        <row r="1570">
          <cell r="E1570" t="str">
            <v>Arizona v California</v>
          </cell>
          <cell r="I1570" t="str">
            <v>GW</v>
          </cell>
          <cell r="K1570" t="str">
            <v>F</v>
          </cell>
          <cell r="M1570">
            <v>1.0223003831775099</v>
          </cell>
          <cell r="N1570">
            <v>4</v>
          </cell>
        </row>
        <row r="1571">
          <cell r="E1571" t="str">
            <v>Arizona v California</v>
          </cell>
          <cell r="I1571" t="str">
            <v>GW</v>
          </cell>
          <cell r="K1571" t="str">
            <v>IPP</v>
          </cell>
          <cell r="M1571">
            <v>2.0187838811630701</v>
          </cell>
          <cell r="N1571">
            <v>1</v>
          </cell>
        </row>
        <row r="1572">
          <cell r="E1572" t="str">
            <v>Arizona v California</v>
          </cell>
          <cell r="I1572" t="str">
            <v>GW</v>
          </cell>
          <cell r="K1572" t="str">
            <v>DSL</v>
          </cell>
          <cell r="M1572">
            <v>2.1057396539286302</v>
          </cell>
          <cell r="N1572">
            <v>3</v>
          </cell>
        </row>
        <row r="1573">
          <cell r="E1573" t="str">
            <v>Arizona v California</v>
          </cell>
          <cell r="I1573" t="str">
            <v>GW</v>
          </cell>
          <cell r="K1573" t="str">
            <v>INP</v>
          </cell>
          <cell r="M1573">
            <v>2.13955505089368</v>
          </cell>
          <cell r="N1573">
            <v>2</v>
          </cell>
        </row>
        <row r="1574">
          <cell r="E1574" t="str">
            <v>Arizona v California</v>
          </cell>
          <cell r="I1574" t="str">
            <v>GW</v>
          </cell>
          <cell r="K1574" t="str">
            <v>F</v>
          </cell>
          <cell r="M1574">
            <v>1.02819936696692</v>
          </cell>
          <cell r="N1574">
            <v>4</v>
          </cell>
        </row>
        <row r="1575">
          <cell r="E1575" t="str">
            <v>Arizona v California</v>
          </cell>
          <cell r="I1575" t="str">
            <v>GW</v>
          </cell>
          <cell r="K1575" t="str">
            <v>INP</v>
          </cell>
          <cell r="M1575">
            <v>2.1525359180108801</v>
          </cell>
          <cell r="N1575">
            <v>1</v>
          </cell>
        </row>
        <row r="1576">
          <cell r="E1576" t="str">
            <v>Arizona v California</v>
          </cell>
          <cell r="I1576" t="str">
            <v>GW</v>
          </cell>
          <cell r="K1576" t="str">
            <v>Res,W</v>
          </cell>
          <cell r="M1576">
            <v>0.41491940897448898</v>
          </cell>
          <cell r="N1576">
            <v>4</v>
          </cell>
        </row>
        <row r="1577">
          <cell r="E1577" t="str">
            <v>Arizona v California</v>
          </cell>
          <cell r="I1577" t="str">
            <v>GW</v>
          </cell>
          <cell r="K1577" t="str">
            <v>INP</v>
          </cell>
          <cell r="M1577">
            <v>2.1813363529433198</v>
          </cell>
          <cell r="N1577">
            <v>1</v>
          </cell>
        </row>
        <row r="1578">
          <cell r="E1578" t="str">
            <v>Arizona v California</v>
          </cell>
          <cell r="I1578" t="str">
            <v>GW</v>
          </cell>
          <cell r="K1578" t="str">
            <v>NI</v>
          </cell>
          <cell r="M1578">
            <v>1.08351847141735</v>
          </cell>
          <cell r="N1578">
            <v>4</v>
          </cell>
        </row>
        <row r="1579">
          <cell r="E1579" t="str">
            <v>Arizona v California</v>
          </cell>
          <cell r="I1579" t="str">
            <v>GW</v>
          </cell>
          <cell r="K1579" t="str">
            <v>F</v>
          </cell>
          <cell r="M1579">
            <v>1.16752096081017</v>
          </cell>
          <cell r="N1579">
            <v>4</v>
          </cell>
        </row>
        <row r="1580">
          <cell r="E1580" t="str">
            <v>Arizona v California</v>
          </cell>
          <cell r="I1580" t="str">
            <v>GW</v>
          </cell>
          <cell r="K1580" t="str">
            <v>INP</v>
          </cell>
          <cell r="M1580">
            <v>2.3042398294836</v>
          </cell>
          <cell r="N1580">
            <v>1</v>
          </cell>
        </row>
        <row r="1581">
          <cell r="E1581" t="str">
            <v>Arizona v California</v>
          </cell>
          <cell r="I1581" t="str">
            <v>GW</v>
          </cell>
          <cell r="K1581" t="str">
            <v>F</v>
          </cell>
          <cell r="M1581">
            <v>1.2010841818612199</v>
          </cell>
          <cell r="N1581">
            <v>4</v>
          </cell>
        </row>
        <row r="1582">
          <cell r="E1582" t="str">
            <v>Arizona v California</v>
          </cell>
          <cell r="I1582" t="str">
            <v>GW</v>
          </cell>
          <cell r="K1582" t="str">
            <v>F</v>
          </cell>
          <cell r="M1582">
            <v>1.24400647537468</v>
          </cell>
          <cell r="N1582">
            <v>4</v>
          </cell>
        </row>
        <row r="1583">
          <cell r="E1583" t="str">
            <v>Arizona v California</v>
          </cell>
          <cell r="I1583" t="str">
            <v>GW</v>
          </cell>
          <cell r="K1583" t="str">
            <v>F</v>
          </cell>
          <cell r="M1583">
            <v>1.2473953900769199</v>
          </cell>
          <cell r="N1583">
            <v>4</v>
          </cell>
        </row>
        <row r="1584">
          <cell r="E1584" t="str">
            <v>Arizona v California</v>
          </cell>
          <cell r="I1584" t="str">
            <v>GW</v>
          </cell>
          <cell r="K1584" t="str">
            <v>F</v>
          </cell>
          <cell r="M1584">
            <v>1.252371876564</v>
          </cell>
          <cell r="N1584">
            <v>4</v>
          </cell>
        </row>
        <row r="1585">
          <cell r="E1585" t="str">
            <v>Arizona v California</v>
          </cell>
          <cell r="I1585" t="str">
            <v>GW</v>
          </cell>
          <cell r="K1585" t="str">
            <v>F</v>
          </cell>
          <cell r="M1585">
            <v>1.2591940955082901</v>
          </cell>
          <cell r="N1585">
            <v>4</v>
          </cell>
        </row>
        <row r="1586">
          <cell r="E1586" t="str">
            <v>Arizona v California</v>
          </cell>
          <cell r="I1586" t="str">
            <v>GW</v>
          </cell>
          <cell r="K1586" t="str">
            <v>F</v>
          </cell>
          <cell r="M1586">
            <v>1.26540332109274</v>
          </cell>
          <cell r="N1586">
            <v>4</v>
          </cell>
        </row>
        <row r="1587">
          <cell r="E1587" t="str">
            <v>Arizona v California</v>
          </cell>
          <cell r="I1587" t="str">
            <v>GW</v>
          </cell>
          <cell r="K1587" t="str">
            <v>F</v>
          </cell>
          <cell r="M1587">
            <v>1.2992582803324</v>
          </cell>
          <cell r="N1587">
            <v>4</v>
          </cell>
        </row>
        <row r="1588">
          <cell r="E1588" t="str">
            <v>Arizona v California</v>
          </cell>
          <cell r="I1588" t="str">
            <v>GW</v>
          </cell>
          <cell r="K1588" t="str">
            <v>Res,W</v>
          </cell>
          <cell r="M1588">
            <v>0.62489720685254302</v>
          </cell>
          <cell r="N1588">
            <v>4</v>
          </cell>
        </row>
        <row r="1589">
          <cell r="E1589" t="str">
            <v>Arizona v California</v>
          </cell>
          <cell r="I1589" t="str">
            <v>GW</v>
          </cell>
          <cell r="K1589" t="str">
            <v>Res,W</v>
          </cell>
          <cell r="M1589">
            <v>1.0340409281929901</v>
          </cell>
          <cell r="N1589">
            <v>4</v>
          </cell>
        </row>
        <row r="1590">
          <cell r="E1590" t="str">
            <v>Arizona v California</v>
          </cell>
          <cell r="I1590" t="str">
            <v>GW</v>
          </cell>
          <cell r="K1590" t="str">
            <v>F</v>
          </cell>
          <cell r="M1590">
            <v>1.3261369715434601</v>
          </cell>
          <cell r="N1590">
            <v>4</v>
          </cell>
        </row>
        <row r="1591">
          <cell r="E1591" t="str">
            <v>Arizona v California</v>
          </cell>
          <cell r="I1591" t="str">
            <v>GW</v>
          </cell>
          <cell r="K1591" t="str">
            <v>Res,W</v>
          </cell>
          <cell r="M1591">
            <v>1.57138611822767</v>
          </cell>
          <cell r="N1591">
            <v>4</v>
          </cell>
        </row>
        <row r="1592">
          <cell r="E1592" t="str">
            <v>Arizona v California</v>
          </cell>
          <cell r="I1592" t="str">
            <v>GW</v>
          </cell>
          <cell r="K1592" t="str">
            <v>Res,W</v>
          </cell>
          <cell r="M1592">
            <v>0.53482576879979304</v>
          </cell>
          <cell r="N1592">
            <v>4</v>
          </cell>
        </row>
        <row r="1593">
          <cell r="E1593" t="str">
            <v>Arizona v California</v>
          </cell>
          <cell r="I1593" t="str">
            <v>GW</v>
          </cell>
          <cell r="K1593" t="str">
            <v>Res,W</v>
          </cell>
          <cell r="M1593">
            <v>0.73738450846752002</v>
          </cell>
          <cell r="N1593">
            <v>4</v>
          </cell>
        </row>
        <row r="1594">
          <cell r="E1594" t="str">
            <v>Arizona v California</v>
          </cell>
          <cell r="I1594" t="str">
            <v>GW</v>
          </cell>
          <cell r="K1594" t="str">
            <v>F</v>
          </cell>
          <cell r="M1594">
            <v>1.3481943857275001</v>
          </cell>
          <cell r="N1594">
            <v>4</v>
          </cell>
        </row>
        <row r="1595">
          <cell r="E1595" t="str">
            <v>Arizona v California</v>
          </cell>
          <cell r="I1595" t="str">
            <v>GW</v>
          </cell>
          <cell r="K1595" t="str">
            <v>F</v>
          </cell>
          <cell r="M1595">
            <v>1.3544162814757399</v>
          </cell>
          <cell r="N1595">
            <v>4</v>
          </cell>
        </row>
        <row r="1596">
          <cell r="E1596" t="str">
            <v>Arizona v California</v>
          </cell>
          <cell r="I1596" t="str">
            <v>GW</v>
          </cell>
          <cell r="K1596" t="str">
            <v>F</v>
          </cell>
          <cell r="M1596">
            <v>1.3581936822757401</v>
          </cell>
          <cell r="N1596">
            <v>4</v>
          </cell>
        </row>
        <row r="1597">
          <cell r="E1597" t="str">
            <v>Arizona v California</v>
          </cell>
          <cell r="I1597" t="str">
            <v>GW</v>
          </cell>
          <cell r="K1597" t="str">
            <v>F</v>
          </cell>
          <cell r="M1597">
            <v>1.36086158081412</v>
          </cell>
          <cell r="N1597">
            <v>4</v>
          </cell>
        </row>
        <row r="1598">
          <cell r="E1598" t="str">
            <v>Arizona v California</v>
          </cell>
          <cell r="I1598" t="str">
            <v>GW</v>
          </cell>
          <cell r="K1598" t="str">
            <v>Out</v>
          </cell>
          <cell r="M1598">
            <v>1.3894850407142301</v>
          </cell>
          <cell r="N1598">
            <v>4</v>
          </cell>
        </row>
        <row r="1599">
          <cell r="E1599" t="str">
            <v>Arizona v California</v>
          </cell>
          <cell r="I1599" t="str">
            <v>GW</v>
          </cell>
          <cell r="K1599" t="str">
            <v>F</v>
          </cell>
          <cell r="M1599">
            <v>1.3987350926383699</v>
          </cell>
          <cell r="N1599">
            <v>4</v>
          </cell>
        </row>
        <row r="1600">
          <cell r="E1600" t="str">
            <v>Arizona v California</v>
          </cell>
          <cell r="I1600" t="str">
            <v>GW</v>
          </cell>
          <cell r="K1600" t="str">
            <v>F</v>
          </cell>
          <cell r="M1600">
            <v>1.40580912752752</v>
          </cell>
          <cell r="N1600">
            <v>4</v>
          </cell>
        </row>
        <row r="1601">
          <cell r="E1601" t="str">
            <v>Arizona v California</v>
          </cell>
          <cell r="I1601" t="str">
            <v>GW</v>
          </cell>
          <cell r="K1601" t="str">
            <v>F</v>
          </cell>
          <cell r="M1601">
            <v>1.4599440875656</v>
          </cell>
          <cell r="N1601">
            <v>4</v>
          </cell>
        </row>
        <row r="1602">
          <cell r="E1602" t="str">
            <v>Arizona v California</v>
          </cell>
          <cell r="I1602" t="str">
            <v>GW</v>
          </cell>
          <cell r="K1602" t="str">
            <v>F</v>
          </cell>
          <cell r="M1602">
            <v>1.48172667109207</v>
          </cell>
          <cell r="N1602">
            <v>4</v>
          </cell>
        </row>
        <row r="1603">
          <cell r="E1603" t="str">
            <v>Arizona v California</v>
          </cell>
          <cell r="I1603" t="str">
            <v>GW</v>
          </cell>
          <cell r="K1603" t="str">
            <v>F</v>
          </cell>
          <cell r="M1603">
            <v>1.4961368236678501</v>
          </cell>
          <cell r="N1603">
            <v>4</v>
          </cell>
        </row>
        <row r="1604">
          <cell r="E1604" t="str">
            <v>Arizona v California</v>
          </cell>
          <cell r="I1604" t="str">
            <v>GW</v>
          </cell>
          <cell r="K1604" t="str">
            <v>NI</v>
          </cell>
          <cell r="M1604">
            <v>1.5087770317865301</v>
          </cell>
          <cell r="N1604">
            <v>4</v>
          </cell>
        </row>
        <row r="1605">
          <cell r="E1605" t="str">
            <v>Arizona v California</v>
          </cell>
          <cell r="I1605" t="str">
            <v>GW</v>
          </cell>
          <cell r="K1605" t="str">
            <v>F</v>
          </cell>
          <cell r="M1605">
            <v>1.5843279164609001</v>
          </cell>
          <cell r="N1605">
            <v>4</v>
          </cell>
        </row>
        <row r="1606">
          <cell r="E1606" t="str">
            <v>Arizona v California</v>
          </cell>
          <cell r="I1606" t="str">
            <v>GW</v>
          </cell>
          <cell r="K1606" t="str">
            <v>Res,W</v>
          </cell>
          <cell r="M1606">
            <v>1.59048546128242</v>
          </cell>
          <cell r="N1606">
            <v>4</v>
          </cell>
        </row>
        <row r="1607">
          <cell r="E1607" t="str">
            <v>Arizona v California</v>
          </cell>
          <cell r="I1607" t="str">
            <v>GW</v>
          </cell>
          <cell r="K1607" t="str">
            <v>F</v>
          </cell>
          <cell r="M1607">
            <v>1.61531949526838</v>
          </cell>
          <cell r="N1607">
            <v>4</v>
          </cell>
        </row>
        <row r="1608">
          <cell r="E1608" t="str">
            <v>Arizona v California</v>
          </cell>
          <cell r="I1608" t="str">
            <v>GW</v>
          </cell>
          <cell r="K1608" t="str">
            <v>INP</v>
          </cell>
          <cell r="M1608">
            <v>2.33812888035362</v>
          </cell>
          <cell r="N1608">
            <v>1</v>
          </cell>
        </row>
        <row r="1609">
          <cell r="E1609" t="str">
            <v>Arizona v California</v>
          </cell>
          <cell r="I1609" t="str">
            <v>GW</v>
          </cell>
          <cell r="K1609" t="str">
            <v>INP</v>
          </cell>
          <cell r="M1609">
            <v>2.4162983119358099</v>
          </cell>
          <cell r="N1609">
            <v>1</v>
          </cell>
        </row>
        <row r="1610">
          <cell r="E1610" t="str">
            <v>Arizona v California</v>
          </cell>
          <cell r="I1610" t="str">
            <v>GW</v>
          </cell>
          <cell r="K1610" t="str">
            <v>F</v>
          </cell>
          <cell r="M1610">
            <v>1.65198754370001</v>
          </cell>
          <cell r="N1610">
            <v>4</v>
          </cell>
        </row>
        <row r="1611">
          <cell r="E1611" t="str">
            <v>Arizona v California</v>
          </cell>
          <cell r="I1611" t="str">
            <v>GW</v>
          </cell>
          <cell r="K1611" t="str">
            <v>H</v>
          </cell>
          <cell r="M1611">
            <v>2.5079265194002098</v>
          </cell>
          <cell r="N1611">
            <v>1</v>
          </cell>
        </row>
        <row r="1612">
          <cell r="E1612" t="str">
            <v>Arizona v California</v>
          </cell>
          <cell r="I1612" t="str">
            <v>GW</v>
          </cell>
          <cell r="K1612" t="str">
            <v>Res,W</v>
          </cell>
          <cell r="M1612">
            <v>1.6563852877444201</v>
          </cell>
          <cell r="N1612">
            <v>4</v>
          </cell>
        </row>
        <row r="1613">
          <cell r="E1613" t="str">
            <v>Arizona v California</v>
          </cell>
          <cell r="I1613" t="str">
            <v>GW</v>
          </cell>
          <cell r="K1613" t="str">
            <v>IPP</v>
          </cell>
          <cell r="M1613">
            <v>2.5826970644178502</v>
          </cell>
          <cell r="N1613">
            <v>1</v>
          </cell>
        </row>
        <row r="1614">
          <cell r="E1614" t="str">
            <v>Arizona v California</v>
          </cell>
          <cell r="I1614" t="str">
            <v>GW</v>
          </cell>
          <cell r="K1614" t="str">
            <v>F</v>
          </cell>
          <cell r="M1614">
            <v>1.75970922814411</v>
          </cell>
          <cell r="N1614">
            <v>4</v>
          </cell>
        </row>
        <row r="1615">
          <cell r="E1615" t="str">
            <v>Arizona v California</v>
          </cell>
          <cell r="I1615" t="str">
            <v>GW</v>
          </cell>
          <cell r="K1615" t="str">
            <v>F</v>
          </cell>
          <cell r="M1615">
            <v>1.78637156404077</v>
          </cell>
          <cell r="N1615">
            <v>4</v>
          </cell>
        </row>
        <row r="1616">
          <cell r="E1616" t="str">
            <v>Arizona v California</v>
          </cell>
          <cell r="I1616" t="str">
            <v>GW</v>
          </cell>
          <cell r="K1616" t="str">
            <v>Out</v>
          </cell>
          <cell r="M1616">
            <v>1.8077454819982499</v>
          </cell>
          <cell r="N1616">
            <v>4</v>
          </cell>
        </row>
        <row r="1617">
          <cell r="E1617" t="str">
            <v>Arizona v California</v>
          </cell>
          <cell r="I1617" t="str">
            <v>GW</v>
          </cell>
          <cell r="K1617" t="str">
            <v>Res,W</v>
          </cell>
          <cell r="M1617">
            <v>1.87899315320209</v>
          </cell>
          <cell r="N1617">
            <v>4</v>
          </cell>
        </row>
        <row r="1618">
          <cell r="E1618" t="str">
            <v>Arizona v California</v>
          </cell>
          <cell r="I1618" t="str">
            <v>GW</v>
          </cell>
          <cell r="K1618" t="str">
            <v>F</v>
          </cell>
          <cell r="M1618">
            <v>1.92890163670778</v>
          </cell>
          <cell r="N1618">
            <v>4</v>
          </cell>
        </row>
        <row r="1619">
          <cell r="E1619" t="str">
            <v>Arizona v California</v>
          </cell>
          <cell r="I1619" t="str">
            <v>GW</v>
          </cell>
          <cell r="K1619" t="str">
            <v>IPP</v>
          </cell>
          <cell r="M1619">
            <v>2.72453825168478</v>
          </cell>
          <cell r="N1619">
            <v>1</v>
          </cell>
        </row>
        <row r="1620">
          <cell r="E1620" t="str">
            <v>Arizona v California</v>
          </cell>
          <cell r="I1620" t="str">
            <v>GW</v>
          </cell>
          <cell r="K1620" t="str">
            <v>F</v>
          </cell>
          <cell r="M1620">
            <v>2.0263732706738899</v>
          </cell>
          <cell r="N1620">
            <v>4</v>
          </cell>
        </row>
        <row r="1621">
          <cell r="E1621" t="str">
            <v>Arizona v California</v>
          </cell>
          <cell r="I1621" t="str">
            <v>GW</v>
          </cell>
          <cell r="K1621" t="str">
            <v>IPP</v>
          </cell>
          <cell r="M1621">
            <v>2.7426233461063898</v>
          </cell>
          <cell r="N1621">
            <v>1</v>
          </cell>
        </row>
        <row r="1622">
          <cell r="E1622" t="str">
            <v>Arizona v California</v>
          </cell>
          <cell r="I1622" t="str">
            <v>GW</v>
          </cell>
          <cell r="K1622" t="str">
            <v>DSL</v>
          </cell>
          <cell r="M1622">
            <v>2.8513266979852001</v>
          </cell>
          <cell r="N1622">
            <v>2</v>
          </cell>
        </row>
        <row r="1623">
          <cell r="E1623" t="str">
            <v>Arizona v California</v>
          </cell>
          <cell r="I1623" t="str">
            <v>GW</v>
          </cell>
          <cell r="K1623" t="str">
            <v>F</v>
          </cell>
          <cell r="M1623">
            <v>2.14696214915209</v>
          </cell>
          <cell r="N1623">
            <v>4</v>
          </cell>
        </row>
        <row r="1624">
          <cell r="E1624" t="str">
            <v>Arizona v California</v>
          </cell>
          <cell r="I1624" t="str">
            <v>GW</v>
          </cell>
          <cell r="K1624" t="str">
            <v>F</v>
          </cell>
          <cell r="M1624">
            <v>2.1729984178800499</v>
          </cell>
          <cell r="N1624">
            <v>4</v>
          </cell>
        </row>
        <row r="1625">
          <cell r="E1625" t="str">
            <v>Arizona v California</v>
          </cell>
          <cell r="I1625" t="str">
            <v>GW</v>
          </cell>
          <cell r="K1625" t="str">
            <v>F</v>
          </cell>
          <cell r="M1625">
            <v>2.2210602848452599</v>
          </cell>
          <cell r="N1625">
            <v>4</v>
          </cell>
        </row>
        <row r="1626">
          <cell r="E1626" t="str">
            <v>Arizona v California</v>
          </cell>
          <cell r="I1626" t="str">
            <v>GW</v>
          </cell>
          <cell r="K1626" t="str">
            <v>F</v>
          </cell>
          <cell r="M1626">
            <v>2.2364261322535302</v>
          </cell>
          <cell r="N1626">
            <v>4</v>
          </cell>
        </row>
        <row r="1627">
          <cell r="E1627" t="str">
            <v>Arizona v California</v>
          </cell>
          <cell r="I1627" t="str">
            <v>GW</v>
          </cell>
          <cell r="K1627" t="str">
            <v>Out</v>
          </cell>
          <cell r="M1627">
            <v>2.2835798368489701</v>
          </cell>
          <cell r="N1627">
            <v>4</v>
          </cell>
        </row>
        <row r="1628">
          <cell r="E1628" t="str">
            <v>Arizona v California</v>
          </cell>
          <cell r="I1628" t="str">
            <v>GW</v>
          </cell>
          <cell r="K1628" t="str">
            <v>DSL</v>
          </cell>
          <cell r="M1628">
            <v>2.8765859016500799</v>
          </cell>
          <cell r="N1628">
            <v>2</v>
          </cell>
        </row>
        <row r="1629">
          <cell r="E1629" t="str">
            <v>Arizona v California</v>
          </cell>
          <cell r="I1629" t="str">
            <v>GW</v>
          </cell>
          <cell r="K1629" t="str">
            <v>F</v>
          </cell>
          <cell r="M1629">
            <v>2.4347979434143698</v>
          </cell>
          <cell r="N1629">
            <v>4</v>
          </cell>
        </row>
        <row r="1630">
          <cell r="E1630" t="str">
            <v>Arizona v California</v>
          </cell>
          <cell r="I1630" t="str">
            <v>GW</v>
          </cell>
          <cell r="K1630" t="str">
            <v>Out</v>
          </cell>
          <cell r="M1630">
            <v>2.4451480786438902</v>
          </cell>
          <cell r="N1630">
            <v>4</v>
          </cell>
        </row>
        <row r="1631">
          <cell r="E1631" t="str">
            <v>Arizona v California</v>
          </cell>
          <cell r="I1631" t="str">
            <v>GW</v>
          </cell>
          <cell r="K1631" t="str">
            <v>F</v>
          </cell>
          <cell r="M1631">
            <v>2.45222155624473</v>
          </cell>
          <cell r="N1631">
            <v>4</v>
          </cell>
        </row>
        <row r="1632">
          <cell r="E1632" t="str">
            <v>Arizona v California</v>
          </cell>
          <cell r="I1632" t="str">
            <v>GW</v>
          </cell>
          <cell r="K1632" t="str">
            <v>F</v>
          </cell>
          <cell r="M1632">
            <v>2.4858497857954398</v>
          </cell>
          <cell r="N1632">
            <v>4</v>
          </cell>
        </row>
        <row r="1633">
          <cell r="E1633" t="str">
            <v>Arizona v California</v>
          </cell>
          <cell r="I1633" t="str">
            <v>GW</v>
          </cell>
          <cell r="K1633" t="str">
            <v>IPP</v>
          </cell>
          <cell r="M1633">
            <v>2.89651149445681</v>
          </cell>
          <cell r="N1633">
            <v>1</v>
          </cell>
        </row>
        <row r="1634">
          <cell r="E1634" t="str">
            <v>Arizona v California</v>
          </cell>
          <cell r="I1634" t="str">
            <v>GW</v>
          </cell>
          <cell r="K1634" t="str">
            <v>F</v>
          </cell>
          <cell r="M1634">
            <v>2.64006441322941</v>
          </cell>
          <cell r="N1634">
            <v>4</v>
          </cell>
        </row>
        <row r="1635">
          <cell r="E1635" t="str">
            <v>Arizona v California</v>
          </cell>
          <cell r="I1635" t="str">
            <v>GW</v>
          </cell>
          <cell r="K1635" t="str">
            <v>F</v>
          </cell>
          <cell r="M1635">
            <v>2.6572962178698898</v>
          </cell>
          <cell r="N1635">
            <v>4</v>
          </cell>
        </row>
        <row r="1636">
          <cell r="E1636" t="str">
            <v>Arizona v California</v>
          </cell>
          <cell r="I1636" t="str">
            <v>GW</v>
          </cell>
          <cell r="K1636" t="str">
            <v>F</v>
          </cell>
          <cell r="M1636">
            <v>2.6716462774186902</v>
          </cell>
          <cell r="N1636">
            <v>4</v>
          </cell>
        </row>
        <row r="1637">
          <cell r="E1637" t="str">
            <v>Arizona v California</v>
          </cell>
          <cell r="I1637" t="str">
            <v>GW</v>
          </cell>
          <cell r="K1637" t="str">
            <v>DSL</v>
          </cell>
          <cell r="M1637">
            <v>2.9991899104442701</v>
          </cell>
          <cell r="N1637">
            <v>2</v>
          </cell>
        </row>
        <row r="1638">
          <cell r="E1638" t="str">
            <v>Arizona v California</v>
          </cell>
          <cell r="I1638" t="str">
            <v>GW</v>
          </cell>
          <cell r="K1638" t="str">
            <v>IPP</v>
          </cell>
          <cell r="M1638">
            <v>3.0472409389839998</v>
          </cell>
          <cell r="N1638">
            <v>1</v>
          </cell>
        </row>
        <row r="1639">
          <cell r="E1639" t="str">
            <v>Arizona v California</v>
          </cell>
          <cell r="I1639" t="str">
            <v>GW</v>
          </cell>
          <cell r="K1639" t="str">
            <v>INP</v>
          </cell>
          <cell r="M1639">
            <v>3.4277893630621201</v>
          </cell>
          <cell r="N1639">
            <v>1</v>
          </cell>
        </row>
        <row r="1640">
          <cell r="E1640" t="str">
            <v>Arizona v California</v>
          </cell>
          <cell r="I1640" t="str">
            <v>GW</v>
          </cell>
          <cell r="K1640" t="str">
            <v>MV</v>
          </cell>
          <cell r="M1640">
            <v>3.45224151499756</v>
          </cell>
          <cell r="N1640">
            <v>1</v>
          </cell>
        </row>
        <row r="1641">
          <cell r="E1641" t="str">
            <v>Arizona v California</v>
          </cell>
          <cell r="I1641" t="str">
            <v>GW</v>
          </cell>
          <cell r="K1641" t="str">
            <v>Out</v>
          </cell>
          <cell r="M1641">
            <v>2.8932365379299201</v>
          </cell>
          <cell r="N1641">
            <v>4</v>
          </cell>
        </row>
        <row r="1642">
          <cell r="E1642" t="str">
            <v>Arizona v California</v>
          </cell>
          <cell r="I1642" t="str">
            <v>GW</v>
          </cell>
          <cell r="K1642" t="str">
            <v>IPP</v>
          </cell>
          <cell r="M1642">
            <v>3.4654157835098398</v>
          </cell>
          <cell r="N1642">
            <v>1</v>
          </cell>
        </row>
        <row r="1643">
          <cell r="E1643" t="str">
            <v>Arizona v California</v>
          </cell>
          <cell r="I1643" t="str">
            <v>GW</v>
          </cell>
          <cell r="K1643" t="str">
            <v>F</v>
          </cell>
          <cell r="M1643">
            <v>3.1771921122375999</v>
          </cell>
          <cell r="N1643">
            <v>4</v>
          </cell>
        </row>
        <row r="1644">
          <cell r="E1644" t="str">
            <v>Arizona v California</v>
          </cell>
          <cell r="I1644" t="str">
            <v>GW</v>
          </cell>
          <cell r="K1644" t="str">
            <v>F</v>
          </cell>
          <cell r="M1644">
            <v>3.3896000077423301</v>
          </cell>
          <cell r="N1644">
            <v>4</v>
          </cell>
        </row>
        <row r="1645">
          <cell r="E1645" t="str">
            <v>Arizona v California</v>
          </cell>
          <cell r="I1645" t="str">
            <v>GW</v>
          </cell>
          <cell r="K1645" t="str">
            <v>INP</v>
          </cell>
          <cell r="M1645">
            <v>3.71226547101175</v>
          </cell>
          <cell r="N1645">
            <v>1</v>
          </cell>
        </row>
        <row r="1646">
          <cell r="E1646" t="str">
            <v>Arizona v California</v>
          </cell>
          <cell r="I1646" t="str">
            <v>GW</v>
          </cell>
          <cell r="K1646" t="str">
            <v>F</v>
          </cell>
          <cell r="M1646">
            <v>3.58222911862992</v>
          </cell>
          <cell r="N1646">
            <v>4</v>
          </cell>
        </row>
        <row r="1647">
          <cell r="E1647" t="str">
            <v>Arizona v California</v>
          </cell>
          <cell r="I1647" t="str">
            <v>GW</v>
          </cell>
          <cell r="K1647" t="str">
            <v>F</v>
          </cell>
          <cell r="M1647">
            <v>3.6299167302496702</v>
          </cell>
          <cell r="N1647">
            <v>4</v>
          </cell>
        </row>
        <row r="1648">
          <cell r="E1648" t="str">
            <v>Arizona v California</v>
          </cell>
          <cell r="I1648" t="str">
            <v>GW</v>
          </cell>
          <cell r="K1648" t="str">
            <v>INP</v>
          </cell>
          <cell r="M1648">
            <v>3.7352817531356801</v>
          </cell>
          <cell r="N1648">
            <v>1</v>
          </cell>
        </row>
        <row r="1649">
          <cell r="E1649" t="str">
            <v>Arizona v California</v>
          </cell>
          <cell r="I1649" t="str">
            <v>GW</v>
          </cell>
          <cell r="K1649" t="str">
            <v>F</v>
          </cell>
          <cell r="M1649">
            <v>4.0722633944124196</v>
          </cell>
          <cell r="N1649">
            <v>4</v>
          </cell>
        </row>
        <row r="1650">
          <cell r="E1650" t="str">
            <v>Arizona v California</v>
          </cell>
          <cell r="I1650" t="str">
            <v>GW</v>
          </cell>
          <cell r="K1650" t="str">
            <v>NI</v>
          </cell>
          <cell r="M1650">
            <v>4.0858072954243596</v>
          </cell>
          <cell r="N1650">
            <v>4</v>
          </cell>
        </row>
        <row r="1651">
          <cell r="E1651" t="str">
            <v>Arizona v California</v>
          </cell>
          <cell r="I1651" t="str">
            <v>GW</v>
          </cell>
          <cell r="K1651" t="str">
            <v>IPP</v>
          </cell>
          <cell r="M1651">
            <v>3.99475244953687</v>
          </cell>
          <cell r="N1651">
            <v>1</v>
          </cell>
        </row>
        <row r="1652">
          <cell r="E1652" t="str">
            <v>Arizona v California</v>
          </cell>
          <cell r="I1652" t="str">
            <v>GW</v>
          </cell>
          <cell r="K1652" t="str">
            <v>F</v>
          </cell>
          <cell r="M1652">
            <v>4.28115964707857</v>
          </cell>
          <cell r="N1652">
            <v>4</v>
          </cell>
        </row>
        <row r="1653">
          <cell r="E1653" t="str">
            <v>Arizona v California</v>
          </cell>
          <cell r="I1653" t="str">
            <v>GW</v>
          </cell>
          <cell r="K1653" t="str">
            <v>F</v>
          </cell>
          <cell r="M1653">
            <v>4.33658495231938</v>
          </cell>
          <cell r="N1653">
            <v>4</v>
          </cell>
        </row>
        <row r="1654">
          <cell r="E1654" t="str">
            <v>Arizona v California</v>
          </cell>
          <cell r="I1654" t="str">
            <v>GW</v>
          </cell>
          <cell r="K1654" t="str">
            <v>F</v>
          </cell>
          <cell r="M1654">
            <v>4.4194284878369903</v>
          </cell>
          <cell r="N1654">
            <v>4</v>
          </cell>
        </row>
        <row r="1655">
          <cell r="E1655" t="str">
            <v>Arizona v California</v>
          </cell>
          <cell r="I1655" t="str">
            <v>GW</v>
          </cell>
          <cell r="K1655" t="str">
            <v>F</v>
          </cell>
          <cell r="M1655">
            <v>4.6829699426455003</v>
          </cell>
          <cell r="N1655">
            <v>4</v>
          </cell>
        </row>
        <row r="1656">
          <cell r="E1656" t="str">
            <v>Arizona v California</v>
          </cell>
          <cell r="I1656" t="str">
            <v>GW</v>
          </cell>
          <cell r="K1656" t="str">
            <v>IPP</v>
          </cell>
          <cell r="M1656">
            <v>4.0188975041131796</v>
          </cell>
          <cell r="N1656">
            <v>1</v>
          </cell>
        </row>
        <row r="1657">
          <cell r="E1657" t="str">
            <v>Arizona v California</v>
          </cell>
          <cell r="I1657" t="str">
            <v>GW</v>
          </cell>
          <cell r="K1657" t="str">
            <v>F</v>
          </cell>
          <cell r="M1657">
            <v>4.8295257545070198</v>
          </cell>
          <cell r="N1657">
            <v>4</v>
          </cell>
        </row>
        <row r="1658">
          <cell r="E1658" t="str">
            <v>Arizona v California</v>
          </cell>
          <cell r="I1658" t="str">
            <v>GW</v>
          </cell>
          <cell r="K1658" t="str">
            <v>INP</v>
          </cell>
          <cell r="M1658">
            <v>4.1031318725342603</v>
          </cell>
          <cell r="N1658">
            <v>1</v>
          </cell>
        </row>
        <row r="1659">
          <cell r="E1659" t="str">
            <v>Arizona v California</v>
          </cell>
          <cell r="I1659" t="str">
            <v>GW</v>
          </cell>
          <cell r="K1659" t="str">
            <v>F</v>
          </cell>
          <cell r="M1659">
            <v>4.9024802142931101</v>
          </cell>
          <cell r="N1659">
            <v>4</v>
          </cell>
        </row>
        <row r="1660">
          <cell r="E1660" t="str">
            <v>Arizona v California</v>
          </cell>
          <cell r="I1660" t="str">
            <v>GW</v>
          </cell>
          <cell r="K1660" t="str">
            <v>INP</v>
          </cell>
          <cell r="M1660">
            <v>4.6679796727471503</v>
          </cell>
          <cell r="N1660">
            <v>1</v>
          </cell>
        </row>
        <row r="1661">
          <cell r="E1661" t="str">
            <v>Arizona v California</v>
          </cell>
          <cell r="I1661" t="str">
            <v>GW</v>
          </cell>
          <cell r="K1661" t="str">
            <v>F</v>
          </cell>
          <cell r="M1661">
            <v>5.11977139862943</v>
          </cell>
          <cell r="N1661">
            <v>4</v>
          </cell>
        </row>
        <row r="1662">
          <cell r="E1662" t="str">
            <v>Arizona v California</v>
          </cell>
          <cell r="I1662" t="str">
            <v>GW</v>
          </cell>
          <cell r="K1662" t="str">
            <v>F</v>
          </cell>
          <cell r="M1662">
            <v>5.1688751698270199</v>
          </cell>
          <cell r="N1662">
            <v>4</v>
          </cell>
        </row>
        <row r="1663">
          <cell r="E1663" t="str">
            <v>Arizona v California</v>
          </cell>
          <cell r="I1663" t="str">
            <v>GW</v>
          </cell>
          <cell r="K1663" t="str">
            <v>F</v>
          </cell>
          <cell r="M1663">
            <v>5.2114990301402004</v>
          </cell>
          <cell r="N1663">
            <v>4</v>
          </cell>
        </row>
        <row r="1664">
          <cell r="E1664" t="str">
            <v>Arizona v California</v>
          </cell>
          <cell r="I1664" t="str">
            <v>GW</v>
          </cell>
          <cell r="K1664" t="str">
            <v>F</v>
          </cell>
          <cell r="M1664">
            <v>5.4287917941306301</v>
          </cell>
          <cell r="N1664">
            <v>4</v>
          </cell>
        </row>
        <row r="1665">
          <cell r="E1665" t="str">
            <v>Arizona v California</v>
          </cell>
          <cell r="I1665" t="str">
            <v>GW</v>
          </cell>
          <cell r="K1665" t="str">
            <v>F</v>
          </cell>
          <cell r="M1665">
            <v>5.6078477324136902</v>
          </cell>
          <cell r="N1665">
            <v>4</v>
          </cell>
        </row>
        <row r="1666">
          <cell r="E1666" t="str">
            <v>Arizona v California</v>
          </cell>
          <cell r="I1666" t="str">
            <v>GW</v>
          </cell>
          <cell r="K1666" t="str">
            <v>F</v>
          </cell>
          <cell r="M1666">
            <v>1.0847885520662</v>
          </cell>
          <cell r="N1666">
            <v>4</v>
          </cell>
        </row>
        <row r="1667">
          <cell r="E1667" t="str">
            <v>Arizona v California</v>
          </cell>
          <cell r="I1667" t="str">
            <v>GW</v>
          </cell>
          <cell r="K1667" t="str">
            <v>INP</v>
          </cell>
          <cell r="M1667">
            <v>4.7612850560767797</v>
          </cell>
          <cell r="N1667">
            <v>1</v>
          </cell>
        </row>
        <row r="1668">
          <cell r="E1668" t="str">
            <v>Arizona v California</v>
          </cell>
          <cell r="I1668" t="str">
            <v>GW</v>
          </cell>
          <cell r="K1668" t="str">
            <v>F</v>
          </cell>
          <cell r="M1668">
            <v>5.7336174870011796</v>
          </cell>
          <cell r="N1668">
            <v>4</v>
          </cell>
        </row>
        <row r="1669">
          <cell r="E1669" t="str">
            <v>Arizona v California</v>
          </cell>
          <cell r="I1669" t="str">
            <v>GW</v>
          </cell>
          <cell r="K1669" t="str">
            <v>IPP</v>
          </cell>
          <cell r="M1669">
            <v>4.8396089029203599</v>
          </cell>
          <cell r="N1669">
            <v>2</v>
          </cell>
        </row>
        <row r="1670">
          <cell r="E1670" t="str">
            <v>Arizona v California</v>
          </cell>
          <cell r="I1670" t="str">
            <v>GW</v>
          </cell>
          <cell r="K1670" t="str">
            <v>F</v>
          </cell>
          <cell r="M1670">
            <v>6.03530384471643</v>
          </cell>
          <cell r="N1670">
            <v>4</v>
          </cell>
        </row>
        <row r="1671">
          <cell r="E1671" t="str">
            <v>Arizona v California</v>
          </cell>
          <cell r="I1671" t="str">
            <v>GW</v>
          </cell>
          <cell r="K1671" t="str">
            <v>INP</v>
          </cell>
          <cell r="M1671">
            <v>4.9964654302162099</v>
          </cell>
          <cell r="N1671">
            <v>2</v>
          </cell>
        </row>
        <row r="1672">
          <cell r="E1672" t="str">
            <v>Arizona v California</v>
          </cell>
          <cell r="I1672" t="str">
            <v>GW</v>
          </cell>
          <cell r="K1672" t="str">
            <v>INP</v>
          </cell>
          <cell r="M1672">
            <v>5.3357688098527403</v>
          </cell>
          <cell r="N1672">
            <v>1</v>
          </cell>
        </row>
        <row r="1673">
          <cell r="E1673" t="str">
            <v>Arizona v California</v>
          </cell>
          <cell r="I1673" t="str">
            <v>GW</v>
          </cell>
          <cell r="K1673" t="str">
            <v>Out</v>
          </cell>
          <cell r="M1673">
            <v>6.3258463077289901</v>
          </cell>
          <cell r="N1673">
            <v>4</v>
          </cell>
        </row>
        <row r="1674">
          <cell r="E1674" t="str">
            <v>Arizona v California</v>
          </cell>
          <cell r="I1674" t="str">
            <v>GW</v>
          </cell>
          <cell r="K1674" t="str">
            <v>F</v>
          </cell>
          <cell r="M1674">
            <v>7.2287922200946202</v>
          </cell>
          <cell r="N1674">
            <v>4</v>
          </cell>
        </row>
        <row r="1675">
          <cell r="E1675" t="str">
            <v>Arizona v California</v>
          </cell>
          <cell r="I1675" t="str">
            <v>GW</v>
          </cell>
          <cell r="K1675" t="str">
            <v>IPP</v>
          </cell>
          <cell r="M1675">
            <v>5.4803528628094798</v>
          </cell>
          <cell r="N1675">
            <v>1</v>
          </cell>
        </row>
        <row r="1676">
          <cell r="E1676" t="str">
            <v>Arizona v California</v>
          </cell>
          <cell r="I1676" t="str">
            <v>GW</v>
          </cell>
          <cell r="K1676" t="str">
            <v>F</v>
          </cell>
          <cell r="M1676">
            <v>7.5627389046247702</v>
          </cell>
          <cell r="N1676">
            <v>4</v>
          </cell>
        </row>
        <row r="1677">
          <cell r="E1677" t="str">
            <v>Arizona v California</v>
          </cell>
          <cell r="I1677" t="str">
            <v>GW</v>
          </cell>
          <cell r="K1677" t="str">
            <v>F</v>
          </cell>
          <cell r="M1677">
            <v>7.8259524503021298</v>
          </cell>
          <cell r="N1677">
            <v>4</v>
          </cell>
        </row>
        <row r="1678">
          <cell r="E1678" t="str">
            <v>Arizona v California</v>
          </cell>
          <cell r="I1678" t="str">
            <v>GW</v>
          </cell>
          <cell r="K1678" t="str">
            <v>F</v>
          </cell>
          <cell r="M1678">
            <v>7.9094577018957999</v>
          </cell>
          <cell r="N1678">
            <v>4</v>
          </cell>
        </row>
        <row r="1679">
          <cell r="E1679" t="str">
            <v>Arizona v California</v>
          </cell>
          <cell r="I1679" t="str">
            <v>GW</v>
          </cell>
          <cell r="K1679" t="str">
            <v>IPP</v>
          </cell>
          <cell r="M1679">
            <v>5.6831892978179299</v>
          </cell>
          <cell r="N1679">
            <v>1</v>
          </cell>
        </row>
        <row r="1680">
          <cell r="E1680" t="str">
            <v>Arizona v California</v>
          </cell>
          <cell r="I1680" t="str">
            <v>GW</v>
          </cell>
          <cell r="K1680" t="str">
            <v>F</v>
          </cell>
          <cell r="M1680">
            <v>8.1488454653518403</v>
          </cell>
          <cell r="N1680">
            <v>4</v>
          </cell>
        </row>
        <row r="1681">
          <cell r="E1681" t="str">
            <v>Arizona v California</v>
          </cell>
          <cell r="I1681" t="str">
            <v>GW</v>
          </cell>
          <cell r="K1681" t="str">
            <v>F</v>
          </cell>
          <cell r="M1681">
            <v>5.7039455507940904</v>
          </cell>
          <cell r="N1681">
            <v>4</v>
          </cell>
        </row>
        <row r="1682">
          <cell r="E1682" t="str">
            <v>Arizona v California</v>
          </cell>
          <cell r="I1682" t="str">
            <v>GW</v>
          </cell>
          <cell r="K1682" t="str">
            <v>IPP</v>
          </cell>
          <cell r="M1682">
            <v>2.58683198486515</v>
          </cell>
          <cell r="N1682">
            <v>2</v>
          </cell>
        </row>
        <row r="1683">
          <cell r="E1683" t="str">
            <v>Arizona v California</v>
          </cell>
          <cell r="I1683" t="str">
            <v>GW</v>
          </cell>
          <cell r="K1683" t="str">
            <v>H</v>
          </cell>
          <cell r="M1683">
            <v>5.7227079176114604</v>
          </cell>
          <cell r="N1683">
            <v>1</v>
          </cell>
        </row>
        <row r="1684">
          <cell r="E1684" t="str">
            <v>Arizona v California</v>
          </cell>
          <cell r="I1684" t="str">
            <v>GW</v>
          </cell>
          <cell r="K1684" t="str">
            <v>F</v>
          </cell>
          <cell r="M1684">
            <v>8.7585754383657495</v>
          </cell>
          <cell r="N1684">
            <v>4</v>
          </cell>
        </row>
        <row r="1685">
          <cell r="E1685" t="str">
            <v>Arizona v California</v>
          </cell>
          <cell r="I1685" t="str">
            <v>GW</v>
          </cell>
          <cell r="K1685" t="str">
            <v>H</v>
          </cell>
          <cell r="M1685">
            <v>5.9618748451719998</v>
          </cell>
          <cell r="N1685">
            <v>2</v>
          </cell>
        </row>
        <row r="1686">
          <cell r="E1686" t="str">
            <v>Arizona v California</v>
          </cell>
          <cell r="I1686" t="str">
            <v>GW</v>
          </cell>
          <cell r="K1686" t="str">
            <v>F</v>
          </cell>
          <cell r="M1686">
            <v>9.2017163311203305</v>
          </cell>
          <cell r="N1686">
            <v>4</v>
          </cell>
        </row>
        <row r="1687">
          <cell r="E1687" t="str">
            <v>Arizona v California</v>
          </cell>
          <cell r="I1687" t="str">
            <v>GW</v>
          </cell>
          <cell r="K1687" t="str">
            <v>IPP</v>
          </cell>
          <cell r="M1687">
            <v>6.1439803955519299</v>
          </cell>
          <cell r="N1687">
            <v>2</v>
          </cell>
        </row>
        <row r="1688">
          <cell r="E1688" t="str">
            <v>Arizona v California</v>
          </cell>
          <cell r="I1688" t="str">
            <v>GW</v>
          </cell>
          <cell r="K1688" t="str">
            <v>F</v>
          </cell>
          <cell r="M1688">
            <v>4.8812991419824003</v>
          </cell>
          <cell r="N1688">
            <v>4</v>
          </cell>
        </row>
        <row r="1689">
          <cell r="E1689" t="str">
            <v>Arizona v California</v>
          </cell>
          <cell r="I1689" t="str">
            <v>GW</v>
          </cell>
          <cell r="K1689" t="str">
            <v>IPP</v>
          </cell>
          <cell r="M1689">
            <v>2.7231993888776098</v>
          </cell>
          <cell r="N1689">
            <v>2</v>
          </cell>
        </row>
        <row r="1690">
          <cell r="E1690" t="str">
            <v>Arizona v California</v>
          </cell>
          <cell r="I1690" t="str">
            <v>GW</v>
          </cell>
          <cell r="K1690" t="str">
            <v>IPP</v>
          </cell>
          <cell r="M1690">
            <v>6.1931503304269704</v>
          </cell>
          <cell r="N1690">
            <v>2</v>
          </cell>
        </row>
        <row r="1691">
          <cell r="E1691" t="str">
            <v>Arizona v California</v>
          </cell>
          <cell r="I1691" t="str">
            <v>GW</v>
          </cell>
          <cell r="K1691" t="str">
            <v>IPP</v>
          </cell>
          <cell r="M1691">
            <v>1.24594496612996</v>
          </cell>
          <cell r="N1691">
            <v>2</v>
          </cell>
        </row>
        <row r="1692">
          <cell r="E1692" t="str">
            <v>Arizona v California</v>
          </cell>
          <cell r="I1692" t="str">
            <v>GW</v>
          </cell>
          <cell r="K1692" t="str">
            <v>IPP</v>
          </cell>
          <cell r="M1692">
            <v>6.3051794957301599</v>
          </cell>
          <cell r="N1692">
            <v>1</v>
          </cell>
        </row>
        <row r="1693">
          <cell r="E1693" t="str">
            <v>Arizona v California</v>
          </cell>
          <cell r="I1693" t="str">
            <v>GW</v>
          </cell>
          <cell r="K1693" t="str">
            <v>IPP</v>
          </cell>
          <cell r="M1693">
            <v>6.4462734304096099</v>
          </cell>
          <cell r="N1693">
            <v>1</v>
          </cell>
        </row>
        <row r="1694">
          <cell r="E1694" t="str">
            <v>Arizona v California</v>
          </cell>
          <cell r="I1694" t="str">
            <v>GW</v>
          </cell>
          <cell r="K1694" t="str">
            <v>Stk,W</v>
          </cell>
          <cell r="M1694">
            <v>0.489189934612488</v>
          </cell>
          <cell r="N1694">
            <v>4</v>
          </cell>
        </row>
        <row r="1695">
          <cell r="E1695" t="str">
            <v>Arizona v California</v>
          </cell>
          <cell r="I1695" t="str">
            <v>GW</v>
          </cell>
          <cell r="K1695" t="str">
            <v>H</v>
          </cell>
          <cell r="M1695">
            <v>7.4676452952661396</v>
          </cell>
          <cell r="N1695">
            <v>1</v>
          </cell>
        </row>
        <row r="1696">
          <cell r="E1696" t="str">
            <v>Arizona v California</v>
          </cell>
          <cell r="I1696" t="str">
            <v>GW</v>
          </cell>
          <cell r="K1696" t="str">
            <v>INP</v>
          </cell>
          <cell r="M1696">
            <v>8.0514785460300509</v>
          </cell>
          <cell r="N1696">
            <v>1</v>
          </cell>
        </row>
        <row r="1697">
          <cell r="E1697" t="str">
            <v>Arizona v California</v>
          </cell>
          <cell r="I1697" t="str">
            <v>GW</v>
          </cell>
          <cell r="K1697" t="str">
            <v>IPP</v>
          </cell>
          <cell r="M1697">
            <v>8.4945204485158801</v>
          </cell>
          <cell r="N1697">
            <v>2</v>
          </cell>
        </row>
        <row r="1698">
          <cell r="E1698" t="str">
            <v>Arizona v California</v>
          </cell>
          <cell r="I1698" t="str">
            <v>GW</v>
          </cell>
          <cell r="K1698" t="str">
            <v>F</v>
          </cell>
          <cell r="M1698">
            <v>5.8842131094744401</v>
          </cell>
          <cell r="N1698">
            <v>4</v>
          </cell>
        </row>
        <row r="1699">
          <cell r="E1699" t="str">
            <v>Arizona v California</v>
          </cell>
          <cell r="I1699" t="str">
            <v>GW</v>
          </cell>
          <cell r="K1699" t="str">
            <v>INP</v>
          </cell>
          <cell r="M1699">
            <v>9.0050345152040006</v>
          </cell>
          <cell r="N1699">
            <v>1</v>
          </cell>
        </row>
        <row r="1700">
          <cell r="E1700" t="str">
            <v>Arizona v California</v>
          </cell>
          <cell r="I1700" t="str">
            <v>GW</v>
          </cell>
          <cell r="K1700" t="str">
            <v>F</v>
          </cell>
          <cell r="M1700">
            <v>9.9785745870998106</v>
          </cell>
          <cell r="N1700">
            <v>4</v>
          </cell>
        </row>
        <row r="1701">
          <cell r="E1701" t="str">
            <v>Arizona v California</v>
          </cell>
          <cell r="I1701" t="str">
            <v>GW</v>
          </cell>
          <cell r="K1701" t="str">
            <v>INP</v>
          </cell>
          <cell r="M1701">
            <v>0.12769744370677499</v>
          </cell>
          <cell r="N1701">
            <v>2</v>
          </cell>
        </row>
        <row r="1702">
          <cell r="E1702" t="str">
            <v>Arizona v California</v>
          </cell>
          <cell r="I1702" t="str">
            <v>GW</v>
          </cell>
          <cell r="K1702" t="str">
            <v>INP</v>
          </cell>
          <cell r="M1702">
            <v>9.0218194163464496</v>
          </cell>
          <cell r="N1702">
            <v>1</v>
          </cell>
        </row>
        <row r="1703">
          <cell r="E1703" t="str">
            <v>Arizona v California</v>
          </cell>
          <cell r="I1703" t="str">
            <v>GW</v>
          </cell>
          <cell r="K1703" t="str">
            <v>DSL</v>
          </cell>
          <cell r="M1703">
            <v>9.0903605476835505</v>
          </cell>
          <cell r="N1703">
            <v>2</v>
          </cell>
        </row>
        <row r="1704">
          <cell r="E1704" t="str">
            <v>Arizona v California</v>
          </cell>
          <cell r="I1704" t="str">
            <v>GW</v>
          </cell>
          <cell r="K1704" t="str">
            <v>F</v>
          </cell>
          <cell r="M1704">
            <v>10.3382168811884</v>
          </cell>
          <cell r="N1704">
            <v>4</v>
          </cell>
        </row>
        <row r="1705">
          <cell r="E1705" t="str">
            <v>Arizona v California</v>
          </cell>
          <cell r="I1705" t="str">
            <v>GW</v>
          </cell>
          <cell r="K1705" t="str">
            <v>H</v>
          </cell>
          <cell r="M1705">
            <v>9.2751514517580897</v>
          </cell>
          <cell r="N1705">
            <v>1</v>
          </cell>
        </row>
        <row r="1706">
          <cell r="E1706" t="str">
            <v>Arizona v California</v>
          </cell>
          <cell r="I1706" t="str">
            <v>GW</v>
          </cell>
          <cell r="K1706" t="str">
            <v>IPP</v>
          </cell>
          <cell r="M1706">
            <v>9.4554218112503197</v>
          </cell>
          <cell r="N1706">
            <v>1</v>
          </cell>
        </row>
        <row r="1707">
          <cell r="E1707" t="str">
            <v>Arizona v California</v>
          </cell>
          <cell r="I1707" t="str">
            <v>GW</v>
          </cell>
          <cell r="K1707" t="str">
            <v>H</v>
          </cell>
          <cell r="M1707">
            <v>9.6122357619757697</v>
          </cell>
          <cell r="N1707">
            <v>1</v>
          </cell>
        </row>
        <row r="1708">
          <cell r="E1708" t="str">
            <v>Arizona v California</v>
          </cell>
          <cell r="I1708" t="str">
            <v>GW</v>
          </cell>
          <cell r="K1708" t="str">
            <v>IPP</v>
          </cell>
          <cell r="M1708">
            <v>9.8999697709796397</v>
          </cell>
          <cell r="N1708">
            <v>1</v>
          </cell>
        </row>
        <row r="1709">
          <cell r="E1709" t="str">
            <v>Arizona v California</v>
          </cell>
          <cell r="I1709" t="str">
            <v>GW</v>
          </cell>
          <cell r="K1709" t="str">
            <v>F</v>
          </cell>
          <cell r="M1709">
            <v>10.923981379482701</v>
          </cell>
          <cell r="N1709">
            <v>4</v>
          </cell>
        </row>
        <row r="1710">
          <cell r="E1710" t="str">
            <v>Arizona v California</v>
          </cell>
          <cell r="I1710" t="str">
            <v>GW</v>
          </cell>
          <cell r="K1710" t="str">
            <v>Fo</v>
          </cell>
          <cell r="M1710">
            <v>0.15403706301023801</v>
          </cell>
          <cell r="N1710">
            <v>2</v>
          </cell>
        </row>
        <row r="1711">
          <cell r="E1711" t="str">
            <v>Arizona v California</v>
          </cell>
          <cell r="I1711" t="str">
            <v>GW</v>
          </cell>
          <cell r="K1711" t="str">
            <v>F</v>
          </cell>
          <cell r="M1711">
            <v>11.149109571144599</v>
          </cell>
          <cell r="N1711">
            <v>4</v>
          </cell>
        </row>
        <row r="1712">
          <cell r="E1712" t="str">
            <v>Arizona v California</v>
          </cell>
          <cell r="I1712" t="str">
            <v>GW</v>
          </cell>
          <cell r="K1712" t="str">
            <v>INP</v>
          </cell>
          <cell r="M1712">
            <v>10.219302415386901</v>
          </cell>
          <cell r="N1712">
            <v>1</v>
          </cell>
        </row>
        <row r="1713">
          <cell r="E1713" t="str">
            <v>Arizona v California</v>
          </cell>
          <cell r="I1713" t="str">
            <v>GW</v>
          </cell>
          <cell r="K1713" t="str">
            <v>IPP</v>
          </cell>
          <cell r="M1713">
            <v>10.525689792880801</v>
          </cell>
          <cell r="N1713">
            <v>1</v>
          </cell>
        </row>
        <row r="1714">
          <cell r="E1714" t="str">
            <v>Arizona v California</v>
          </cell>
          <cell r="I1714" t="str">
            <v>GW</v>
          </cell>
          <cell r="K1714" t="str">
            <v>INP</v>
          </cell>
          <cell r="M1714">
            <v>10.7645257334287</v>
          </cell>
          <cell r="N1714">
            <v>1</v>
          </cell>
        </row>
        <row r="1715">
          <cell r="E1715" t="str">
            <v>Arizona v California</v>
          </cell>
          <cell r="I1715" t="str">
            <v>GW</v>
          </cell>
          <cell r="K1715" t="str">
            <v>IPP</v>
          </cell>
          <cell r="M1715">
            <v>11.280566292719501</v>
          </cell>
          <cell r="N1715">
            <v>1</v>
          </cell>
        </row>
        <row r="1716">
          <cell r="E1716" t="str">
            <v>Arizona v California</v>
          </cell>
          <cell r="I1716" t="str">
            <v>GW</v>
          </cell>
          <cell r="K1716" t="str">
            <v>Out</v>
          </cell>
          <cell r="M1716">
            <v>14.032093602581</v>
          </cell>
          <cell r="N1716">
            <v>4</v>
          </cell>
        </row>
        <row r="1717">
          <cell r="E1717" t="str">
            <v>Arizona v California</v>
          </cell>
          <cell r="I1717" t="str">
            <v>GW</v>
          </cell>
          <cell r="K1717" t="str">
            <v>F</v>
          </cell>
          <cell r="M1717">
            <v>15.7730448504349</v>
          </cell>
          <cell r="N1717">
            <v>4</v>
          </cell>
        </row>
        <row r="1718">
          <cell r="E1718" t="str">
            <v>Arizona v California</v>
          </cell>
          <cell r="I1718" t="str">
            <v>GW</v>
          </cell>
          <cell r="K1718" t="str">
            <v>Res,W</v>
          </cell>
          <cell r="M1718">
            <v>0.74842001390668</v>
          </cell>
          <cell r="N1718">
            <v>4</v>
          </cell>
        </row>
        <row r="1719">
          <cell r="E1719" t="str">
            <v>Arizona v California</v>
          </cell>
          <cell r="I1719" t="str">
            <v>GW</v>
          </cell>
          <cell r="K1719" t="str">
            <v>H</v>
          </cell>
          <cell r="M1719">
            <v>11.736031376991299</v>
          </cell>
          <cell r="N1719">
            <v>1</v>
          </cell>
        </row>
        <row r="1720">
          <cell r="E1720" t="str">
            <v>Arizona v California</v>
          </cell>
          <cell r="I1720" t="str">
            <v>GW</v>
          </cell>
          <cell r="K1720" t="str">
            <v>IPP</v>
          </cell>
          <cell r="M1720">
            <v>11.9791971493533</v>
          </cell>
          <cell r="N1720">
            <v>1</v>
          </cell>
        </row>
        <row r="1721">
          <cell r="E1721" t="str">
            <v>Arizona v California</v>
          </cell>
          <cell r="I1721" t="str">
            <v>GW</v>
          </cell>
          <cell r="K1721" t="str">
            <v>IPP</v>
          </cell>
          <cell r="M1721">
            <v>12.128439073493499</v>
          </cell>
          <cell r="N1721">
            <v>1</v>
          </cell>
        </row>
        <row r="1722">
          <cell r="E1722" t="str">
            <v>Arizona v California</v>
          </cell>
          <cell r="I1722" t="str">
            <v>GW</v>
          </cell>
          <cell r="K1722" t="str">
            <v>F</v>
          </cell>
          <cell r="M1722">
            <v>0.75786329844397304</v>
          </cell>
          <cell r="N1722">
            <v>4</v>
          </cell>
        </row>
        <row r="1723">
          <cell r="E1723" t="str">
            <v>Arizona v California</v>
          </cell>
          <cell r="I1723" t="str">
            <v>GW</v>
          </cell>
          <cell r="K1723" t="str">
            <v>H</v>
          </cell>
          <cell r="M1723">
            <v>12.5804556817411</v>
          </cell>
          <cell r="N1723">
            <v>2</v>
          </cell>
        </row>
        <row r="1724">
          <cell r="E1724" t="str">
            <v>Arizona v California</v>
          </cell>
          <cell r="I1724" t="str">
            <v>GW</v>
          </cell>
          <cell r="K1724" t="str">
            <v>IPP</v>
          </cell>
          <cell r="M1724">
            <v>12.922851241757799</v>
          </cell>
          <cell r="N1724">
            <v>1</v>
          </cell>
        </row>
        <row r="1725">
          <cell r="E1725" t="str">
            <v>Arizona v California</v>
          </cell>
          <cell r="I1725" t="str">
            <v>GW</v>
          </cell>
          <cell r="K1725" t="str">
            <v>IPP</v>
          </cell>
          <cell r="M1725">
            <v>13.008242849551801</v>
          </cell>
          <cell r="N1725">
            <v>1</v>
          </cell>
        </row>
        <row r="1726">
          <cell r="E1726" t="str">
            <v>Arizona v California</v>
          </cell>
          <cell r="I1726" t="str">
            <v>GW</v>
          </cell>
          <cell r="K1726" t="str">
            <v>H</v>
          </cell>
          <cell r="M1726">
            <v>13.1162141252984</v>
          </cell>
          <cell r="N1726">
            <v>1</v>
          </cell>
        </row>
        <row r="1727">
          <cell r="E1727" t="str">
            <v>Arizona v California</v>
          </cell>
          <cell r="I1727" t="str">
            <v>GW</v>
          </cell>
          <cell r="K1727" t="str">
            <v>F</v>
          </cell>
          <cell r="M1727">
            <v>6.63559886915702</v>
          </cell>
          <cell r="N1727">
            <v>4</v>
          </cell>
        </row>
        <row r="1728">
          <cell r="E1728" t="str">
            <v>Arizona v California</v>
          </cell>
          <cell r="I1728" t="str">
            <v>GW</v>
          </cell>
          <cell r="K1728" t="str">
            <v>IPP</v>
          </cell>
          <cell r="M1728">
            <v>13.722873982106</v>
          </cell>
          <cell r="N1728">
            <v>1</v>
          </cell>
        </row>
        <row r="1729">
          <cell r="E1729" t="str">
            <v>Arizona v California</v>
          </cell>
          <cell r="I1729" t="str">
            <v>GW</v>
          </cell>
          <cell r="K1729" t="str">
            <v>H</v>
          </cell>
          <cell r="M1729">
            <v>13.856388331978</v>
          </cell>
          <cell r="N1729">
            <v>1</v>
          </cell>
        </row>
        <row r="1730">
          <cell r="E1730" t="str">
            <v>Arizona v California</v>
          </cell>
          <cell r="I1730" t="str">
            <v>GW</v>
          </cell>
          <cell r="K1730" t="str">
            <v>Res,W</v>
          </cell>
          <cell r="M1730">
            <v>0.72567879993212803</v>
          </cell>
          <cell r="N1730">
            <v>4</v>
          </cell>
        </row>
        <row r="1731">
          <cell r="E1731" t="str">
            <v>Arizona v California</v>
          </cell>
          <cell r="I1731" t="str">
            <v>GW</v>
          </cell>
          <cell r="K1731" t="str">
            <v>H</v>
          </cell>
          <cell r="M1731">
            <v>14.330972441236</v>
          </cell>
          <cell r="N1731">
            <v>1</v>
          </cell>
        </row>
        <row r="1732">
          <cell r="E1732" t="str">
            <v>Arizona v California</v>
          </cell>
          <cell r="I1732" t="str">
            <v>GW</v>
          </cell>
          <cell r="K1732" t="str">
            <v>F</v>
          </cell>
          <cell r="M1732">
            <v>6.1791149706052204</v>
          </cell>
          <cell r="N1732">
            <v>4</v>
          </cell>
        </row>
        <row r="1733">
          <cell r="E1733" t="str">
            <v>Arizona v California</v>
          </cell>
          <cell r="I1733" t="str">
            <v>GW</v>
          </cell>
          <cell r="K1733" t="str">
            <v>IPP</v>
          </cell>
          <cell r="M1733">
            <v>15.851943361880901</v>
          </cell>
          <cell r="N1733">
            <v>1</v>
          </cell>
        </row>
        <row r="1734">
          <cell r="E1734" t="str">
            <v>Arizona v California</v>
          </cell>
          <cell r="I1734" t="str">
            <v>GW</v>
          </cell>
          <cell r="K1734" t="str">
            <v>H</v>
          </cell>
          <cell r="M1734">
            <v>16.010154907331099</v>
          </cell>
          <cell r="N1734">
            <v>1</v>
          </cell>
        </row>
        <row r="1735">
          <cell r="E1735" t="str">
            <v>Arizona v California</v>
          </cell>
          <cell r="I1735" t="str">
            <v>GW</v>
          </cell>
          <cell r="K1735" t="str">
            <v>IPP</v>
          </cell>
          <cell r="M1735">
            <v>16.475284574403801</v>
          </cell>
          <cell r="N1735">
            <v>1</v>
          </cell>
        </row>
        <row r="1736">
          <cell r="E1736" t="str">
            <v>Arizona v California</v>
          </cell>
          <cell r="I1736" t="str">
            <v>GW</v>
          </cell>
          <cell r="K1736" t="str">
            <v>Res,W</v>
          </cell>
          <cell r="M1736">
            <v>1.0481037277959799</v>
          </cell>
          <cell r="N1736">
            <v>4</v>
          </cell>
        </row>
        <row r="1737">
          <cell r="E1737" t="str">
            <v>Arizona v California</v>
          </cell>
          <cell r="I1737" t="str">
            <v>GW</v>
          </cell>
          <cell r="K1737" t="str">
            <v>F</v>
          </cell>
          <cell r="M1737">
            <v>3.4903024698654401</v>
          </cell>
          <cell r="N1737">
            <v>4</v>
          </cell>
        </row>
        <row r="1738">
          <cell r="E1738" t="str">
            <v>Arizona v California</v>
          </cell>
          <cell r="I1738" t="str">
            <v>GW</v>
          </cell>
          <cell r="K1738" t="str">
            <v>IPP</v>
          </cell>
          <cell r="M1738">
            <v>16.807897949551101</v>
          </cell>
          <cell r="N1738">
            <v>1</v>
          </cell>
        </row>
        <row r="1739">
          <cell r="E1739" t="str">
            <v>Arizona v California</v>
          </cell>
          <cell r="I1739" t="str">
            <v>GW</v>
          </cell>
          <cell r="K1739" t="str">
            <v>INP</v>
          </cell>
          <cell r="M1739">
            <v>18.093654520674701</v>
          </cell>
          <cell r="N1739">
            <v>1</v>
          </cell>
        </row>
        <row r="1740">
          <cell r="E1740" t="str">
            <v>Arizona v California</v>
          </cell>
          <cell r="I1740" t="str">
            <v>GW</v>
          </cell>
          <cell r="K1740" t="str">
            <v>INP</v>
          </cell>
          <cell r="M1740">
            <v>18.097639559241301</v>
          </cell>
          <cell r="N1740">
            <v>1</v>
          </cell>
        </row>
        <row r="1741">
          <cell r="E1741" t="str">
            <v>Arizona v California</v>
          </cell>
          <cell r="I1741" t="str">
            <v>GW</v>
          </cell>
          <cell r="K1741" t="str">
            <v>H</v>
          </cell>
          <cell r="M1741">
            <v>19.613107461450099</v>
          </cell>
          <cell r="N1741">
            <v>1</v>
          </cell>
        </row>
        <row r="1742">
          <cell r="E1742" t="str">
            <v>Arizona v California</v>
          </cell>
          <cell r="I1742" t="str">
            <v>GW</v>
          </cell>
          <cell r="K1742" t="str">
            <v>IPP</v>
          </cell>
          <cell r="M1742">
            <v>22.087763396181298</v>
          </cell>
          <cell r="N1742">
            <v>1</v>
          </cell>
        </row>
        <row r="1743">
          <cell r="E1743" t="str">
            <v>Arizona v California</v>
          </cell>
          <cell r="I1743" t="str">
            <v>GW</v>
          </cell>
          <cell r="K1743" t="str">
            <v>F</v>
          </cell>
          <cell r="M1743">
            <v>23.926971599874499</v>
          </cell>
          <cell r="N1743">
            <v>4</v>
          </cell>
        </row>
        <row r="1744">
          <cell r="E1744" t="str">
            <v>Arizona v California</v>
          </cell>
          <cell r="I1744" t="str">
            <v>GW</v>
          </cell>
          <cell r="K1744" t="str">
            <v>IPP</v>
          </cell>
          <cell r="M1744">
            <v>23.299279457787701</v>
          </cell>
          <cell r="N1744">
            <v>1</v>
          </cell>
        </row>
        <row r="1745">
          <cell r="E1745" t="str">
            <v>Arizona v California</v>
          </cell>
          <cell r="I1745" t="str">
            <v>GW</v>
          </cell>
          <cell r="K1745" t="str">
            <v>IPP</v>
          </cell>
          <cell r="M1745">
            <v>30.6320602097624</v>
          </cell>
          <cell r="N1745">
            <v>1</v>
          </cell>
        </row>
        <row r="1746">
          <cell r="E1746" t="str">
            <v>Arizona v California</v>
          </cell>
          <cell r="I1746" t="str">
            <v>GW</v>
          </cell>
          <cell r="K1746" t="str">
            <v>F</v>
          </cell>
          <cell r="M1746">
            <v>24.5883894116119</v>
          </cell>
          <cell r="N1746">
            <v>4</v>
          </cell>
        </row>
        <row r="1747">
          <cell r="E1747" t="str">
            <v>Arizona v California</v>
          </cell>
          <cell r="I1747" t="str">
            <v>GW</v>
          </cell>
          <cell r="K1747" t="str">
            <v>IPP</v>
          </cell>
          <cell r="M1747">
            <v>42.664939473217302</v>
          </cell>
          <cell r="N1747">
            <v>1</v>
          </cell>
        </row>
        <row r="1748">
          <cell r="E1748" t="str">
            <v>Arizona v California</v>
          </cell>
          <cell r="I1748" t="str">
            <v>GW</v>
          </cell>
          <cell r="K1748" t="str">
            <v>F</v>
          </cell>
          <cell r="M1748">
            <v>31.733722274471202</v>
          </cell>
          <cell r="N1748">
            <v>4</v>
          </cell>
        </row>
        <row r="1749">
          <cell r="E1749" t="str">
            <v>Arizona v California</v>
          </cell>
          <cell r="I1749" t="str">
            <v>CG</v>
          </cell>
          <cell r="K1749" t="str">
            <v>DSL</v>
          </cell>
          <cell r="M1749">
            <v>5.2083858531237003E-2</v>
          </cell>
          <cell r="N1749">
            <v>2</v>
          </cell>
        </row>
        <row r="1750">
          <cell r="E1750" t="str">
            <v>Arizona v California</v>
          </cell>
          <cell r="I1750" t="str">
            <v>CG</v>
          </cell>
          <cell r="K1750" t="str">
            <v>DSL</v>
          </cell>
          <cell r="M1750">
            <v>3.9164408684470003E-3</v>
          </cell>
          <cell r="N1750">
            <v>2</v>
          </cell>
        </row>
        <row r="1751">
          <cell r="E1751" t="str">
            <v>Arizona v California</v>
          </cell>
          <cell r="I1751" t="str">
            <v>CG</v>
          </cell>
          <cell r="K1751" t="str">
            <v>DSL</v>
          </cell>
          <cell r="M1751">
            <v>1.471098509946E-3</v>
          </cell>
          <cell r="N1751">
            <v>2</v>
          </cell>
        </row>
        <row r="1752">
          <cell r="E1752" t="str">
            <v>Arizona v California</v>
          </cell>
          <cell r="I1752" t="str">
            <v>CG</v>
          </cell>
          <cell r="K1752" t="str">
            <v>DSL</v>
          </cell>
          <cell r="M1752">
            <v>3.0456886323840002E-3</v>
          </cell>
          <cell r="N1752">
            <v>2</v>
          </cell>
        </row>
        <row r="1753">
          <cell r="E1753" t="str">
            <v>Arizona v California</v>
          </cell>
          <cell r="I1753" t="str">
            <v>CG</v>
          </cell>
          <cell r="K1753" t="str">
            <v>DSL</v>
          </cell>
          <cell r="M1753">
            <v>2.9976105331323E-2</v>
          </cell>
          <cell r="N1753">
            <v>2</v>
          </cell>
        </row>
        <row r="1754">
          <cell r="E1754" t="str">
            <v>Arizona v California</v>
          </cell>
          <cell r="I1754" t="str">
            <v>CG</v>
          </cell>
          <cell r="K1754" t="str">
            <v>DSL</v>
          </cell>
          <cell r="M1754">
            <v>3.5711309157870001E-3</v>
          </cell>
          <cell r="N1754">
            <v>2</v>
          </cell>
        </row>
        <row r="1755">
          <cell r="E1755" t="str">
            <v>Arizona v California</v>
          </cell>
          <cell r="I1755" t="str">
            <v>CG</v>
          </cell>
          <cell r="K1755" t="str">
            <v>DSL</v>
          </cell>
          <cell r="M1755">
            <v>3.6018117718358E-2</v>
          </cell>
          <cell r="N1755">
            <v>2</v>
          </cell>
        </row>
        <row r="1756">
          <cell r="E1756" t="str">
            <v>Arizona v California</v>
          </cell>
          <cell r="I1756" t="str">
            <v>CG</v>
          </cell>
          <cell r="K1756" t="str">
            <v>DSL</v>
          </cell>
          <cell r="M1756">
            <v>2.4374902926268999E-2</v>
          </cell>
          <cell r="N1756">
            <v>2</v>
          </cell>
        </row>
        <row r="1757">
          <cell r="E1757" t="str">
            <v>Arizona v California</v>
          </cell>
          <cell r="I1757" t="str">
            <v>CG</v>
          </cell>
          <cell r="K1757" t="str">
            <v>F</v>
          </cell>
          <cell r="M1757">
            <v>0.27958759192518401</v>
          </cell>
          <cell r="N1757">
            <v>4</v>
          </cell>
        </row>
        <row r="1758">
          <cell r="E1758" t="str">
            <v>Arizona v California</v>
          </cell>
          <cell r="I1758" t="str">
            <v>CG</v>
          </cell>
          <cell r="K1758" t="str">
            <v>F</v>
          </cell>
          <cell r="M1758">
            <v>3.04275796035204</v>
          </cell>
          <cell r="N1758">
            <v>4</v>
          </cell>
        </row>
        <row r="1759">
          <cell r="E1759" t="str">
            <v>Arizona v California</v>
          </cell>
          <cell r="I1759" t="str">
            <v>CG</v>
          </cell>
          <cell r="K1759" t="str">
            <v>F</v>
          </cell>
          <cell r="M1759">
            <v>25.536234668716599</v>
          </cell>
          <cell r="N1759">
            <v>4</v>
          </cell>
        </row>
        <row r="1760">
          <cell r="E1760" t="str">
            <v>Arizona v California</v>
          </cell>
          <cell r="I1760" t="str">
            <v>CG</v>
          </cell>
          <cell r="K1760" t="str">
            <v>F</v>
          </cell>
          <cell r="M1760">
            <v>0.65715059646639995</v>
          </cell>
          <cell r="N1760">
            <v>4</v>
          </cell>
        </row>
        <row r="1761">
          <cell r="E1761" t="str">
            <v>Arizona v California</v>
          </cell>
          <cell r="I1761" t="str">
            <v>CG</v>
          </cell>
          <cell r="K1761" t="str">
            <v>F</v>
          </cell>
          <cell r="M1761">
            <v>5.4267069907107004</v>
          </cell>
          <cell r="N1761">
            <v>4</v>
          </cell>
        </row>
        <row r="1762">
          <cell r="E1762" t="str">
            <v>Arizona v California</v>
          </cell>
          <cell r="I1762" t="str">
            <v>CG</v>
          </cell>
          <cell r="K1762" t="str">
            <v>F</v>
          </cell>
          <cell r="M1762">
            <v>5.1356896964025998</v>
          </cell>
          <cell r="N1762">
            <v>4</v>
          </cell>
        </row>
        <row r="1763">
          <cell r="E1763" t="str">
            <v>Arizona v California</v>
          </cell>
          <cell r="I1763" t="str">
            <v>CG</v>
          </cell>
          <cell r="K1763" t="str">
            <v>F</v>
          </cell>
          <cell r="M1763">
            <v>3.3049261781533898</v>
          </cell>
          <cell r="N1763">
            <v>4</v>
          </cell>
        </row>
        <row r="1764">
          <cell r="E1764" t="str">
            <v>Arizona v California</v>
          </cell>
          <cell r="I1764" t="str">
            <v>CG</v>
          </cell>
          <cell r="K1764" t="str">
            <v>F</v>
          </cell>
          <cell r="M1764">
            <v>0.32083185579261497</v>
          </cell>
          <cell r="N1764">
            <v>4</v>
          </cell>
        </row>
        <row r="1765">
          <cell r="E1765" t="str">
            <v>Arizona v California</v>
          </cell>
          <cell r="I1765" t="str">
            <v>CG</v>
          </cell>
          <cell r="K1765" t="str">
            <v>F</v>
          </cell>
          <cell r="M1765">
            <v>9.7692465042230303</v>
          </cell>
          <cell r="N1765">
            <v>4</v>
          </cell>
        </row>
        <row r="1766">
          <cell r="E1766" t="str">
            <v>Arizona v California</v>
          </cell>
          <cell r="I1766" t="str">
            <v>CG</v>
          </cell>
          <cell r="K1766" t="str">
            <v>Stk,D</v>
          </cell>
          <cell r="M1766">
            <v>0.86766551419814197</v>
          </cell>
          <cell r="N1766">
            <v>4</v>
          </cell>
        </row>
        <row r="1767">
          <cell r="E1767" t="str">
            <v>Arizona v California</v>
          </cell>
          <cell r="I1767" t="str">
            <v>CG</v>
          </cell>
          <cell r="K1767" t="str">
            <v>F</v>
          </cell>
          <cell r="M1767">
            <v>5.0530213611694101</v>
          </cell>
          <cell r="N1767">
            <v>4</v>
          </cell>
        </row>
        <row r="1768">
          <cell r="E1768" t="str">
            <v>Arizona v California</v>
          </cell>
          <cell r="I1768" t="str">
            <v>CG</v>
          </cell>
          <cell r="K1768" t="str">
            <v>F</v>
          </cell>
          <cell r="M1768">
            <v>0.52581376787227296</v>
          </cell>
          <cell r="N1768">
            <v>4</v>
          </cell>
        </row>
        <row r="1769">
          <cell r="E1769" t="str">
            <v>Arizona v California</v>
          </cell>
          <cell r="I1769" t="str">
            <v>CG</v>
          </cell>
          <cell r="K1769" t="str">
            <v>F</v>
          </cell>
          <cell r="M1769">
            <v>35.4950434686317</v>
          </cell>
          <cell r="N1769">
            <v>4</v>
          </cell>
        </row>
        <row r="1770">
          <cell r="E1770" t="str">
            <v>Arizona v California</v>
          </cell>
          <cell r="I1770" t="str">
            <v>CG</v>
          </cell>
          <cell r="K1770" t="str">
            <v>Res,D</v>
          </cell>
          <cell r="M1770">
            <v>1.7837493851259101</v>
          </cell>
          <cell r="N1770">
            <v>4</v>
          </cell>
        </row>
        <row r="1771">
          <cell r="E1771" t="str">
            <v>Arizona v California</v>
          </cell>
          <cell r="I1771" t="str">
            <v>CG</v>
          </cell>
          <cell r="K1771" t="str">
            <v>IPP</v>
          </cell>
          <cell r="M1771">
            <v>4.5232543632730398</v>
          </cell>
          <cell r="N1771">
            <v>1</v>
          </cell>
        </row>
        <row r="1772">
          <cell r="E1772" t="str">
            <v>Arizona v California</v>
          </cell>
          <cell r="I1772" t="str">
            <v>CG</v>
          </cell>
          <cell r="K1772" t="str">
            <v>Res,W</v>
          </cell>
          <cell r="M1772">
            <v>0.17020433547401101</v>
          </cell>
          <cell r="N1772">
            <v>4</v>
          </cell>
        </row>
        <row r="1773">
          <cell r="E1773" t="str">
            <v>Arizona v California</v>
          </cell>
          <cell r="I1773" t="str">
            <v>CG</v>
          </cell>
          <cell r="K1773" t="str">
            <v>Res,D</v>
          </cell>
          <cell r="M1773">
            <v>0.140016341808055</v>
          </cell>
          <cell r="N1773">
            <v>4</v>
          </cell>
        </row>
        <row r="1774">
          <cell r="E1774" t="str">
            <v>Arizona v California</v>
          </cell>
          <cell r="I1774" t="str">
            <v>CG</v>
          </cell>
          <cell r="K1774" t="str">
            <v>DSL</v>
          </cell>
          <cell r="M1774">
            <v>0.2457663022262</v>
          </cell>
          <cell r="N1774">
            <v>2</v>
          </cell>
        </row>
        <row r="1775">
          <cell r="E1775" t="str">
            <v>Arizona v California</v>
          </cell>
          <cell r="I1775" t="str">
            <v>CG</v>
          </cell>
          <cell r="K1775" t="str">
            <v>F</v>
          </cell>
          <cell r="M1775">
            <v>8.2153929175204397</v>
          </cell>
          <cell r="N1775">
            <v>4</v>
          </cell>
        </row>
        <row r="1776">
          <cell r="E1776" t="str">
            <v>Arizona v California</v>
          </cell>
          <cell r="I1776" t="str">
            <v>CG</v>
          </cell>
          <cell r="K1776" t="str">
            <v>F</v>
          </cell>
          <cell r="M1776">
            <v>5.6398536286410899</v>
          </cell>
          <cell r="N1776">
            <v>4</v>
          </cell>
        </row>
        <row r="1777">
          <cell r="E1777" t="str">
            <v>Arizona v California</v>
          </cell>
          <cell r="I1777" t="str">
            <v>CG</v>
          </cell>
          <cell r="K1777" t="str">
            <v>F</v>
          </cell>
          <cell r="M1777">
            <v>0.94358590826700794</v>
          </cell>
          <cell r="N1777">
            <v>4</v>
          </cell>
        </row>
        <row r="1778">
          <cell r="E1778" t="str">
            <v>Arizona v California</v>
          </cell>
          <cell r="I1778" t="str">
            <v>CG</v>
          </cell>
          <cell r="K1778" t="str">
            <v>F</v>
          </cell>
          <cell r="M1778">
            <v>6.6186318224143701</v>
          </cell>
          <cell r="N1778">
            <v>4</v>
          </cell>
        </row>
        <row r="1779">
          <cell r="E1779" t="str">
            <v>Arizona v California</v>
          </cell>
          <cell r="I1779" t="str">
            <v>CG</v>
          </cell>
          <cell r="K1779" t="str">
            <v>DSL</v>
          </cell>
          <cell r="M1779">
            <v>0.68330087338387502</v>
          </cell>
          <cell r="N1779">
            <v>2</v>
          </cell>
        </row>
        <row r="1780">
          <cell r="E1780" t="str">
            <v>Arizona v California</v>
          </cell>
          <cell r="I1780" t="str">
            <v>CG</v>
          </cell>
          <cell r="K1780" t="str">
            <v>F</v>
          </cell>
          <cell r="M1780">
            <v>4.7653272931050896</v>
          </cell>
          <cell r="N1780">
            <v>4</v>
          </cell>
        </row>
        <row r="1781">
          <cell r="E1781" t="str">
            <v>Arizona v California</v>
          </cell>
          <cell r="I1781" t="str">
            <v>CG</v>
          </cell>
          <cell r="K1781" t="str">
            <v>DSL</v>
          </cell>
          <cell r="M1781">
            <v>5.0352710173831999E-2</v>
          </cell>
          <cell r="N1781">
            <v>2</v>
          </cell>
        </row>
        <row r="1782">
          <cell r="E1782" t="str">
            <v>Arizona v California</v>
          </cell>
          <cell r="I1782" t="str">
            <v>CG</v>
          </cell>
          <cell r="K1782" t="str">
            <v>F</v>
          </cell>
          <cell r="M1782">
            <v>4.1797634858921198</v>
          </cell>
          <cell r="N1782">
            <v>4</v>
          </cell>
        </row>
        <row r="1783">
          <cell r="E1783" t="str">
            <v>Arizona v California</v>
          </cell>
          <cell r="I1783" t="str">
            <v>CG</v>
          </cell>
          <cell r="K1783" t="str">
            <v>DSL</v>
          </cell>
          <cell r="M1783">
            <v>3.8214963473697301</v>
          </cell>
          <cell r="N1783">
            <v>2</v>
          </cell>
        </row>
        <row r="1784">
          <cell r="E1784" t="str">
            <v>Arizona v California</v>
          </cell>
          <cell r="I1784" t="str">
            <v>CG</v>
          </cell>
          <cell r="K1784" t="str">
            <v>DSL</v>
          </cell>
          <cell r="M1784">
            <v>1.33267252578677</v>
          </cell>
          <cell r="N1784">
            <v>3</v>
          </cell>
        </row>
        <row r="1785">
          <cell r="E1785" t="str">
            <v>Arizona v California</v>
          </cell>
          <cell r="I1785" t="str">
            <v>CG</v>
          </cell>
          <cell r="K1785" t="str">
            <v>F</v>
          </cell>
          <cell r="M1785">
            <v>2.5899717597584102</v>
          </cell>
          <cell r="N1785">
            <v>4</v>
          </cell>
        </row>
        <row r="1786">
          <cell r="E1786" t="str">
            <v>Arizona v California</v>
          </cell>
          <cell r="I1786" t="str">
            <v>CG</v>
          </cell>
          <cell r="K1786" t="str">
            <v>Res,D</v>
          </cell>
          <cell r="M1786">
            <v>2.5004229701968201</v>
          </cell>
          <cell r="N1786">
            <v>4</v>
          </cell>
        </row>
        <row r="1787">
          <cell r="E1787" t="str">
            <v>Arizona v California</v>
          </cell>
          <cell r="I1787" t="str">
            <v>CG</v>
          </cell>
          <cell r="K1787" t="str">
            <v>DSL</v>
          </cell>
          <cell r="M1787">
            <v>0.69188937961286701</v>
          </cell>
          <cell r="N1787">
            <v>3</v>
          </cell>
        </row>
        <row r="1788">
          <cell r="E1788" t="str">
            <v>Arizona v California</v>
          </cell>
          <cell r="I1788" t="str">
            <v>CG</v>
          </cell>
          <cell r="K1788" t="str">
            <v>DSL</v>
          </cell>
          <cell r="M1788">
            <v>0.40488846461639</v>
          </cell>
          <cell r="N1788">
            <v>2</v>
          </cell>
        </row>
        <row r="1789">
          <cell r="E1789" t="str">
            <v>Arizona v California</v>
          </cell>
          <cell r="I1789" t="str">
            <v>CG</v>
          </cell>
          <cell r="K1789" t="str">
            <v>DSL</v>
          </cell>
          <cell r="M1789">
            <v>0.32498685116411202</v>
          </cell>
          <cell r="N1789">
            <v>2</v>
          </cell>
        </row>
        <row r="1790">
          <cell r="E1790" t="str">
            <v>Arizona v California</v>
          </cell>
          <cell r="I1790" t="str">
            <v>CG</v>
          </cell>
          <cell r="K1790" t="str">
            <v>DSL</v>
          </cell>
          <cell r="M1790">
            <v>1.4080658076125E-2</v>
          </cell>
          <cell r="N1790">
            <v>2</v>
          </cell>
        </row>
        <row r="1791">
          <cell r="E1791" t="str">
            <v>Arizona v California</v>
          </cell>
          <cell r="I1791" t="str">
            <v>CG</v>
          </cell>
          <cell r="K1791" t="str">
            <v>Pe</v>
          </cell>
          <cell r="M1791">
            <v>1.69454129449081</v>
          </cell>
          <cell r="N1791">
            <v>3</v>
          </cell>
        </row>
        <row r="1792">
          <cell r="E1792" t="str">
            <v>Arizona v California</v>
          </cell>
          <cell r="I1792" t="str">
            <v>CG</v>
          </cell>
          <cell r="K1792" t="str">
            <v>Pe</v>
          </cell>
          <cell r="M1792">
            <v>0.50987602159104195</v>
          </cell>
          <cell r="N1792">
            <v>3</v>
          </cell>
        </row>
        <row r="1793">
          <cell r="E1793" t="str">
            <v>Arizona v California</v>
          </cell>
          <cell r="I1793" t="str">
            <v>CG</v>
          </cell>
          <cell r="K1793" t="str">
            <v>F</v>
          </cell>
          <cell r="M1793">
            <v>9.3300092010709594</v>
          </cell>
          <cell r="N1793">
            <v>4</v>
          </cell>
        </row>
        <row r="1794">
          <cell r="E1794" t="str">
            <v>Arizona v California</v>
          </cell>
          <cell r="I1794" t="str">
            <v>CG</v>
          </cell>
          <cell r="K1794" t="str">
            <v>H</v>
          </cell>
          <cell r="M1794">
            <v>4.6543565379545297</v>
          </cell>
          <cell r="N1794">
            <v>2</v>
          </cell>
        </row>
        <row r="1795">
          <cell r="E1795" t="str">
            <v>Arizona v California</v>
          </cell>
          <cell r="I1795" t="str">
            <v>CG</v>
          </cell>
          <cell r="K1795" t="str">
            <v>F</v>
          </cell>
          <cell r="M1795">
            <v>1.45386593226313</v>
          </cell>
          <cell r="N1795">
            <v>4</v>
          </cell>
        </row>
        <row r="1796">
          <cell r="E1796" t="str">
            <v>Arizona v California</v>
          </cell>
          <cell r="I1796" t="str">
            <v>CG</v>
          </cell>
          <cell r="K1796" t="str">
            <v>F</v>
          </cell>
          <cell r="M1796">
            <v>0.81926043774938795</v>
          </cell>
          <cell r="N1796">
            <v>4</v>
          </cell>
        </row>
        <row r="1797">
          <cell r="E1797" t="str">
            <v>Arizona v California</v>
          </cell>
          <cell r="I1797" t="str">
            <v>CG</v>
          </cell>
          <cell r="K1797" t="str">
            <v>F</v>
          </cell>
          <cell r="M1797">
            <v>0.36451351309475799</v>
          </cell>
          <cell r="N1797">
            <v>4</v>
          </cell>
        </row>
        <row r="1798">
          <cell r="E1798" t="str">
            <v>Arizona v California</v>
          </cell>
          <cell r="I1798" t="str">
            <v>CG</v>
          </cell>
          <cell r="K1798" t="str">
            <v>F</v>
          </cell>
          <cell r="M1798">
            <v>2.1596182416030398</v>
          </cell>
          <cell r="N1798">
            <v>4</v>
          </cell>
        </row>
        <row r="1799">
          <cell r="E1799" t="str">
            <v>Arizona v California</v>
          </cell>
          <cell r="I1799" t="str">
            <v>CG</v>
          </cell>
          <cell r="K1799" t="str">
            <v>F</v>
          </cell>
          <cell r="M1799">
            <v>0.58995344303213004</v>
          </cell>
          <cell r="N1799">
            <v>4</v>
          </cell>
        </row>
        <row r="1800">
          <cell r="E1800" t="str">
            <v>Arizona v California</v>
          </cell>
          <cell r="I1800" t="str">
            <v>CG</v>
          </cell>
          <cell r="K1800" t="str">
            <v>IPP</v>
          </cell>
          <cell r="M1800">
            <v>0.47663666274960098</v>
          </cell>
          <cell r="N1800">
            <v>1</v>
          </cell>
        </row>
        <row r="1801">
          <cell r="E1801" t="str">
            <v>Arizona v California</v>
          </cell>
          <cell r="I1801" t="str">
            <v>CG</v>
          </cell>
          <cell r="K1801" t="str">
            <v>Fo</v>
          </cell>
          <cell r="M1801">
            <v>0.115683038631314</v>
          </cell>
          <cell r="N1801">
            <v>1</v>
          </cell>
        </row>
        <row r="1802">
          <cell r="E1802" t="str">
            <v>Arizona v California</v>
          </cell>
          <cell r="I1802" t="str">
            <v>CG</v>
          </cell>
          <cell r="K1802" t="str">
            <v>INP</v>
          </cell>
          <cell r="M1802">
            <v>2.2921744641381401</v>
          </cell>
          <cell r="N1802">
            <v>2</v>
          </cell>
        </row>
        <row r="1803">
          <cell r="E1803" t="str">
            <v>Arizona v California</v>
          </cell>
          <cell r="I1803" t="str">
            <v>CG</v>
          </cell>
          <cell r="K1803" t="str">
            <v>IPP</v>
          </cell>
          <cell r="M1803">
            <v>6.0856595748557201</v>
          </cell>
          <cell r="N1803">
            <v>1</v>
          </cell>
        </row>
        <row r="1804">
          <cell r="E1804" t="str">
            <v>Arizona v California</v>
          </cell>
          <cell r="I1804" t="str">
            <v>CG</v>
          </cell>
          <cell r="K1804" t="str">
            <v>F</v>
          </cell>
          <cell r="M1804">
            <v>42.502215151402297</v>
          </cell>
          <cell r="N1804">
            <v>4</v>
          </cell>
        </row>
        <row r="1805">
          <cell r="E1805" t="str">
            <v>Arizona v California</v>
          </cell>
          <cell r="I1805" t="str">
            <v>CG</v>
          </cell>
          <cell r="K1805" t="str">
            <v>IPP</v>
          </cell>
          <cell r="M1805">
            <v>1.9356845864358601</v>
          </cell>
          <cell r="N1805">
            <v>1</v>
          </cell>
        </row>
        <row r="1806">
          <cell r="E1806" t="str">
            <v>Arizona v California</v>
          </cell>
          <cell r="I1806" t="str">
            <v>CG</v>
          </cell>
          <cell r="K1806" t="str">
            <v>IPP</v>
          </cell>
          <cell r="M1806">
            <v>0.94939031999602497</v>
          </cell>
          <cell r="N1806">
            <v>1</v>
          </cell>
        </row>
        <row r="1807">
          <cell r="E1807" t="str">
            <v>Arizona v California</v>
          </cell>
          <cell r="I1807" t="str">
            <v>CG</v>
          </cell>
          <cell r="K1807" t="str">
            <v>F</v>
          </cell>
          <cell r="M1807">
            <v>2.2803001093823401</v>
          </cell>
          <cell r="N1807">
            <v>4</v>
          </cell>
        </row>
        <row r="1808">
          <cell r="E1808" t="str">
            <v>Arizona v California</v>
          </cell>
          <cell r="I1808" t="str">
            <v>CG</v>
          </cell>
          <cell r="K1808" t="str">
            <v>DSL</v>
          </cell>
          <cell r="M1808">
            <v>0.66790365673114305</v>
          </cell>
          <cell r="N1808">
            <v>2</v>
          </cell>
        </row>
        <row r="1809">
          <cell r="E1809" t="str">
            <v>Arizona v California</v>
          </cell>
          <cell r="I1809" t="str">
            <v>CG</v>
          </cell>
          <cell r="K1809" t="str">
            <v>F</v>
          </cell>
          <cell r="M1809">
            <v>0.63535551249162903</v>
          </cell>
          <cell r="N1809">
            <v>4</v>
          </cell>
        </row>
        <row r="1810">
          <cell r="E1810" t="str">
            <v>Arizona v California</v>
          </cell>
          <cell r="I1810" t="str">
            <v>CG</v>
          </cell>
          <cell r="K1810" t="str">
            <v>INP</v>
          </cell>
          <cell r="M1810">
            <v>2.38739693869833</v>
          </cell>
          <cell r="N1810">
            <v>2</v>
          </cell>
        </row>
        <row r="1811">
          <cell r="E1811" t="str">
            <v>Arizona v California</v>
          </cell>
          <cell r="I1811" t="str">
            <v>CG</v>
          </cell>
          <cell r="K1811" t="str">
            <v>IPP</v>
          </cell>
          <cell r="M1811">
            <v>3.82618480468357</v>
          </cell>
          <cell r="N1811">
            <v>1</v>
          </cell>
        </row>
        <row r="1812">
          <cell r="E1812" t="str">
            <v>Arizona v California</v>
          </cell>
          <cell r="I1812" t="str">
            <v>CG</v>
          </cell>
          <cell r="K1812" t="str">
            <v>IPP</v>
          </cell>
          <cell r="M1812">
            <v>4.1021116808425004</v>
          </cell>
          <cell r="N1812">
            <v>1</v>
          </cell>
        </row>
        <row r="1813">
          <cell r="E1813" t="str">
            <v>Arizona v California</v>
          </cell>
          <cell r="I1813" t="str">
            <v>CG</v>
          </cell>
          <cell r="K1813" t="str">
            <v>F</v>
          </cell>
          <cell r="M1813">
            <v>11.419702899992901</v>
          </cell>
          <cell r="N1813">
            <v>4</v>
          </cell>
        </row>
        <row r="1814">
          <cell r="E1814" t="str">
            <v>Arizona v California</v>
          </cell>
          <cell r="I1814" t="str">
            <v>CG</v>
          </cell>
          <cell r="K1814" t="str">
            <v>F</v>
          </cell>
          <cell r="M1814">
            <v>0.195253294262585</v>
          </cell>
          <cell r="N1814">
            <v>4</v>
          </cell>
        </row>
        <row r="1815">
          <cell r="E1815" t="str">
            <v>Arizona v California</v>
          </cell>
          <cell r="I1815" t="str">
            <v>CG</v>
          </cell>
          <cell r="K1815" t="str">
            <v>Res,D</v>
          </cell>
          <cell r="M1815">
            <v>0.42929273217295999</v>
          </cell>
          <cell r="N1815">
            <v>4</v>
          </cell>
        </row>
        <row r="1816">
          <cell r="E1816" t="str">
            <v>Arizona v California</v>
          </cell>
          <cell r="I1816" t="str">
            <v>CG</v>
          </cell>
          <cell r="K1816" t="str">
            <v>DSL</v>
          </cell>
          <cell r="M1816">
            <v>0.238642287614548</v>
          </cell>
          <cell r="N1816">
            <v>2</v>
          </cell>
        </row>
        <row r="1817">
          <cell r="E1817" t="str">
            <v>Arizona v California</v>
          </cell>
          <cell r="I1817" t="str">
            <v>CG</v>
          </cell>
          <cell r="K1817" t="str">
            <v>DSL</v>
          </cell>
          <cell r="M1817">
            <v>5.0637615543643003E-2</v>
          </cell>
          <cell r="N1817">
            <v>2</v>
          </cell>
        </row>
        <row r="1818">
          <cell r="E1818" t="str">
            <v>Arizona v California</v>
          </cell>
          <cell r="I1818" t="str">
            <v>CG</v>
          </cell>
          <cell r="K1818" t="str">
            <v>F</v>
          </cell>
          <cell r="M1818">
            <v>0.63990274371724998</v>
          </cell>
          <cell r="N1818">
            <v>4</v>
          </cell>
        </row>
        <row r="1819">
          <cell r="E1819" t="str">
            <v>Arizona v California</v>
          </cell>
          <cell r="I1819" t="str">
            <v>CG</v>
          </cell>
          <cell r="K1819" t="str">
            <v>Res,D</v>
          </cell>
          <cell r="M1819">
            <v>0.46682157816897402</v>
          </cell>
          <cell r="N1819">
            <v>4</v>
          </cell>
        </row>
        <row r="1820">
          <cell r="E1820" t="str">
            <v>Arizona v California</v>
          </cell>
          <cell r="I1820" t="str">
            <v>CG</v>
          </cell>
          <cell r="K1820" t="str">
            <v>F</v>
          </cell>
          <cell r="M1820">
            <v>2.3331763360433202</v>
          </cell>
          <cell r="N1820">
            <v>4</v>
          </cell>
        </row>
        <row r="1821">
          <cell r="E1821" t="str">
            <v>Arizona v California</v>
          </cell>
          <cell r="I1821" t="str">
            <v>CG</v>
          </cell>
          <cell r="K1821" t="str">
            <v>F</v>
          </cell>
          <cell r="M1821">
            <v>9.3285410978583307</v>
          </cell>
          <cell r="N1821">
            <v>4</v>
          </cell>
        </row>
        <row r="1822">
          <cell r="E1822" t="str">
            <v>Arizona v California</v>
          </cell>
          <cell r="I1822" t="str">
            <v>CG</v>
          </cell>
          <cell r="K1822" t="str">
            <v>F</v>
          </cell>
          <cell r="M1822">
            <v>0.151155357082737</v>
          </cell>
          <cell r="N1822">
            <v>4</v>
          </cell>
        </row>
        <row r="1823">
          <cell r="E1823" t="str">
            <v>Arizona v California</v>
          </cell>
          <cell r="I1823" t="str">
            <v>CG</v>
          </cell>
          <cell r="K1823" t="str">
            <v>F</v>
          </cell>
          <cell r="M1823">
            <v>3.1656298986802698</v>
          </cell>
          <cell r="N1823">
            <v>4</v>
          </cell>
        </row>
        <row r="1824">
          <cell r="E1824" t="str">
            <v>Arizona v California</v>
          </cell>
          <cell r="I1824" t="str">
            <v>CG</v>
          </cell>
          <cell r="K1824" t="str">
            <v>F</v>
          </cell>
          <cell r="M1824">
            <v>2.24169424395058</v>
          </cell>
          <cell r="N1824">
            <v>4</v>
          </cell>
        </row>
        <row r="1825">
          <cell r="E1825" t="str">
            <v>Arizona v California</v>
          </cell>
          <cell r="I1825" t="str">
            <v>CG</v>
          </cell>
          <cell r="K1825" t="str">
            <v>F</v>
          </cell>
          <cell r="M1825">
            <v>16.4323899611679</v>
          </cell>
          <cell r="N1825">
            <v>4</v>
          </cell>
        </row>
        <row r="1826">
          <cell r="E1826" t="str">
            <v>Arizona v California</v>
          </cell>
          <cell r="I1826" t="str">
            <v>CG</v>
          </cell>
          <cell r="K1826" t="str">
            <v>F</v>
          </cell>
          <cell r="M1826">
            <v>1.3452851940441</v>
          </cell>
          <cell r="N1826">
            <v>4</v>
          </cell>
        </row>
        <row r="1827">
          <cell r="E1827" t="str">
            <v>Arizona v California</v>
          </cell>
          <cell r="I1827" t="str">
            <v>CG</v>
          </cell>
          <cell r="K1827" t="str">
            <v>Tw</v>
          </cell>
          <cell r="M1827">
            <v>3.0943111200854401</v>
          </cell>
          <cell r="N1827">
            <v>1</v>
          </cell>
        </row>
        <row r="1828">
          <cell r="E1828" t="str">
            <v>Arizona v California</v>
          </cell>
          <cell r="I1828" t="str">
            <v>CG</v>
          </cell>
          <cell r="K1828" t="str">
            <v>F</v>
          </cell>
          <cell r="M1828">
            <v>6.8260370092117597</v>
          </cell>
          <cell r="N1828">
            <v>4</v>
          </cell>
        </row>
        <row r="1829">
          <cell r="E1829" t="str">
            <v>Arizona v California</v>
          </cell>
          <cell r="I1829" t="str">
            <v>CG</v>
          </cell>
          <cell r="K1829" t="str">
            <v>Tw</v>
          </cell>
          <cell r="M1829">
            <v>0.82440357213624005</v>
          </cell>
          <cell r="N1829">
            <v>1</v>
          </cell>
        </row>
        <row r="1830">
          <cell r="E1830" t="str">
            <v>Arizona v California</v>
          </cell>
          <cell r="I1830" t="str">
            <v>CG</v>
          </cell>
          <cell r="K1830" t="str">
            <v>MV</v>
          </cell>
          <cell r="M1830">
            <v>0.44621600718807097</v>
          </cell>
          <cell r="N1830">
            <v>1</v>
          </cell>
        </row>
        <row r="1831">
          <cell r="E1831" t="str">
            <v>Arizona v California</v>
          </cell>
          <cell r="I1831" t="str">
            <v>CG</v>
          </cell>
          <cell r="K1831" t="str">
            <v>INP</v>
          </cell>
          <cell r="M1831">
            <v>8.8669056503831101</v>
          </cell>
          <cell r="N1831">
            <v>1</v>
          </cell>
        </row>
        <row r="1832">
          <cell r="E1832" t="str">
            <v>Arizona v California</v>
          </cell>
          <cell r="I1832" t="str">
            <v>CG</v>
          </cell>
          <cell r="K1832" t="str">
            <v>INP</v>
          </cell>
          <cell r="M1832">
            <v>9.7803212600145795</v>
          </cell>
          <cell r="N1832">
            <v>1</v>
          </cell>
        </row>
        <row r="1833">
          <cell r="E1833" t="str">
            <v>Arizona v California</v>
          </cell>
          <cell r="I1833" t="str">
            <v>CG</v>
          </cell>
          <cell r="K1833" t="str">
            <v>INP</v>
          </cell>
          <cell r="M1833">
            <v>5.0902807462717501</v>
          </cell>
          <cell r="N1833">
            <v>1</v>
          </cell>
        </row>
        <row r="1834">
          <cell r="E1834" t="str">
            <v>Arizona v California</v>
          </cell>
          <cell r="I1834" t="str">
            <v>CG</v>
          </cell>
          <cell r="K1834" t="str">
            <v>IPP</v>
          </cell>
          <cell r="M1834">
            <v>2.2103693333485901</v>
          </cell>
          <cell r="N1834">
            <v>1</v>
          </cell>
        </row>
        <row r="1835">
          <cell r="E1835" t="str">
            <v>Arizona v California</v>
          </cell>
          <cell r="I1835" t="str">
            <v>CG</v>
          </cell>
          <cell r="K1835" t="str">
            <v>INP</v>
          </cell>
          <cell r="M1835">
            <v>2.0125916460784401</v>
          </cell>
          <cell r="N1835">
            <v>1</v>
          </cell>
        </row>
        <row r="1836">
          <cell r="E1836" t="str">
            <v>Arizona v California</v>
          </cell>
          <cell r="I1836" t="str">
            <v>CG</v>
          </cell>
          <cell r="K1836" t="str">
            <v>F</v>
          </cell>
          <cell r="M1836">
            <v>0.279042565714688</v>
          </cell>
          <cell r="N1836">
            <v>4</v>
          </cell>
        </row>
        <row r="1837">
          <cell r="E1837" t="str">
            <v>Arizona v California</v>
          </cell>
          <cell r="I1837" t="str">
            <v>CG</v>
          </cell>
          <cell r="K1837" t="str">
            <v>F</v>
          </cell>
          <cell r="M1837">
            <v>0.36028875621449402</v>
          </cell>
          <cell r="N1837">
            <v>4</v>
          </cell>
        </row>
        <row r="1838">
          <cell r="E1838" t="str">
            <v>Arizona v California</v>
          </cell>
          <cell r="I1838" t="str">
            <v>CG</v>
          </cell>
          <cell r="K1838" t="str">
            <v>F</v>
          </cell>
          <cell r="M1838">
            <v>34.080170199015903</v>
          </cell>
          <cell r="N1838">
            <v>4</v>
          </cell>
        </row>
        <row r="1839">
          <cell r="E1839" t="str">
            <v>Arizona v California</v>
          </cell>
          <cell r="I1839" t="str">
            <v>CG</v>
          </cell>
          <cell r="K1839" t="str">
            <v>IPP</v>
          </cell>
          <cell r="M1839">
            <v>2.7806715877499499</v>
          </cell>
          <cell r="N1839">
            <v>1</v>
          </cell>
        </row>
        <row r="1840">
          <cell r="E1840" t="str">
            <v>Arizona v California</v>
          </cell>
          <cell r="I1840" t="str">
            <v>CG</v>
          </cell>
          <cell r="K1840" t="str">
            <v>F</v>
          </cell>
          <cell r="M1840">
            <v>7.5875365377495196</v>
          </cell>
          <cell r="N1840">
            <v>4</v>
          </cell>
        </row>
        <row r="1841">
          <cell r="E1841" t="str">
            <v>Arizona v California</v>
          </cell>
          <cell r="I1841" t="str">
            <v>CG</v>
          </cell>
          <cell r="K1841" t="str">
            <v>Res,D</v>
          </cell>
          <cell r="M1841">
            <v>0.72901170205782095</v>
          </cell>
          <cell r="N1841">
            <v>4</v>
          </cell>
        </row>
        <row r="1842">
          <cell r="E1842" t="str">
            <v>Arizona v California</v>
          </cell>
          <cell r="I1842" t="str">
            <v>CG</v>
          </cell>
          <cell r="K1842" t="str">
            <v>F</v>
          </cell>
          <cell r="M1842">
            <v>0.218590229858389</v>
          </cell>
          <cell r="N1842">
            <v>4</v>
          </cell>
        </row>
        <row r="1843">
          <cell r="E1843" t="str">
            <v>Arizona v California</v>
          </cell>
          <cell r="I1843" t="str">
            <v>CG</v>
          </cell>
          <cell r="K1843" t="str">
            <v>F</v>
          </cell>
          <cell r="M1843">
            <v>0.184335152785564</v>
          </cell>
          <cell r="N1843">
            <v>4</v>
          </cell>
        </row>
        <row r="1844">
          <cell r="E1844" t="str">
            <v>Arizona v California</v>
          </cell>
          <cell r="I1844" t="str">
            <v>CG</v>
          </cell>
          <cell r="K1844" t="str">
            <v>F</v>
          </cell>
          <cell r="M1844">
            <v>0.14014911613032699</v>
          </cell>
          <cell r="N1844">
            <v>4</v>
          </cell>
        </row>
        <row r="1845">
          <cell r="E1845" t="str">
            <v>Arizona v California</v>
          </cell>
          <cell r="I1845" t="str">
            <v>CG</v>
          </cell>
          <cell r="K1845" t="str">
            <v>F</v>
          </cell>
          <cell r="M1845">
            <v>0.70016786083319804</v>
          </cell>
          <cell r="N1845">
            <v>4</v>
          </cell>
        </row>
        <row r="1846">
          <cell r="E1846" t="str">
            <v>Arizona v California</v>
          </cell>
          <cell r="I1846" t="str">
            <v>CG</v>
          </cell>
          <cell r="K1846" t="str">
            <v>F</v>
          </cell>
          <cell r="M1846">
            <v>5.7010885975744596</v>
          </cell>
          <cell r="N1846">
            <v>4</v>
          </cell>
        </row>
        <row r="1847">
          <cell r="E1847" t="str">
            <v>Arizona v California</v>
          </cell>
          <cell r="I1847" t="str">
            <v>CG</v>
          </cell>
          <cell r="K1847" t="str">
            <v>F</v>
          </cell>
          <cell r="M1847">
            <v>10.2984357403736</v>
          </cell>
          <cell r="N1847">
            <v>4</v>
          </cell>
        </row>
        <row r="1848">
          <cell r="E1848" t="str">
            <v>Arizona v California</v>
          </cell>
          <cell r="I1848" t="str">
            <v>CG</v>
          </cell>
          <cell r="K1848" t="str">
            <v>F</v>
          </cell>
          <cell r="M1848">
            <v>6.6086288979859402</v>
          </cell>
          <cell r="N1848">
            <v>4</v>
          </cell>
        </row>
        <row r="1849">
          <cell r="E1849" t="str">
            <v>Arizona v California</v>
          </cell>
          <cell r="I1849" t="str">
            <v>CG</v>
          </cell>
          <cell r="K1849" t="str">
            <v>F</v>
          </cell>
          <cell r="M1849">
            <v>7.6413969324696698</v>
          </cell>
          <cell r="N1849">
            <v>4</v>
          </cell>
        </row>
        <row r="1850">
          <cell r="E1850" t="str">
            <v>Arizona v California</v>
          </cell>
          <cell r="I1850" t="str">
            <v>CG</v>
          </cell>
          <cell r="K1850" t="str">
            <v>INP</v>
          </cell>
          <cell r="M1850">
            <v>2.8276276652283698</v>
          </cell>
          <cell r="N1850">
            <v>1</v>
          </cell>
        </row>
        <row r="1851">
          <cell r="E1851" t="str">
            <v>Arizona v California</v>
          </cell>
          <cell r="I1851" t="str">
            <v>CG</v>
          </cell>
          <cell r="K1851" t="str">
            <v>DSL</v>
          </cell>
          <cell r="M1851">
            <v>0.45842364223364002</v>
          </cell>
          <cell r="N1851">
            <v>2</v>
          </cell>
        </row>
        <row r="1852">
          <cell r="E1852" t="str">
            <v>Arizona v California</v>
          </cell>
          <cell r="I1852" t="str">
            <v>CG</v>
          </cell>
          <cell r="K1852" t="str">
            <v>F</v>
          </cell>
          <cell r="M1852">
            <v>6.9813375604995001</v>
          </cell>
          <cell r="N1852">
            <v>4</v>
          </cell>
        </row>
        <row r="1853">
          <cell r="E1853" t="str">
            <v>Arizona v California</v>
          </cell>
          <cell r="I1853" t="str">
            <v>CG</v>
          </cell>
          <cell r="K1853" t="str">
            <v>INP</v>
          </cell>
          <cell r="M1853">
            <v>19.0897081359706</v>
          </cell>
          <cell r="N1853">
            <v>1</v>
          </cell>
        </row>
        <row r="1854">
          <cell r="E1854" t="str">
            <v>Arizona v California</v>
          </cell>
          <cell r="I1854" t="str">
            <v>CG</v>
          </cell>
          <cell r="K1854" t="str">
            <v>Res,D</v>
          </cell>
          <cell r="M1854">
            <v>0.30434704344668001</v>
          </cell>
          <cell r="N1854">
            <v>4</v>
          </cell>
        </row>
        <row r="1855">
          <cell r="E1855" t="str">
            <v>Arizona v California</v>
          </cell>
          <cell r="I1855" t="str">
            <v>CG</v>
          </cell>
          <cell r="K1855" t="str">
            <v>F</v>
          </cell>
          <cell r="M1855">
            <v>0.43255924055773998</v>
          </cell>
          <cell r="N1855">
            <v>4</v>
          </cell>
        </row>
        <row r="1856">
          <cell r="E1856" t="str">
            <v>Arizona v California</v>
          </cell>
          <cell r="I1856" t="str">
            <v>CG</v>
          </cell>
          <cell r="K1856" t="str">
            <v>F</v>
          </cell>
          <cell r="M1856">
            <v>9.4946200044961397</v>
          </cell>
          <cell r="N1856">
            <v>4</v>
          </cell>
        </row>
        <row r="1857">
          <cell r="E1857" t="str">
            <v>Arizona v California</v>
          </cell>
          <cell r="I1857" t="str">
            <v>CG</v>
          </cell>
          <cell r="K1857" t="str">
            <v>F</v>
          </cell>
          <cell r="M1857">
            <v>4.3587649897254996</v>
          </cell>
          <cell r="N1857">
            <v>4</v>
          </cell>
        </row>
        <row r="1858">
          <cell r="E1858" t="str">
            <v>Arizona v California</v>
          </cell>
          <cell r="I1858" t="str">
            <v>CG</v>
          </cell>
          <cell r="K1858" t="str">
            <v>INP</v>
          </cell>
          <cell r="M1858">
            <v>19.992345753922699</v>
          </cell>
          <cell r="N1858">
            <v>1</v>
          </cell>
        </row>
        <row r="1859">
          <cell r="E1859" t="str">
            <v>Arizona v California</v>
          </cell>
          <cell r="I1859" t="str">
            <v>CG</v>
          </cell>
          <cell r="K1859" t="str">
            <v>INP</v>
          </cell>
          <cell r="M1859">
            <v>0.93688242171915703</v>
          </cell>
          <cell r="N1859">
            <v>1</v>
          </cell>
        </row>
        <row r="1860">
          <cell r="E1860" t="str">
            <v>Arizona v California</v>
          </cell>
          <cell r="I1860" t="str">
            <v>CG</v>
          </cell>
          <cell r="K1860" t="str">
            <v>INP</v>
          </cell>
          <cell r="M1860">
            <v>0.88835515031143297</v>
          </cell>
          <cell r="N1860">
            <v>1</v>
          </cell>
        </row>
        <row r="1861">
          <cell r="E1861" t="str">
            <v>Arizona v California</v>
          </cell>
          <cell r="I1861" t="str">
            <v>CG</v>
          </cell>
          <cell r="K1861" t="str">
            <v>F</v>
          </cell>
          <cell r="M1861">
            <v>24.878388737923199</v>
          </cell>
          <cell r="N1861">
            <v>4</v>
          </cell>
        </row>
        <row r="1862">
          <cell r="E1862" t="str">
            <v>Arizona v California</v>
          </cell>
          <cell r="I1862" t="str">
            <v>CG</v>
          </cell>
          <cell r="K1862" t="str">
            <v>F</v>
          </cell>
          <cell r="M1862">
            <v>12.0408780210066</v>
          </cell>
          <cell r="N1862">
            <v>4</v>
          </cell>
        </row>
        <row r="1863">
          <cell r="E1863" t="str">
            <v>Arizona v California</v>
          </cell>
          <cell r="I1863" t="str">
            <v>CG</v>
          </cell>
          <cell r="K1863" t="str">
            <v>F</v>
          </cell>
          <cell r="M1863">
            <v>6.7489759103490101</v>
          </cell>
          <cell r="N1863">
            <v>4</v>
          </cell>
        </row>
        <row r="1864">
          <cell r="E1864" t="str">
            <v>Arizona v California</v>
          </cell>
          <cell r="I1864" t="str">
            <v>CG</v>
          </cell>
          <cell r="K1864" t="str">
            <v>INP</v>
          </cell>
          <cell r="M1864">
            <v>0.96791537183713405</v>
          </cell>
          <cell r="N1864">
            <v>1</v>
          </cell>
        </row>
        <row r="1865">
          <cell r="E1865" t="str">
            <v>Arizona v California</v>
          </cell>
          <cell r="I1865" t="str">
            <v>CG</v>
          </cell>
          <cell r="K1865" t="str">
            <v>INP</v>
          </cell>
          <cell r="M1865">
            <v>1.7458718051390201</v>
          </cell>
          <cell r="N1865">
            <v>1</v>
          </cell>
        </row>
        <row r="1866">
          <cell r="E1866" t="str">
            <v>Arizona v California</v>
          </cell>
          <cell r="I1866" t="str">
            <v>CG</v>
          </cell>
          <cell r="K1866" t="str">
            <v>INP</v>
          </cell>
          <cell r="M1866">
            <v>3.0832714178521101</v>
          </cell>
          <cell r="N1866">
            <v>1</v>
          </cell>
        </row>
        <row r="1867">
          <cell r="E1867" t="str">
            <v>Arizona v California</v>
          </cell>
          <cell r="I1867" t="str">
            <v>CG</v>
          </cell>
          <cell r="K1867" t="str">
            <v>F</v>
          </cell>
          <cell r="M1867">
            <v>14.7860963129573</v>
          </cell>
          <cell r="N1867">
            <v>4</v>
          </cell>
        </row>
        <row r="1868">
          <cell r="E1868" t="str">
            <v>Arizona v California</v>
          </cell>
          <cell r="I1868" t="str">
            <v>CG</v>
          </cell>
          <cell r="K1868" t="str">
            <v>F</v>
          </cell>
          <cell r="M1868">
            <v>8.7560311298312907</v>
          </cell>
          <cell r="N1868">
            <v>4</v>
          </cell>
        </row>
        <row r="1869">
          <cell r="E1869" t="str">
            <v>Arizona v California</v>
          </cell>
          <cell r="I1869" t="str">
            <v>CG</v>
          </cell>
          <cell r="K1869" t="str">
            <v>F</v>
          </cell>
          <cell r="M1869">
            <v>7.6805701052729098</v>
          </cell>
          <cell r="N1869">
            <v>4</v>
          </cell>
        </row>
        <row r="1870">
          <cell r="E1870" t="str">
            <v>Arizona v California</v>
          </cell>
          <cell r="I1870" t="str">
            <v>CG</v>
          </cell>
          <cell r="K1870" t="str">
            <v>INP</v>
          </cell>
          <cell r="M1870">
            <v>14.643135876431201</v>
          </cell>
          <cell r="N1870">
            <v>1</v>
          </cell>
        </row>
        <row r="1871">
          <cell r="E1871" t="str">
            <v>Arizona v California</v>
          </cell>
          <cell r="I1871" t="str">
            <v>CG</v>
          </cell>
          <cell r="K1871" t="str">
            <v>F</v>
          </cell>
          <cell r="M1871">
            <v>8.5809397954713909</v>
          </cell>
          <cell r="N1871">
            <v>4</v>
          </cell>
        </row>
        <row r="1872">
          <cell r="E1872" t="str">
            <v>Arizona v California</v>
          </cell>
          <cell r="I1872" t="str">
            <v>CG</v>
          </cell>
          <cell r="K1872" t="str">
            <v>F</v>
          </cell>
          <cell r="M1872">
            <v>2.99743304945431</v>
          </cell>
          <cell r="N1872">
            <v>4</v>
          </cell>
        </row>
        <row r="1873">
          <cell r="E1873" t="str">
            <v>Arizona v California</v>
          </cell>
          <cell r="I1873" t="str">
            <v>CG</v>
          </cell>
          <cell r="K1873" t="str">
            <v>INP</v>
          </cell>
          <cell r="M1873">
            <v>0.347156624697395</v>
          </cell>
          <cell r="N1873">
            <v>1</v>
          </cell>
        </row>
        <row r="1874">
          <cell r="E1874" t="str">
            <v>Arizona v California</v>
          </cell>
          <cell r="I1874" t="str">
            <v>CG</v>
          </cell>
          <cell r="K1874" t="str">
            <v>F</v>
          </cell>
          <cell r="M1874">
            <v>7.2286520432933603</v>
          </cell>
          <cell r="N1874">
            <v>4</v>
          </cell>
        </row>
        <row r="1875">
          <cell r="E1875" t="str">
            <v>Arizona v California</v>
          </cell>
          <cell r="I1875" t="str">
            <v>CG</v>
          </cell>
          <cell r="K1875" t="str">
            <v>F</v>
          </cell>
          <cell r="M1875">
            <v>5.8126451974498803</v>
          </cell>
          <cell r="N1875">
            <v>4</v>
          </cell>
        </row>
        <row r="1876">
          <cell r="E1876" t="str">
            <v>Arizona v California</v>
          </cell>
          <cell r="I1876" t="str">
            <v>CG</v>
          </cell>
          <cell r="K1876" t="str">
            <v>INP</v>
          </cell>
          <cell r="M1876">
            <v>0.79065723456364401</v>
          </cell>
          <cell r="N1876">
            <v>1</v>
          </cell>
        </row>
        <row r="1877">
          <cell r="E1877" t="str">
            <v>Arizona v California</v>
          </cell>
          <cell r="I1877" t="str">
            <v>CG</v>
          </cell>
          <cell r="K1877" t="str">
            <v>F</v>
          </cell>
          <cell r="M1877">
            <v>0.54862437291062904</v>
          </cell>
          <cell r="N1877">
            <v>4</v>
          </cell>
        </row>
        <row r="1878">
          <cell r="E1878" t="str">
            <v>Arizona v California</v>
          </cell>
          <cell r="I1878" t="str">
            <v>CG</v>
          </cell>
          <cell r="K1878" t="str">
            <v>F</v>
          </cell>
          <cell r="M1878">
            <v>48.101134291354803</v>
          </cell>
          <cell r="N1878">
            <v>4</v>
          </cell>
        </row>
        <row r="1879">
          <cell r="E1879" t="str">
            <v>Arizona v California</v>
          </cell>
          <cell r="I1879" t="str">
            <v>CG</v>
          </cell>
          <cell r="K1879" t="str">
            <v>F</v>
          </cell>
          <cell r="M1879">
            <v>0.329907894603373</v>
          </cell>
          <cell r="N1879">
            <v>4</v>
          </cell>
        </row>
        <row r="1880">
          <cell r="E1880" t="str">
            <v>Arizona v California</v>
          </cell>
          <cell r="I1880" t="str">
            <v>CG</v>
          </cell>
          <cell r="K1880" t="str">
            <v>F</v>
          </cell>
          <cell r="M1880">
            <v>12.0445465688226</v>
          </cell>
          <cell r="N1880">
            <v>4</v>
          </cell>
        </row>
        <row r="1881">
          <cell r="E1881" t="str">
            <v>Arizona v California</v>
          </cell>
          <cell r="I1881" t="str">
            <v>CG</v>
          </cell>
          <cell r="K1881" t="str">
            <v>Stk,D</v>
          </cell>
          <cell r="M1881">
            <v>0.22706909219778099</v>
          </cell>
          <cell r="N1881">
            <v>4</v>
          </cell>
        </row>
        <row r="1882">
          <cell r="E1882" t="str">
            <v>Arizona v California</v>
          </cell>
          <cell r="I1882" t="str">
            <v>CG</v>
          </cell>
          <cell r="K1882" t="str">
            <v>F</v>
          </cell>
          <cell r="M1882">
            <v>1.1789577053785101</v>
          </cell>
          <cell r="N1882">
            <v>4</v>
          </cell>
        </row>
        <row r="1883">
          <cell r="E1883" t="str">
            <v>Arizona v California</v>
          </cell>
          <cell r="I1883" t="str">
            <v>CG</v>
          </cell>
          <cell r="K1883" t="str">
            <v>F</v>
          </cell>
          <cell r="M1883">
            <v>0.52092363308202905</v>
          </cell>
          <cell r="N1883">
            <v>4</v>
          </cell>
        </row>
        <row r="1884">
          <cell r="E1884" t="str">
            <v>Arizona v California</v>
          </cell>
          <cell r="I1884" t="str">
            <v>CG</v>
          </cell>
          <cell r="K1884" t="str">
            <v>F</v>
          </cell>
          <cell r="M1884">
            <v>3.1533395617439401</v>
          </cell>
          <cell r="N1884">
            <v>4</v>
          </cell>
        </row>
        <row r="1885">
          <cell r="E1885" t="str">
            <v>Arizona v California</v>
          </cell>
          <cell r="I1885" t="str">
            <v>CG</v>
          </cell>
          <cell r="K1885" t="str">
            <v>F</v>
          </cell>
          <cell r="M1885">
            <v>0.156287636955453</v>
          </cell>
          <cell r="N1885">
            <v>4</v>
          </cell>
        </row>
        <row r="1886">
          <cell r="E1886" t="str">
            <v>Arizona v California</v>
          </cell>
          <cell r="I1886" t="str">
            <v>CG</v>
          </cell>
          <cell r="K1886" t="str">
            <v>F</v>
          </cell>
          <cell r="M1886">
            <v>0.37011475154091</v>
          </cell>
          <cell r="N1886">
            <v>4</v>
          </cell>
        </row>
        <row r="1887">
          <cell r="E1887" t="str">
            <v>Arizona v California</v>
          </cell>
          <cell r="I1887" t="str">
            <v>CG</v>
          </cell>
          <cell r="K1887" t="str">
            <v>Res,D</v>
          </cell>
          <cell r="M1887">
            <v>0.96205158363726895</v>
          </cell>
          <cell r="N1887">
            <v>4</v>
          </cell>
        </row>
        <row r="1888">
          <cell r="E1888" t="str">
            <v>Arizona v California</v>
          </cell>
          <cell r="I1888" t="str">
            <v>CG</v>
          </cell>
          <cell r="K1888" t="str">
            <v>F</v>
          </cell>
          <cell r="M1888">
            <v>0.947183111763654</v>
          </cell>
          <cell r="N1888">
            <v>4</v>
          </cell>
        </row>
        <row r="1889">
          <cell r="E1889" t="str">
            <v>Arizona v California</v>
          </cell>
          <cell r="I1889" t="str">
            <v>CG</v>
          </cell>
          <cell r="K1889" t="str">
            <v>DSL</v>
          </cell>
          <cell r="M1889">
            <v>0.25159575093381298</v>
          </cell>
          <cell r="N1889">
            <v>2</v>
          </cell>
        </row>
        <row r="1890">
          <cell r="E1890" t="str">
            <v>Arizona v California</v>
          </cell>
          <cell r="I1890" t="str">
            <v>CG</v>
          </cell>
          <cell r="K1890" t="str">
            <v>DSL</v>
          </cell>
          <cell r="M1890">
            <v>1.11220834822</v>
          </cell>
          <cell r="N1890">
            <v>1</v>
          </cell>
        </row>
        <row r="1891">
          <cell r="E1891" t="str">
            <v>Arizona v California</v>
          </cell>
          <cell r="I1891" t="str">
            <v>CG</v>
          </cell>
          <cell r="K1891" t="str">
            <v>F</v>
          </cell>
          <cell r="M1891">
            <v>0.591941902136775</v>
          </cell>
          <cell r="N1891">
            <v>4</v>
          </cell>
        </row>
        <row r="1892">
          <cell r="E1892" t="str">
            <v>Arizona v California</v>
          </cell>
          <cell r="I1892" t="str">
            <v>CG</v>
          </cell>
          <cell r="K1892" t="str">
            <v>F</v>
          </cell>
          <cell r="M1892">
            <v>17.722720159048599</v>
          </cell>
          <cell r="N1892">
            <v>4</v>
          </cell>
        </row>
        <row r="1893">
          <cell r="E1893" t="str">
            <v>Arizona v California</v>
          </cell>
          <cell r="I1893" t="str">
            <v>CG</v>
          </cell>
          <cell r="K1893" t="str">
            <v>DSL</v>
          </cell>
          <cell r="M1893">
            <v>0.81052596279849798</v>
          </cell>
          <cell r="N1893">
            <v>2</v>
          </cell>
        </row>
        <row r="1894">
          <cell r="E1894" t="str">
            <v>Arizona v California</v>
          </cell>
          <cell r="I1894" t="str">
            <v>CG</v>
          </cell>
          <cell r="K1894" t="str">
            <v>DSL</v>
          </cell>
          <cell r="M1894">
            <v>1.11069751238839</v>
          </cell>
          <cell r="N1894">
            <v>2</v>
          </cell>
        </row>
        <row r="1895">
          <cell r="E1895" t="str">
            <v>Arizona v California</v>
          </cell>
          <cell r="I1895" t="str">
            <v>CG</v>
          </cell>
          <cell r="K1895" t="str">
            <v>F</v>
          </cell>
          <cell r="M1895">
            <v>0.48382089489888203</v>
          </cell>
          <cell r="N1895">
            <v>4</v>
          </cell>
        </row>
        <row r="1896">
          <cell r="E1896" t="str">
            <v>Arizona v California</v>
          </cell>
          <cell r="I1896" t="str">
            <v>CG</v>
          </cell>
          <cell r="K1896" t="str">
            <v>IPP</v>
          </cell>
          <cell r="M1896">
            <v>17.634870112124698</v>
          </cell>
          <cell r="N1896">
            <v>1</v>
          </cell>
        </row>
        <row r="1897">
          <cell r="E1897" t="str">
            <v>Arizona v California</v>
          </cell>
          <cell r="I1897" t="str">
            <v>CG</v>
          </cell>
          <cell r="K1897" t="str">
            <v>DSL</v>
          </cell>
          <cell r="M1897">
            <v>0.10079169923643599</v>
          </cell>
          <cell r="N1897">
            <v>2</v>
          </cell>
        </row>
        <row r="1898">
          <cell r="E1898" t="str">
            <v>Arizona v California</v>
          </cell>
          <cell r="I1898" t="str">
            <v>CG</v>
          </cell>
          <cell r="K1898" t="str">
            <v>INP</v>
          </cell>
          <cell r="M1898">
            <v>0.656854212711935</v>
          </cell>
          <cell r="N1898">
            <v>1</v>
          </cell>
        </row>
        <row r="1899">
          <cell r="E1899" t="str">
            <v>Arizona v California</v>
          </cell>
          <cell r="I1899" t="str">
            <v>CG</v>
          </cell>
          <cell r="K1899" t="str">
            <v>F</v>
          </cell>
          <cell r="M1899">
            <v>6.5044942705152096</v>
          </cell>
          <cell r="N1899">
            <v>4</v>
          </cell>
        </row>
        <row r="1900">
          <cell r="E1900" t="str">
            <v>Arizona v California</v>
          </cell>
          <cell r="I1900" t="str">
            <v>CG</v>
          </cell>
          <cell r="K1900" t="str">
            <v>INP</v>
          </cell>
          <cell r="M1900">
            <v>1.50450148487756</v>
          </cell>
          <cell r="N1900">
            <v>1</v>
          </cell>
        </row>
        <row r="1901">
          <cell r="E1901" t="str">
            <v>Arizona v California</v>
          </cell>
          <cell r="I1901" t="str">
            <v>CG</v>
          </cell>
          <cell r="K1901" t="str">
            <v>Res,W</v>
          </cell>
          <cell r="M1901">
            <v>0.61259335400720305</v>
          </cell>
          <cell r="N1901">
            <v>4</v>
          </cell>
        </row>
        <row r="1902">
          <cell r="E1902" t="str">
            <v>Arizona v California</v>
          </cell>
          <cell r="I1902" t="str">
            <v>CG</v>
          </cell>
          <cell r="K1902" t="str">
            <v>INP</v>
          </cell>
          <cell r="M1902">
            <v>4.8062140713508903</v>
          </cell>
          <cell r="N1902">
            <v>1</v>
          </cell>
        </row>
        <row r="1903">
          <cell r="E1903" t="str">
            <v>Arizona v California</v>
          </cell>
          <cell r="I1903" t="str">
            <v>CG</v>
          </cell>
          <cell r="K1903" t="str">
            <v>INP</v>
          </cell>
          <cell r="M1903">
            <v>5.7081151863218302</v>
          </cell>
          <cell r="N1903">
            <v>1</v>
          </cell>
        </row>
        <row r="1904">
          <cell r="E1904" t="str">
            <v>Arizona v California</v>
          </cell>
          <cell r="I1904" t="str">
            <v>CG</v>
          </cell>
          <cell r="K1904" t="str">
            <v>F</v>
          </cell>
          <cell r="M1904">
            <v>13.4622062846245</v>
          </cell>
          <cell r="N1904">
            <v>4</v>
          </cell>
        </row>
        <row r="1905">
          <cell r="E1905" t="str">
            <v>Arizona v California</v>
          </cell>
          <cell r="I1905" t="str">
            <v>CG</v>
          </cell>
          <cell r="K1905" t="str">
            <v>INP</v>
          </cell>
          <cell r="M1905">
            <v>9.4429238658995995</v>
          </cell>
          <cell r="N1905">
            <v>1</v>
          </cell>
        </row>
        <row r="1906">
          <cell r="E1906" t="str">
            <v>Arizona v California</v>
          </cell>
          <cell r="I1906" t="str">
            <v>CG</v>
          </cell>
          <cell r="K1906" t="str">
            <v>Res,W</v>
          </cell>
          <cell r="M1906">
            <v>0.56899121795747298</v>
          </cell>
          <cell r="N1906">
            <v>4</v>
          </cell>
        </row>
        <row r="1907">
          <cell r="E1907" t="str">
            <v>Arizona v California</v>
          </cell>
          <cell r="I1907" t="str">
            <v>CG</v>
          </cell>
          <cell r="K1907" t="str">
            <v>INP</v>
          </cell>
          <cell r="M1907">
            <v>4.37079936930804</v>
          </cell>
          <cell r="N1907">
            <v>1</v>
          </cell>
        </row>
        <row r="1908">
          <cell r="E1908" t="str">
            <v>Arizona v California</v>
          </cell>
          <cell r="I1908" t="str">
            <v>CG</v>
          </cell>
          <cell r="K1908" t="str">
            <v>F</v>
          </cell>
          <cell r="M1908">
            <v>0.48561296132335602</v>
          </cell>
          <cell r="N1908">
            <v>4</v>
          </cell>
        </row>
        <row r="1909">
          <cell r="E1909" t="str">
            <v>Arizona v California</v>
          </cell>
          <cell r="I1909" t="str">
            <v>CG</v>
          </cell>
          <cell r="K1909" t="str">
            <v>Res,D</v>
          </cell>
          <cell r="M1909">
            <v>0.15984589258679999</v>
          </cell>
          <cell r="N1909">
            <v>4</v>
          </cell>
        </row>
        <row r="1910">
          <cell r="E1910" t="str">
            <v>Arizona v California</v>
          </cell>
          <cell r="I1910" t="str">
            <v>CG</v>
          </cell>
          <cell r="K1910" t="str">
            <v>INP</v>
          </cell>
          <cell r="M1910">
            <v>3.84912510466512</v>
          </cell>
          <cell r="N1910">
            <v>1</v>
          </cell>
        </row>
        <row r="1911">
          <cell r="E1911" t="str">
            <v>Arizona v California</v>
          </cell>
          <cell r="I1911" t="str">
            <v>CG</v>
          </cell>
          <cell r="K1911" t="str">
            <v>F</v>
          </cell>
          <cell r="M1911">
            <v>0.86160153475511403</v>
          </cell>
          <cell r="N1911">
            <v>4</v>
          </cell>
        </row>
        <row r="1912">
          <cell r="E1912" t="str">
            <v>Arizona v California</v>
          </cell>
          <cell r="I1912" t="str">
            <v>CG</v>
          </cell>
          <cell r="K1912" t="str">
            <v>F</v>
          </cell>
          <cell r="M1912">
            <v>0.90911008939937499</v>
          </cell>
          <cell r="N1912">
            <v>4</v>
          </cell>
        </row>
        <row r="1913">
          <cell r="E1913" t="str">
            <v>Arizona v California</v>
          </cell>
          <cell r="I1913" t="str">
            <v>CG</v>
          </cell>
          <cell r="K1913" t="str">
            <v>F</v>
          </cell>
          <cell r="M1913">
            <v>5.1420969485829797</v>
          </cell>
          <cell r="N1913">
            <v>4</v>
          </cell>
        </row>
        <row r="1914">
          <cell r="E1914" t="str">
            <v>Arizona v California</v>
          </cell>
          <cell r="I1914" t="str">
            <v>CG</v>
          </cell>
          <cell r="K1914" t="str">
            <v>F</v>
          </cell>
          <cell r="M1914">
            <v>2.6318176315235302</v>
          </cell>
          <cell r="N1914">
            <v>4</v>
          </cell>
        </row>
        <row r="1915">
          <cell r="E1915" t="str">
            <v>Arizona v California</v>
          </cell>
          <cell r="I1915" t="str">
            <v>CG</v>
          </cell>
          <cell r="K1915" t="str">
            <v>F</v>
          </cell>
          <cell r="M1915">
            <v>14.5154388154311</v>
          </cell>
          <cell r="N1915">
            <v>4</v>
          </cell>
        </row>
        <row r="1916">
          <cell r="E1916" t="str">
            <v>Arizona v California</v>
          </cell>
          <cell r="I1916" t="str">
            <v>CG</v>
          </cell>
          <cell r="K1916" t="str">
            <v>INP</v>
          </cell>
          <cell r="M1916">
            <v>19.917918239318102</v>
          </cell>
          <cell r="N1916">
            <v>1</v>
          </cell>
        </row>
        <row r="1917">
          <cell r="E1917" t="str">
            <v>Arizona v California</v>
          </cell>
          <cell r="I1917" t="str">
            <v>CG</v>
          </cell>
          <cell r="K1917" t="str">
            <v>F</v>
          </cell>
          <cell r="M1917">
            <v>4.2144030454613102</v>
          </cell>
          <cell r="N1917">
            <v>4</v>
          </cell>
        </row>
        <row r="1918">
          <cell r="E1918" t="str">
            <v>Arizona v California</v>
          </cell>
          <cell r="I1918" t="str">
            <v>CG</v>
          </cell>
          <cell r="K1918" t="str">
            <v>F</v>
          </cell>
          <cell r="M1918">
            <v>12.402267989115099</v>
          </cell>
          <cell r="N1918">
            <v>4</v>
          </cell>
        </row>
        <row r="1919">
          <cell r="E1919" t="str">
            <v>Arizona v California</v>
          </cell>
          <cell r="I1919" t="str">
            <v>CG</v>
          </cell>
          <cell r="K1919" t="str">
            <v>IPP</v>
          </cell>
          <cell r="M1919">
            <v>13.9182491803516</v>
          </cell>
          <cell r="N1919">
            <v>1</v>
          </cell>
        </row>
        <row r="1920">
          <cell r="E1920" t="str">
            <v>Arizona v California</v>
          </cell>
          <cell r="I1920" t="str">
            <v>CG</v>
          </cell>
          <cell r="K1920" t="str">
            <v>IPP</v>
          </cell>
          <cell r="M1920">
            <v>21.561189503529999</v>
          </cell>
          <cell r="N1920">
            <v>1</v>
          </cell>
        </row>
        <row r="1921">
          <cell r="E1921" t="str">
            <v>Arizona v California</v>
          </cell>
          <cell r="I1921" t="str">
            <v>CG</v>
          </cell>
          <cell r="K1921" t="str">
            <v>IPP</v>
          </cell>
          <cell r="M1921">
            <v>24.1844047158325</v>
          </cell>
          <cell r="N1921">
            <v>1</v>
          </cell>
        </row>
        <row r="1922">
          <cell r="E1922" t="str">
            <v>Arizona v California</v>
          </cell>
          <cell r="I1922" t="str">
            <v>CG</v>
          </cell>
          <cell r="K1922" t="str">
            <v>F</v>
          </cell>
          <cell r="M1922">
            <v>0.160357301224518</v>
          </cell>
          <cell r="N1922">
            <v>4</v>
          </cell>
        </row>
        <row r="1923">
          <cell r="E1923" t="str">
            <v>Arizona v California</v>
          </cell>
          <cell r="I1923" t="str">
            <v>CG</v>
          </cell>
          <cell r="K1923" t="str">
            <v>F</v>
          </cell>
          <cell r="M1923">
            <v>0.15718747515022199</v>
          </cell>
          <cell r="N1923">
            <v>4</v>
          </cell>
        </row>
        <row r="1924">
          <cell r="E1924" t="str">
            <v>Arizona v California</v>
          </cell>
          <cell r="I1924" t="str">
            <v>CG</v>
          </cell>
          <cell r="K1924" t="str">
            <v>F</v>
          </cell>
          <cell r="M1924">
            <v>0.16912614351559799</v>
          </cell>
          <cell r="N1924">
            <v>4</v>
          </cell>
        </row>
        <row r="1925">
          <cell r="E1925" t="str">
            <v>Arizona v California</v>
          </cell>
          <cell r="I1925" t="str">
            <v>CG</v>
          </cell>
          <cell r="K1925" t="str">
            <v>IPP</v>
          </cell>
          <cell r="M1925">
            <v>0.701280331821721</v>
          </cell>
          <cell r="N1925">
            <v>1</v>
          </cell>
        </row>
        <row r="1926">
          <cell r="E1926" t="str">
            <v>Arizona v California</v>
          </cell>
          <cell r="I1926" t="str">
            <v>CG</v>
          </cell>
          <cell r="K1926" t="str">
            <v>INP</v>
          </cell>
          <cell r="M1926">
            <v>9.52039397780805</v>
          </cell>
          <cell r="N1926">
            <v>1</v>
          </cell>
        </row>
        <row r="1927">
          <cell r="E1927" t="str">
            <v>Arizona v California</v>
          </cell>
          <cell r="I1927" t="str">
            <v>CG</v>
          </cell>
          <cell r="K1927" t="str">
            <v>F</v>
          </cell>
          <cell r="M1927">
            <v>2.0481235124378099</v>
          </cell>
          <cell r="N1927">
            <v>4</v>
          </cell>
        </row>
        <row r="1928">
          <cell r="E1928" t="str">
            <v>Arizona v California</v>
          </cell>
          <cell r="I1928" t="str">
            <v>CG</v>
          </cell>
          <cell r="K1928" t="str">
            <v>IPP</v>
          </cell>
          <cell r="M1928">
            <v>8.0726205546831498</v>
          </cell>
          <cell r="N1928">
            <v>1</v>
          </cell>
        </row>
        <row r="1929">
          <cell r="E1929" t="str">
            <v>Arizona v California</v>
          </cell>
          <cell r="I1929" t="str">
            <v>CG</v>
          </cell>
          <cell r="K1929" t="str">
            <v>IPP</v>
          </cell>
          <cell r="M1929">
            <v>3.8206664634543102</v>
          </cell>
          <cell r="N1929">
            <v>1</v>
          </cell>
        </row>
        <row r="1930">
          <cell r="E1930" t="str">
            <v>Arizona v California</v>
          </cell>
          <cell r="I1930" t="str">
            <v>CG</v>
          </cell>
          <cell r="K1930" t="str">
            <v>DSL</v>
          </cell>
          <cell r="M1930">
            <v>9.2956388295812001E-2</v>
          </cell>
          <cell r="N1930">
            <v>2</v>
          </cell>
        </row>
        <row r="1931">
          <cell r="E1931" t="str">
            <v>Arizona v California</v>
          </cell>
          <cell r="I1931" t="str">
            <v>CG</v>
          </cell>
          <cell r="K1931" t="str">
            <v>DSL</v>
          </cell>
          <cell r="M1931">
            <v>6.5246038257806005E-2</v>
          </cell>
          <cell r="N1931">
            <v>2</v>
          </cell>
        </row>
        <row r="1932">
          <cell r="E1932" t="str">
            <v>Arizona v California</v>
          </cell>
          <cell r="I1932" t="str">
            <v>CG</v>
          </cell>
          <cell r="K1932" t="str">
            <v>INP</v>
          </cell>
          <cell r="M1932">
            <v>7.3362843863748699</v>
          </cell>
          <cell r="N1932">
            <v>1</v>
          </cell>
        </row>
        <row r="1933">
          <cell r="E1933" t="str">
            <v>Arizona v California</v>
          </cell>
          <cell r="I1933" t="str">
            <v>CG</v>
          </cell>
          <cell r="K1933" t="str">
            <v>INP</v>
          </cell>
          <cell r="M1933">
            <v>8.0574032287091892</v>
          </cell>
          <cell r="N1933">
            <v>1</v>
          </cell>
        </row>
        <row r="1934">
          <cell r="E1934" t="str">
            <v>Arizona v California</v>
          </cell>
          <cell r="I1934" t="str">
            <v>CG</v>
          </cell>
          <cell r="K1934" t="str">
            <v>WSG</v>
          </cell>
          <cell r="M1934">
            <v>6.2856530414842897</v>
          </cell>
          <cell r="N1934">
            <v>1</v>
          </cell>
        </row>
        <row r="1935">
          <cell r="E1935" t="str">
            <v>Arizona v California</v>
          </cell>
          <cell r="I1935" t="str">
            <v>CG</v>
          </cell>
          <cell r="K1935" t="str">
            <v>IPP</v>
          </cell>
          <cell r="M1935">
            <v>11.9952205732713</v>
          </cell>
          <cell r="N1935">
            <v>1</v>
          </cell>
        </row>
        <row r="1936">
          <cell r="E1936" t="str">
            <v>Arizona v California</v>
          </cell>
          <cell r="I1936" t="str">
            <v>CG</v>
          </cell>
          <cell r="K1936" t="str">
            <v>IPP</v>
          </cell>
          <cell r="M1936">
            <v>20.161286524171398</v>
          </cell>
          <cell r="N1936">
            <v>1</v>
          </cell>
        </row>
        <row r="1937">
          <cell r="E1937" t="str">
            <v>Arizona v California</v>
          </cell>
          <cell r="I1937" t="str">
            <v>CG</v>
          </cell>
          <cell r="K1937" t="str">
            <v>INP</v>
          </cell>
          <cell r="M1937">
            <v>7.6993180763463203</v>
          </cell>
          <cell r="N1937">
            <v>1</v>
          </cell>
        </row>
        <row r="1938">
          <cell r="E1938" t="str">
            <v>Arizona v California</v>
          </cell>
          <cell r="I1938" t="str">
            <v>CG</v>
          </cell>
          <cell r="K1938" t="str">
            <v>INP</v>
          </cell>
          <cell r="M1938">
            <v>18.393569786009301</v>
          </cell>
          <cell r="N1938">
            <v>1</v>
          </cell>
        </row>
        <row r="1939">
          <cell r="E1939" t="str">
            <v>Arizona v California</v>
          </cell>
          <cell r="I1939" t="str">
            <v>CG</v>
          </cell>
          <cell r="K1939" t="str">
            <v>F</v>
          </cell>
          <cell r="M1939">
            <v>4.5293481311370503</v>
          </cell>
          <cell r="N1939">
            <v>4</v>
          </cell>
        </row>
        <row r="1940">
          <cell r="E1940" t="str">
            <v>Arizona v California</v>
          </cell>
          <cell r="I1940" t="str">
            <v>CG</v>
          </cell>
          <cell r="K1940" t="str">
            <v>DSL</v>
          </cell>
          <cell r="M1940">
            <v>0.73452904851766598</v>
          </cell>
          <cell r="N1940">
            <v>1</v>
          </cell>
        </row>
        <row r="1941">
          <cell r="E1941" t="str">
            <v>Arizona v California</v>
          </cell>
          <cell r="I1941" t="str">
            <v>CG</v>
          </cell>
          <cell r="K1941" t="str">
            <v>INP</v>
          </cell>
          <cell r="M1941">
            <v>4.6513648665936804</v>
          </cell>
          <cell r="N1941">
            <v>1</v>
          </cell>
        </row>
        <row r="1942">
          <cell r="E1942" t="str">
            <v>Arizona v California</v>
          </cell>
          <cell r="I1942" t="str">
            <v>CG</v>
          </cell>
          <cell r="K1942" t="str">
            <v>INP</v>
          </cell>
          <cell r="M1942">
            <v>5.5369877838674997</v>
          </cell>
          <cell r="N1942">
            <v>1</v>
          </cell>
        </row>
        <row r="1943">
          <cell r="E1943" t="str">
            <v>Arizona v California</v>
          </cell>
          <cell r="I1943" t="str">
            <v>CG</v>
          </cell>
          <cell r="K1943" t="str">
            <v>INP</v>
          </cell>
          <cell r="M1943">
            <v>9.9709005741241405</v>
          </cell>
          <cell r="N1943">
            <v>1</v>
          </cell>
        </row>
        <row r="1944">
          <cell r="E1944" t="str">
            <v>Arizona v California</v>
          </cell>
          <cell r="I1944" t="str">
            <v>CG</v>
          </cell>
          <cell r="K1944" t="str">
            <v>DSL</v>
          </cell>
          <cell r="M1944">
            <v>0.73814418938389903</v>
          </cell>
          <cell r="N1944">
            <v>1</v>
          </cell>
        </row>
        <row r="1945">
          <cell r="E1945" t="str">
            <v>Arizona v California</v>
          </cell>
          <cell r="I1945" t="str">
            <v>CG</v>
          </cell>
          <cell r="K1945" t="str">
            <v>INP</v>
          </cell>
          <cell r="M1945">
            <v>11.051523525455501</v>
          </cell>
          <cell r="N1945">
            <v>1</v>
          </cell>
        </row>
        <row r="1946">
          <cell r="E1946" t="str">
            <v>Arizona v California</v>
          </cell>
          <cell r="I1946" t="str">
            <v>CG</v>
          </cell>
          <cell r="K1946" t="str">
            <v>INP</v>
          </cell>
          <cell r="M1946">
            <v>5.8247971073306397</v>
          </cell>
          <cell r="N1946">
            <v>1</v>
          </cell>
        </row>
        <row r="1947">
          <cell r="E1947" t="str">
            <v>Arizona v California</v>
          </cell>
          <cell r="I1947" t="str">
            <v>CG</v>
          </cell>
          <cell r="K1947" t="str">
            <v>INP</v>
          </cell>
          <cell r="M1947">
            <v>11.8433101538188</v>
          </cell>
          <cell r="N1947">
            <v>1</v>
          </cell>
        </row>
        <row r="1948">
          <cell r="E1948" t="str">
            <v>Arizona v California</v>
          </cell>
          <cell r="I1948" t="str">
            <v>CG</v>
          </cell>
          <cell r="K1948" t="str">
            <v>INP</v>
          </cell>
          <cell r="M1948">
            <v>8.1860596596633997</v>
          </cell>
          <cell r="N1948">
            <v>1</v>
          </cell>
        </row>
        <row r="1949">
          <cell r="E1949" t="str">
            <v>Arizona v California</v>
          </cell>
          <cell r="I1949" t="str">
            <v>CG</v>
          </cell>
          <cell r="K1949" t="str">
            <v>INP</v>
          </cell>
          <cell r="M1949">
            <v>10.723156130269899</v>
          </cell>
          <cell r="N1949">
            <v>1</v>
          </cell>
        </row>
        <row r="1950">
          <cell r="E1950" t="str">
            <v>Arizona v California</v>
          </cell>
          <cell r="I1950" t="str">
            <v>CG</v>
          </cell>
          <cell r="K1950" t="str">
            <v>F</v>
          </cell>
          <cell r="M1950">
            <v>0.75253156615296002</v>
          </cell>
          <cell r="N1950">
            <v>4</v>
          </cell>
        </row>
        <row r="1951">
          <cell r="E1951" t="str">
            <v>Arizona v California</v>
          </cell>
          <cell r="I1951" t="str">
            <v>CG</v>
          </cell>
          <cell r="K1951" t="str">
            <v>F</v>
          </cell>
          <cell r="M1951">
            <v>17.853366918688501</v>
          </cell>
          <cell r="N1951">
            <v>4</v>
          </cell>
        </row>
        <row r="1952">
          <cell r="E1952" t="str">
            <v>Arizona v California</v>
          </cell>
          <cell r="I1952" t="str">
            <v>CG</v>
          </cell>
          <cell r="K1952" t="str">
            <v>INP</v>
          </cell>
          <cell r="M1952">
            <v>0.95124204469731599</v>
          </cell>
          <cell r="N1952">
            <v>1</v>
          </cell>
        </row>
        <row r="1953">
          <cell r="E1953" t="str">
            <v>Arizona v California</v>
          </cell>
          <cell r="I1953" t="str">
            <v>CG</v>
          </cell>
          <cell r="K1953" t="str">
            <v>INP</v>
          </cell>
          <cell r="M1953">
            <v>14.297815186850601</v>
          </cell>
          <cell r="N1953">
            <v>1</v>
          </cell>
        </row>
        <row r="1954">
          <cell r="E1954" t="str">
            <v>Arizona v California</v>
          </cell>
          <cell r="I1954" t="str">
            <v>CG</v>
          </cell>
          <cell r="K1954" t="str">
            <v>F</v>
          </cell>
          <cell r="M1954">
            <v>0.53821252620923599</v>
          </cell>
          <cell r="N1954">
            <v>4</v>
          </cell>
        </row>
        <row r="1955">
          <cell r="E1955" t="str">
            <v>Arizona v California</v>
          </cell>
          <cell r="I1955" t="str">
            <v>CG</v>
          </cell>
          <cell r="K1955" t="str">
            <v>Out</v>
          </cell>
          <cell r="M1955">
            <v>0.986460853651693</v>
          </cell>
          <cell r="N1955">
            <v>4</v>
          </cell>
        </row>
        <row r="1956">
          <cell r="E1956" t="str">
            <v>Arizona v California</v>
          </cell>
          <cell r="I1956" t="str">
            <v>CG</v>
          </cell>
          <cell r="K1956" t="str">
            <v>F</v>
          </cell>
          <cell r="M1956">
            <v>1.15868015294413</v>
          </cell>
          <cell r="N1956">
            <v>4</v>
          </cell>
        </row>
        <row r="1957">
          <cell r="E1957" t="str">
            <v>Arizona v California</v>
          </cell>
          <cell r="I1957" t="str">
            <v>CG</v>
          </cell>
          <cell r="K1957" t="str">
            <v>F</v>
          </cell>
          <cell r="M1957">
            <v>1.0271566286627201</v>
          </cell>
          <cell r="N1957">
            <v>4</v>
          </cell>
        </row>
        <row r="1958">
          <cell r="E1958" t="str">
            <v>Arizona v California</v>
          </cell>
          <cell r="I1958" t="str">
            <v>CG</v>
          </cell>
          <cell r="K1958" t="str">
            <v>INP</v>
          </cell>
          <cell r="M1958">
            <v>7.8192682937046003</v>
          </cell>
          <cell r="N1958">
            <v>1</v>
          </cell>
        </row>
        <row r="1959">
          <cell r="E1959" t="str">
            <v>Arizona v California</v>
          </cell>
          <cell r="I1959" t="str">
            <v>CG</v>
          </cell>
          <cell r="K1959" t="str">
            <v>F</v>
          </cell>
          <cell r="M1959">
            <v>0.13291384400588799</v>
          </cell>
          <cell r="N1959">
            <v>4</v>
          </cell>
        </row>
        <row r="1960">
          <cell r="E1960" t="str">
            <v>Arizona v California</v>
          </cell>
          <cell r="I1960" t="str">
            <v>CG</v>
          </cell>
          <cell r="K1960" t="str">
            <v>S</v>
          </cell>
          <cell r="M1960">
            <v>13.605370064293201</v>
          </cell>
          <cell r="N1960">
            <v>5</v>
          </cell>
        </row>
        <row r="1961">
          <cell r="E1961" t="str">
            <v>Arizona v California</v>
          </cell>
          <cell r="I1961" t="str">
            <v>CG</v>
          </cell>
          <cell r="K1961" t="str">
            <v>DSL</v>
          </cell>
          <cell r="M1961">
            <v>1.1125981951421</v>
          </cell>
          <cell r="N1961">
            <v>2</v>
          </cell>
        </row>
        <row r="1962">
          <cell r="E1962" t="str">
            <v>Arizona v California</v>
          </cell>
          <cell r="I1962" t="str">
            <v>CG</v>
          </cell>
          <cell r="K1962" t="str">
            <v>INP</v>
          </cell>
          <cell r="M1962">
            <v>15.0601188503949</v>
          </cell>
          <cell r="N1962">
            <v>1</v>
          </cell>
        </row>
        <row r="1963">
          <cell r="E1963" t="str">
            <v>Arizona v California</v>
          </cell>
          <cell r="I1963" t="str">
            <v>CG</v>
          </cell>
          <cell r="K1963" t="str">
            <v>INP</v>
          </cell>
          <cell r="M1963">
            <v>12.9949573119171</v>
          </cell>
          <cell r="N1963">
            <v>1</v>
          </cell>
        </row>
        <row r="1964">
          <cell r="E1964" t="str">
            <v>Arizona v California</v>
          </cell>
          <cell r="I1964" t="str">
            <v>CG</v>
          </cell>
          <cell r="K1964" t="str">
            <v>DSL</v>
          </cell>
          <cell r="M1964">
            <v>0.152474931069259</v>
          </cell>
          <cell r="N1964">
            <v>2</v>
          </cell>
        </row>
        <row r="1965">
          <cell r="E1965" t="str">
            <v>Arizona v California</v>
          </cell>
          <cell r="I1965" t="str">
            <v>CG</v>
          </cell>
          <cell r="K1965" t="str">
            <v>DSL</v>
          </cell>
          <cell r="M1965">
            <v>0.16470456355131599</v>
          </cell>
          <cell r="N1965">
            <v>2</v>
          </cell>
        </row>
        <row r="1966">
          <cell r="E1966" t="str">
            <v>Arizona v California</v>
          </cell>
          <cell r="I1966" t="str">
            <v>CG</v>
          </cell>
          <cell r="K1966" t="str">
            <v>DSL</v>
          </cell>
          <cell r="M1966">
            <v>0.16098574269753299</v>
          </cell>
          <cell r="N1966">
            <v>2</v>
          </cell>
        </row>
        <row r="1967">
          <cell r="E1967" t="str">
            <v>Arizona v California</v>
          </cell>
          <cell r="I1967" t="str">
            <v>CG</v>
          </cell>
          <cell r="K1967" t="str">
            <v>INP</v>
          </cell>
          <cell r="M1967">
            <v>8.08601192809083</v>
          </cell>
          <cell r="N1967">
            <v>1</v>
          </cell>
        </row>
        <row r="1968">
          <cell r="E1968" t="str">
            <v>Arizona v California</v>
          </cell>
          <cell r="I1968" t="str">
            <v>CG</v>
          </cell>
          <cell r="K1968" t="str">
            <v>INP</v>
          </cell>
          <cell r="M1968">
            <v>10.1325802230741</v>
          </cell>
          <cell r="N1968">
            <v>1</v>
          </cell>
        </row>
        <row r="1969">
          <cell r="E1969" t="str">
            <v>Arizona v California</v>
          </cell>
          <cell r="I1969" t="str">
            <v>CG</v>
          </cell>
          <cell r="K1969" t="str">
            <v>INP</v>
          </cell>
          <cell r="M1969">
            <v>12.640268343932499</v>
          </cell>
          <cell r="N1969">
            <v>1</v>
          </cell>
        </row>
        <row r="1970">
          <cell r="E1970" t="str">
            <v>Arizona v California</v>
          </cell>
          <cell r="I1970" t="str">
            <v>CG</v>
          </cell>
          <cell r="K1970" t="str">
            <v>DSL</v>
          </cell>
          <cell r="M1970">
            <v>0.205564760285736</v>
          </cell>
          <cell r="N1970">
            <v>2</v>
          </cell>
        </row>
        <row r="1971">
          <cell r="E1971" t="str">
            <v>Arizona v California</v>
          </cell>
          <cell r="I1971" t="str">
            <v>CG</v>
          </cell>
          <cell r="K1971" t="str">
            <v>DSL</v>
          </cell>
          <cell r="M1971">
            <v>0.844797025679209</v>
          </cell>
          <cell r="N1971">
            <v>2</v>
          </cell>
        </row>
        <row r="1972">
          <cell r="E1972" t="str">
            <v>Arizona v California</v>
          </cell>
          <cell r="I1972" t="str">
            <v>CG</v>
          </cell>
          <cell r="K1972" t="str">
            <v>DSL</v>
          </cell>
          <cell r="M1972">
            <v>0.17922477471157</v>
          </cell>
          <cell r="N1972">
            <v>2</v>
          </cell>
        </row>
        <row r="1973">
          <cell r="E1973" t="str">
            <v>Arizona v California</v>
          </cell>
          <cell r="I1973" t="str">
            <v>CG</v>
          </cell>
          <cell r="K1973" t="str">
            <v>Out</v>
          </cell>
          <cell r="M1973">
            <v>1.4559321121781801</v>
          </cell>
          <cell r="N1973">
            <v>4</v>
          </cell>
        </row>
        <row r="1974">
          <cell r="E1974" t="str">
            <v>Arizona v California</v>
          </cell>
          <cell r="I1974" t="str">
            <v>CG</v>
          </cell>
          <cell r="K1974" t="str">
            <v>Out</v>
          </cell>
          <cell r="M1974">
            <v>5.2393710567753997</v>
          </cell>
          <cell r="N1974">
            <v>4</v>
          </cell>
        </row>
        <row r="1975">
          <cell r="E1975" t="str">
            <v>Arizona v California</v>
          </cell>
          <cell r="I1975" t="str">
            <v>CG</v>
          </cell>
          <cell r="K1975" t="str">
            <v>DSL</v>
          </cell>
          <cell r="M1975">
            <v>0.131195740520612</v>
          </cell>
          <cell r="N1975">
            <v>2</v>
          </cell>
        </row>
        <row r="1976">
          <cell r="E1976" t="str">
            <v>Arizona v California</v>
          </cell>
          <cell r="I1976" t="str">
            <v>CG</v>
          </cell>
          <cell r="K1976" t="str">
            <v>DSL</v>
          </cell>
          <cell r="M1976">
            <v>7.1872220711486995E-2</v>
          </cell>
          <cell r="N1976">
            <v>2</v>
          </cell>
        </row>
        <row r="1977">
          <cell r="E1977" t="str">
            <v>Arizona v California</v>
          </cell>
          <cell r="I1977" t="str">
            <v>CG</v>
          </cell>
          <cell r="K1977" t="str">
            <v>Stk,D</v>
          </cell>
          <cell r="M1977">
            <v>0.42976002438998701</v>
          </cell>
          <cell r="N1977">
            <v>4</v>
          </cell>
        </row>
        <row r="1978">
          <cell r="E1978" t="str">
            <v>Arizona v California</v>
          </cell>
          <cell r="I1978" t="str">
            <v>CG</v>
          </cell>
          <cell r="K1978" t="str">
            <v>DSL</v>
          </cell>
          <cell r="M1978">
            <v>0.223159128709706</v>
          </cell>
          <cell r="N1978">
            <v>2</v>
          </cell>
        </row>
        <row r="1979">
          <cell r="E1979" t="str">
            <v>Arizona v California</v>
          </cell>
          <cell r="I1979" t="str">
            <v>CG</v>
          </cell>
          <cell r="K1979" t="str">
            <v>INP</v>
          </cell>
          <cell r="M1979">
            <v>19.410504836019101</v>
          </cell>
          <cell r="N1979">
            <v>1</v>
          </cell>
        </row>
        <row r="1980">
          <cell r="E1980" t="str">
            <v>Arizona v California</v>
          </cell>
          <cell r="I1980" t="str">
            <v>CG</v>
          </cell>
          <cell r="K1980" t="str">
            <v>INP</v>
          </cell>
          <cell r="M1980">
            <v>0.62777099768676603</v>
          </cell>
          <cell r="N1980">
            <v>1</v>
          </cell>
        </row>
        <row r="1981">
          <cell r="E1981" t="str">
            <v>Arizona v California</v>
          </cell>
          <cell r="I1981" t="str">
            <v>CG</v>
          </cell>
          <cell r="K1981" t="str">
            <v>INP</v>
          </cell>
          <cell r="M1981">
            <v>1.56931833129651</v>
          </cell>
          <cell r="N1981">
            <v>1</v>
          </cell>
        </row>
        <row r="1982">
          <cell r="E1982" t="str">
            <v>Arizona v California</v>
          </cell>
          <cell r="I1982" t="str">
            <v>CG</v>
          </cell>
          <cell r="K1982" t="str">
            <v>INP</v>
          </cell>
          <cell r="M1982">
            <v>3.6519661779265902</v>
          </cell>
          <cell r="N1982">
            <v>1</v>
          </cell>
        </row>
        <row r="1983">
          <cell r="E1983" t="str">
            <v>Arizona v California</v>
          </cell>
          <cell r="I1983" t="str">
            <v>CG</v>
          </cell>
          <cell r="K1983" t="str">
            <v>INP</v>
          </cell>
          <cell r="M1983">
            <v>3.4954690596301998</v>
          </cell>
          <cell r="N1983">
            <v>1</v>
          </cell>
        </row>
        <row r="1984">
          <cell r="E1984" t="str">
            <v>Arizona v California</v>
          </cell>
          <cell r="I1984" t="str">
            <v>CG</v>
          </cell>
          <cell r="K1984" t="str">
            <v>INP</v>
          </cell>
          <cell r="M1984">
            <v>10.993089878044</v>
          </cell>
          <cell r="N1984">
            <v>1</v>
          </cell>
        </row>
        <row r="1985">
          <cell r="E1985" t="str">
            <v>Arizona v California</v>
          </cell>
          <cell r="I1985" t="str">
            <v>CG</v>
          </cell>
          <cell r="K1985" t="str">
            <v>F</v>
          </cell>
          <cell r="M1985">
            <v>1.85426525740616</v>
          </cell>
          <cell r="N1985">
            <v>4</v>
          </cell>
        </row>
        <row r="1986">
          <cell r="E1986" t="str">
            <v>Arizona v California</v>
          </cell>
          <cell r="I1986" t="str">
            <v>CG</v>
          </cell>
          <cell r="K1986" t="str">
            <v>INP</v>
          </cell>
          <cell r="M1986">
            <v>12.910274381519301</v>
          </cell>
          <cell r="N1986">
            <v>1</v>
          </cell>
        </row>
        <row r="1987">
          <cell r="E1987" t="str">
            <v>Arizona v California</v>
          </cell>
          <cell r="I1987" t="str">
            <v>CG</v>
          </cell>
          <cell r="K1987" t="str">
            <v>INP</v>
          </cell>
          <cell r="M1987">
            <v>18.790465590581899</v>
          </cell>
          <cell r="N1987">
            <v>1</v>
          </cell>
        </row>
        <row r="1988">
          <cell r="E1988" t="str">
            <v>Arizona v California</v>
          </cell>
          <cell r="I1988" t="str">
            <v>CG</v>
          </cell>
          <cell r="K1988" t="str">
            <v>F</v>
          </cell>
          <cell r="M1988">
            <v>1.33777034379742</v>
          </cell>
          <cell r="N1988">
            <v>4</v>
          </cell>
        </row>
        <row r="1989">
          <cell r="E1989" t="str">
            <v>Arizona v California</v>
          </cell>
          <cell r="I1989" t="str">
            <v>CG</v>
          </cell>
          <cell r="K1989" t="str">
            <v>INP</v>
          </cell>
          <cell r="M1989">
            <v>8.1978940614192695</v>
          </cell>
          <cell r="N1989">
            <v>1</v>
          </cell>
        </row>
        <row r="1990">
          <cell r="E1990" t="str">
            <v>Arizona v California</v>
          </cell>
          <cell r="I1990" t="str">
            <v>CG</v>
          </cell>
          <cell r="K1990" t="str">
            <v>INP</v>
          </cell>
          <cell r="M1990">
            <v>2.4975881522213301</v>
          </cell>
          <cell r="N1990">
            <v>1</v>
          </cell>
        </row>
        <row r="1991">
          <cell r="E1991" t="str">
            <v>Arizona v California</v>
          </cell>
          <cell r="I1991" t="str">
            <v>CG</v>
          </cell>
          <cell r="K1991" t="str">
            <v>F</v>
          </cell>
          <cell r="M1991">
            <v>3.8133893018474598</v>
          </cell>
          <cell r="N1991">
            <v>4</v>
          </cell>
        </row>
        <row r="1992">
          <cell r="E1992" t="str">
            <v>Arizona v California</v>
          </cell>
          <cell r="I1992" t="str">
            <v>CG</v>
          </cell>
          <cell r="K1992" t="str">
            <v>F</v>
          </cell>
          <cell r="M1992">
            <v>6.5852398370477099</v>
          </cell>
          <cell r="N1992">
            <v>4</v>
          </cell>
        </row>
        <row r="1993">
          <cell r="E1993" t="str">
            <v>Arizona v California</v>
          </cell>
          <cell r="I1993" t="str">
            <v>CG</v>
          </cell>
          <cell r="K1993" t="str">
            <v>F</v>
          </cell>
          <cell r="M1993">
            <v>2.9991517707000299</v>
          </cell>
          <cell r="N1993">
            <v>4</v>
          </cell>
        </row>
        <row r="1994">
          <cell r="E1994" t="str">
            <v>Arizona v California</v>
          </cell>
          <cell r="I1994" t="str">
            <v>CG</v>
          </cell>
          <cell r="K1994" t="str">
            <v>F</v>
          </cell>
          <cell r="M1994">
            <v>17.4068658768477</v>
          </cell>
          <cell r="N1994">
            <v>4</v>
          </cell>
        </row>
        <row r="1995">
          <cell r="E1995" t="str">
            <v>Arizona v California</v>
          </cell>
          <cell r="I1995" t="str">
            <v>CG</v>
          </cell>
          <cell r="K1995" t="str">
            <v>INP</v>
          </cell>
          <cell r="M1995">
            <v>7.8781958261588096</v>
          </cell>
          <cell r="N1995">
            <v>1</v>
          </cell>
        </row>
        <row r="1996">
          <cell r="E1996" t="str">
            <v>Arizona v California</v>
          </cell>
          <cell r="I1996" t="str">
            <v>CG</v>
          </cell>
          <cell r="K1996" t="str">
            <v>INP</v>
          </cell>
          <cell r="M1996">
            <v>1.8102849889489501</v>
          </cell>
          <cell r="N1996">
            <v>2</v>
          </cell>
        </row>
        <row r="1997">
          <cell r="E1997" t="str">
            <v>Arizona v California</v>
          </cell>
          <cell r="I1997" t="str">
            <v>CG</v>
          </cell>
          <cell r="K1997" t="str">
            <v>DSL</v>
          </cell>
          <cell r="M1997">
            <v>4.2739229925961998E-2</v>
          </cell>
          <cell r="N1997">
            <v>2</v>
          </cell>
        </row>
        <row r="1998">
          <cell r="E1998" t="str">
            <v>Arizona v California</v>
          </cell>
          <cell r="I1998" t="str">
            <v>CG</v>
          </cell>
          <cell r="K1998" t="str">
            <v>F</v>
          </cell>
          <cell r="M1998">
            <v>0.87829866490442898</v>
          </cell>
          <cell r="N1998">
            <v>4</v>
          </cell>
        </row>
        <row r="1999">
          <cell r="E1999" t="str">
            <v>Arizona v California</v>
          </cell>
          <cell r="I1999" t="str">
            <v>CG</v>
          </cell>
          <cell r="K1999" t="str">
            <v>INP</v>
          </cell>
          <cell r="M1999">
            <v>0.77372978282608595</v>
          </cell>
          <cell r="N1999">
            <v>1</v>
          </cell>
        </row>
        <row r="2000">
          <cell r="E2000" t="str">
            <v>Arizona v California</v>
          </cell>
          <cell r="I2000" t="str">
            <v>CG</v>
          </cell>
          <cell r="K2000" t="str">
            <v>DSL</v>
          </cell>
          <cell r="M2000">
            <v>0.22673607268653301</v>
          </cell>
          <cell r="N2000">
            <v>2</v>
          </cell>
        </row>
        <row r="2001">
          <cell r="E2001" t="str">
            <v>Arizona v California</v>
          </cell>
          <cell r="I2001" t="str">
            <v>CG</v>
          </cell>
          <cell r="K2001" t="str">
            <v>F</v>
          </cell>
          <cell r="M2001">
            <v>2.8005730259444701</v>
          </cell>
          <cell r="N2001">
            <v>4</v>
          </cell>
        </row>
        <row r="2002">
          <cell r="E2002" t="str">
            <v>Arizona v California</v>
          </cell>
          <cell r="I2002" t="str">
            <v>CG</v>
          </cell>
          <cell r="K2002" t="str">
            <v>F</v>
          </cell>
          <cell r="M2002">
            <v>3.8253851858658301</v>
          </cell>
          <cell r="N2002">
            <v>4</v>
          </cell>
        </row>
        <row r="2003">
          <cell r="E2003" t="str">
            <v>Arizona v California</v>
          </cell>
          <cell r="I2003" t="str">
            <v>CG</v>
          </cell>
          <cell r="K2003" t="str">
            <v>F</v>
          </cell>
          <cell r="M2003">
            <v>4.57039507399214</v>
          </cell>
          <cell r="N2003">
            <v>4</v>
          </cell>
        </row>
        <row r="2004">
          <cell r="E2004" t="str">
            <v>Arizona v California</v>
          </cell>
          <cell r="I2004" t="str">
            <v>CG</v>
          </cell>
          <cell r="K2004" t="str">
            <v>DSL</v>
          </cell>
          <cell r="M2004">
            <v>5.0622714375723001E-2</v>
          </cell>
          <cell r="N2004">
            <v>2</v>
          </cell>
        </row>
        <row r="2005">
          <cell r="E2005" t="str">
            <v>Arizona v California</v>
          </cell>
          <cell r="I2005" t="str">
            <v>CG</v>
          </cell>
          <cell r="K2005" t="str">
            <v>F</v>
          </cell>
          <cell r="M2005">
            <v>1.81270360079848</v>
          </cell>
          <cell r="N2005">
            <v>4</v>
          </cell>
        </row>
        <row r="2006">
          <cell r="E2006" t="str">
            <v>Arizona v California</v>
          </cell>
          <cell r="I2006" t="str">
            <v>CG</v>
          </cell>
          <cell r="K2006" t="str">
            <v>INP</v>
          </cell>
          <cell r="M2006">
            <v>3.7771416929808601</v>
          </cell>
          <cell r="N2006">
            <v>1</v>
          </cell>
        </row>
        <row r="2007">
          <cell r="E2007" t="str">
            <v>Arizona v California</v>
          </cell>
          <cell r="I2007" t="str">
            <v>CG</v>
          </cell>
          <cell r="K2007" t="str">
            <v>F</v>
          </cell>
          <cell r="M2007">
            <v>0.35191132935525199</v>
          </cell>
          <cell r="N2007">
            <v>4</v>
          </cell>
        </row>
        <row r="2008">
          <cell r="E2008" t="str">
            <v>Arizona v California</v>
          </cell>
          <cell r="I2008" t="str">
            <v>CG</v>
          </cell>
          <cell r="K2008" t="str">
            <v>F</v>
          </cell>
          <cell r="M2008">
            <v>0.112413901946503</v>
          </cell>
          <cell r="N2008">
            <v>4</v>
          </cell>
        </row>
        <row r="2009">
          <cell r="E2009" t="str">
            <v>Arizona v California</v>
          </cell>
          <cell r="I2009" t="str">
            <v>CG</v>
          </cell>
          <cell r="K2009" t="str">
            <v>F</v>
          </cell>
          <cell r="M2009">
            <v>0.43706795920476899</v>
          </cell>
          <cell r="N2009">
            <v>4</v>
          </cell>
        </row>
        <row r="2010">
          <cell r="E2010" t="str">
            <v>Arizona v California</v>
          </cell>
          <cell r="I2010" t="str">
            <v>CG</v>
          </cell>
          <cell r="K2010" t="str">
            <v>F</v>
          </cell>
          <cell r="M2010">
            <v>2.3218908351191598</v>
          </cell>
          <cell r="N2010">
            <v>4</v>
          </cell>
        </row>
        <row r="2011">
          <cell r="E2011" t="str">
            <v>Arizona v California</v>
          </cell>
          <cell r="I2011" t="str">
            <v>CG</v>
          </cell>
          <cell r="K2011" t="str">
            <v>Stk,D</v>
          </cell>
          <cell r="M2011">
            <v>0.41977638974719</v>
          </cell>
          <cell r="N2011">
            <v>4</v>
          </cell>
        </row>
        <row r="2012">
          <cell r="E2012" t="str">
            <v>Arizona v California</v>
          </cell>
          <cell r="I2012" t="str">
            <v>CG</v>
          </cell>
          <cell r="K2012" t="str">
            <v>PG</v>
          </cell>
          <cell r="M2012">
            <v>14.6927669708083</v>
          </cell>
          <cell r="N2012">
            <v>1</v>
          </cell>
        </row>
        <row r="2013">
          <cell r="E2013" t="str">
            <v>Arizona v California</v>
          </cell>
          <cell r="I2013" t="str">
            <v>CG</v>
          </cell>
          <cell r="K2013" t="str">
            <v>PG</v>
          </cell>
          <cell r="M2013">
            <v>4.9294033236649604</v>
          </cell>
          <cell r="N2013">
            <v>1</v>
          </cell>
        </row>
        <row r="2014">
          <cell r="E2014" t="str">
            <v>Arizona v California</v>
          </cell>
          <cell r="I2014" t="str">
            <v>CG</v>
          </cell>
          <cell r="K2014" t="str">
            <v>INP</v>
          </cell>
          <cell r="M2014">
            <v>10.3847450411466</v>
          </cell>
          <cell r="N2014">
            <v>1</v>
          </cell>
        </row>
        <row r="2015">
          <cell r="E2015" t="str">
            <v>Arizona v California</v>
          </cell>
          <cell r="I2015" t="str">
            <v>CG</v>
          </cell>
          <cell r="K2015" t="str">
            <v>INP</v>
          </cell>
          <cell r="M2015">
            <v>7.9307968319390998</v>
          </cell>
          <cell r="N2015">
            <v>1</v>
          </cell>
        </row>
        <row r="2016">
          <cell r="E2016" t="str">
            <v>Arizona v California</v>
          </cell>
          <cell r="I2016" t="str">
            <v>CG</v>
          </cell>
          <cell r="K2016" t="str">
            <v>F</v>
          </cell>
          <cell r="M2016">
            <v>27.939783522715999</v>
          </cell>
          <cell r="N2016">
            <v>4</v>
          </cell>
        </row>
        <row r="2017">
          <cell r="E2017" t="str">
            <v>Arizona v California</v>
          </cell>
          <cell r="I2017" t="str">
            <v>CG</v>
          </cell>
          <cell r="K2017" t="str">
            <v>F</v>
          </cell>
          <cell r="M2017">
            <v>27.3187388889556</v>
          </cell>
          <cell r="N2017">
            <v>4</v>
          </cell>
        </row>
        <row r="2018">
          <cell r="E2018" t="str">
            <v>Arizona v California</v>
          </cell>
          <cell r="I2018" t="str">
            <v>CG</v>
          </cell>
          <cell r="K2018" t="str">
            <v>INP</v>
          </cell>
          <cell r="M2018">
            <v>0.48308295042696803</v>
          </cell>
          <cell r="N2018">
            <v>1</v>
          </cell>
        </row>
        <row r="2019">
          <cell r="E2019" t="str">
            <v>Arizona v California</v>
          </cell>
          <cell r="I2019" t="str">
            <v>CG</v>
          </cell>
          <cell r="K2019" t="str">
            <v>INP</v>
          </cell>
          <cell r="M2019">
            <v>1.63391149443409</v>
          </cell>
          <cell r="N2019">
            <v>1</v>
          </cell>
        </row>
        <row r="2020">
          <cell r="E2020" t="str">
            <v>Arizona v California</v>
          </cell>
          <cell r="I2020" t="str">
            <v>CG</v>
          </cell>
          <cell r="K2020" t="str">
            <v>F</v>
          </cell>
          <cell r="M2020">
            <v>17.750931653237199</v>
          </cell>
          <cell r="N2020">
            <v>4</v>
          </cell>
        </row>
        <row r="2021">
          <cell r="E2021" t="str">
            <v>Arizona v California</v>
          </cell>
          <cell r="I2021" t="str">
            <v>CG</v>
          </cell>
          <cell r="K2021" t="str">
            <v>F</v>
          </cell>
          <cell r="M2021">
            <v>0.92355539475272497</v>
          </cell>
          <cell r="N2021">
            <v>4</v>
          </cell>
        </row>
        <row r="2022">
          <cell r="E2022" t="str">
            <v>Arizona v California</v>
          </cell>
          <cell r="I2022" t="str">
            <v>CG</v>
          </cell>
          <cell r="K2022" t="str">
            <v>Res,D</v>
          </cell>
          <cell r="M2022">
            <v>0.54316418679740897</v>
          </cell>
          <cell r="N2022">
            <v>4</v>
          </cell>
        </row>
        <row r="2023">
          <cell r="E2023" t="str">
            <v>Arizona v California</v>
          </cell>
          <cell r="I2023" t="str">
            <v>CG</v>
          </cell>
          <cell r="K2023" t="str">
            <v>Res,D</v>
          </cell>
          <cell r="M2023">
            <v>1.1670621087123001</v>
          </cell>
          <cell r="N2023">
            <v>4</v>
          </cell>
        </row>
        <row r="2024">
          <cell r="E2024" t="str">
            <v>Arizona v California</v>
          </cell>
          <cell r="I2024" t="str">
            <v>CG</v>
          </cell>
          <cell r="K2024" t="str">
            <v>Res,D</v>
          </cell>
          <cell r="M2024">
            <v>1.42186359696919</v>
          </cell>
          <cell r="N2024">
            <v>4</v>
          </cell>
        </row>
        <row r="2025">
          <cell r="E2025" t="str">
            <v>Arizona v California</v>
          </cell>
          <cell r="I2025" t="str">
            <v>CG</v>
          </cell>
          <cell r="K2025" t="str">
            <v>F</v>
          </cell>
          <cell r="M2025">
            <v>0.40009832697974401</v>
          </cell>
          <cell r="N2025">
            <v>4</v>
          </cell>
        </row>
        <row r="2026">
          <cell r="E2026" t="str">
            <v>Arizona v California</v>
          </cell>
          <cell r="I2026" t="str">
            <v>CG</v>
          </cell>
          <cell r="K2026" t="str">
            <v>F</v>
          </cell>
          <cell r="M2026">
            <v>5.7446881575174702</v>
          </cell>
          <cell r="N2026">
            <v>4</v>
          </cell>
        </row>
        <row r="2027">
          <cell r="E2027" t="str">
            <v>Arizona v California</v>
          </cell>
          <cell r="I2027" t="str">
            <v>CG</v>
          </cell>
          <cell r="K2027" t="str">
            <v>F</v>
          </cell>
          <cell r="M2027">
            <v>1.6940977782629101</v>
          </cell>
          <cell r="N2027">
            <v>4</v>
          </cell>
        </row>
        <row r="2028">
          <cell r="E2028" t="str">
            <v>Arizona v California</v>
          </cell>
          <cell r="I2028" t="str">
            <v>CG</v>
          </cell>
          <cell r="K2028" t="str">
            <v>INP</v>
          </cell>
          <cell r="M2028">
            <v>11.622274254706101</v>
          </cell>
          <cell r="N2028">
            <v>1</v>
          </cell>
        </row>
        <row r="2029">
          <cell r="E2029" t="str">
            <v>Arizona v California</v>
          </cell>
          <cell r="I2029" t="str">
            <v>CG</v>
          </cell>
          <cell r="K2029" t="str">
            <v>INP</v>
          </cell>
          <cell r="M2029">
            <v>1.4444556524879599</v>
          </cell>
          <cell r="N2029">
            <v>1</v>
          </cell>
        </row>
        <row r="2030">
          <cell r="E2030" t="str">
            <v>Arizona v California</v>
          </cell>
          <cell r="I2030" t="str">
            <v>CG</v>
          </cell>
          <cell r="K2030" t="str">
            <v>F</v>
          </cell>
          <cell r="M2030">
            <v>0.26462123211756</v>
          </cell>
          <cell r="N2030">
            <v>4</v>
          </cell>
        </row>
        <row r="2031">
          <cell r="E2031" t="str">
            <v>Arizona v California</v>
          </cell>
          <cell r="I2031" t="str">
            <v>CG</v>
          </cell>
          <cell r="K2031" t="str">
            <v>INP</v>
          </cell>
          <cell r="M2031">
            <v>1.1690907527363299</v>
          </cell>
          <cell r="N2031">
            <v>1</v>
          </cell>
        </row>
        <row r="2032">
          <cell r="E2032" t="str">
            <v>Arizona v California</v>
          </cell>
          <cell r="I2032" t="str">
            <v>CG</v>
          </cell>
          <cell r="K2032" t="str">
            <v>INP</v>
          </cell>
          <cell r="M2032">
            <v>1.20290264458524</v>
          </cell>
          <cell r="N2032">
            <v>1</v>
          </cell>
        </row>
        <row r="2033">
          <cell r="E2033" t="str">
            <v>Arizona v California</v>
          </cell>
          <cell r="I2033" t="str">
            <v>CG</v>
          </cell>
          <cell r="K2033" t="str">
            <v>INP</v>
          </cell>
          <cell r="M2033">
            <v>19.5351787283963</v>
          </cell>
          <cell r="N2033">
            <v>1</v>
          </cell>
        </row>
        <row r="2034">
          <cell r="E2034" t="str">
            <v>Arizona v California</v>
          </cell>
          <cell r="I2034" t="str">
            <v>CG</v>
          </cell>
          <cell r="K2034" t="str">
            <v>INP</v>
          </cell>
          <cell r="M2034">
            <v>7.9260107168620397</v>
          </cell>
          <cell r="N2034">
            <v>1</v>
          </cell>
        </row>
        <row r="2035">
          <cell r="E2035" t="str">
            <v>Arizona v California</v>
          </cell>
          <cell r="I2035" t="str">
            <v>CG</v>
          </cell>
          <cell r="K2035" t="str">
            <v>F</v>
          </cell>
          <cell r="M2035">
            <v>1.4207948776512E-2</v>
          </cell>
          <cell r="N2035">
            <v>4</v>
          </cell>
        </row>
        <row r="2036">
          <cell r="E2036" t="str">
            <v>Arizona v California</v>
          </cell>
          <cell r="I2036" t="str">
            <v>CG</v>
          </cell>
          <cell r="K2036" t="str">
            <v>F</v>
          </cell>
          <cell r="M2036">
            <v>0.185761063473701</v>
          </cell>
          <cell r="N2036">
            <v>4</v>
          </cell>
        </row>
        <row r="2037">
          <cell r="E2037" t="str">
            <v>Arizona v California</v>
          </cell>
          <cell r="I2037" t="str">
            <v>CG</v>
          </cell>
          <cell r="K2037" t="str">
            <v>F</v>
          </cell>
          <cell r="M2037">
            <v>1.32085733455427</v>
          </cell>
          <cell r="N2037">
            <v>4</v>
          </cell>
        </row>
        <row r="2038">
          <cell r="E2038" t="str">
            <v>Arizona v California</v>
          </cell>
          <cell r="I2038" t="str">
            <v>CG</v>
          </cell>
          <cell r="K2038" t="str">
            <v>INP</v>
          </cell>
          <cell r="M2038">
            <v>5.0136832181400104</v>
          </cell>
          <cell r="N2038">
            <v>1</v>
          </cell>
        </row>
        <row r="2039">
          <cell r="E2039" t="str">
            <v>Arizona v California</v>
          </cell>
          <cell r="I2039" t="str">
            <v>CG</v>
          </cell>
          <cell r="K2039" t="str">
            <v>F</v>
          </cell>
          <cell r="M2039">
            <v>42.525436269894698</v>
          </cell>
          <cell r="N2039">
            <v>4</v>
          </cell>
        </row>
        <row r="2040">
          <cell r="E2040" t="str">
            <v>Arizona v California</v>
          </cell>
          <cell r="I2040" t="str">
            <v>CG</v>
          </cell>
          <cell r="K2040" t="str">
            <v>INP</v>
          </cell>
          <cell r="M2040">
            <v>5.6570518671706997</v>
          </cell>
          <cell r="N2040">
            <v>1</v>
          </cell>
        </row>
        <row r="2041">
          <cell r="E2041" t="str">
            <v>Arizona v California</v>
          </cell>
          <cell r="I2041" t="str">
            <v>CG</v>
          </cell>
          <cell r="K2041" t="str">
            <v>F</v>
          </cell>
          <cell r="M2041">
            <v>8.4979254085506106</v>
          </cell>
          <cell r="N2041">
            <v>4</v>
          </cell>
        </row>
        <row r="2042">
          <cell r="E2042" t="str">
            <v>Arizona v California</v>
          </cell>
          <cell r="I2042" t="str">
            <v>CG</v>
          </cell>
          <cell r="K2042" t="str">
            <v>F</v>
          </cell>
          <cell r="M2042">
            <v>5.4989071311760096</v>
          </cell>
          <cell r="N2042">
            <v>4</v>
          </cell>
        </row>
        <row r="2043">
          <cell r="E2043" t="str">
            <v>Arizona v California</v>
          </cell>
          <cell r="I2043" t="str">
            <v>CG</v>
          </cell>
          <cell r="K2043" t="str">
            <v>INP</v>
          </cell>
          <cell r="M2043">
            <v>9.5046199232445208</v>
          </cell>
          <cell r="N2043">
            <v>1</v>
          </cell>
        </row>
        <row r="2044">
          <cell r="E2044" t="str">
            <v>Arizona v California</v>
          </cell>
          <cell r="I2044" t="str">
            <v>CG</v>
          </cell>
          <cell r="K2044" t="str">
            <v>INP</v>
          </cell>
          <cell r="M2044">
            <v>7.53592233507909</v>
          </cell>
          <cell r="N2044">
            <v>1</v>
          </cell>
        </row>
        <row r="2045">
          <cell r="E2045" t="str">
            <v>Arizona v California</v>
          </cell>
          <cell r="I2045" t="str">
            <v>CG</v>
          </cell>
          <cell r="K2045" t="str">
            <v>Res,D</v>
          </cell>
          <cell r="M2045">
            <v>0.55887906662633502</v>
          </cell>
          <cell r="N2045">
            <v>4</v>
          </cell>
        </row>
        <row r="2046">
          <cell r="E2046" t="str">
            <v>Arizona v California</v>
          </cell>
          <cell r="I2046" t="str">
            <v>CG</v>
          </cell>
          <cell r="K2046" t="str">
            <v>F</v>
          </cell>
          <cell r="M2046">
            <v>18.784227285890399</v>
          </cell>
          <cell r="N2046">
            <v>4</v>
          </cell>
        </row>
        <row r="2047">
          <cell r="E2047" t="str">
            <v>Arizona v California</v>
          </cell>
          <cell r="I2047" t="str">
            <v>CG</v>
          </cell>
          <cell r="K2047" t="str">
            <v>IPP</v>
          </cell>
          <cell r="M2047">
            <v>10.9103767375169</v>
          </cell>
          <cell r="N2047">
            <v>2</v>
          </cell>
        </row>
        <row r="2048">
          <cell r="E2048" t="str">
            <v>Arizona v California</v>
          </cell>
          <cell r="I2048" t="str">
            <v>CG</v>
          </cell>
          <cell r="K2048" t="str">
            <v>F</v>
          </cell>
          <cell r="M2048">
            <v>0.53737795638819696</v>
          </cell>
          <cell r="N2048">
            <v>4</v>
          </cell>
        </row>
        <row r="2049">
          <cell r="E2049" t="str">
            <v>Arizona v California</v>
          </cell>
          <cell r="I2049" t="str">
            <v>CG</v>
          </cell>
          <cell r="K2049" t="str">
            <v>F</v>
          </cell>
          <cell r="M2049">
            <v>14.5187245402799</v>
          </cell>
          <cell r="N2049">
            <v>4</v>
          </cell>
        </row>
        <row r="2050">
          <cell r="E2050" t="str">
            <v>Arizona v California</v>
          </cell>
          <cell r="I2050" t="str">
            <v>CG</v>
          </cell>
          <cell r="K2050" t="str">
            <v>F</v>
          </cell>
          <cell r="M2050">
            <v>19.0850591071592</v>
          </cell>
          <cell r="N2050">
            <v>4</v>
          </cell>
        </row>
        <row r="2051">
          <cell r="E2051" t="str">
            <v>Arizona v California</v>
          </cell>
          <cell r="I2051" t="str">
            <v>CG</v>
          </cell>
          <cell r="K2051" t="str">
            <v>F</v>
          </cell>
          <cell r="M2051">
            <v>3.4830284204373001</v>
          </cell>
          <cell r="N2051">
            <v>4</v>
          </cell>
        </row>
        <row r="2052">
          <cell r="E2052" t="str">
            <v>Arizona v California</v>
          </cell>
          <cell r="I2052" t="str">
            <v>CG</v>
          </cell>
          <cell r="K2052" t="str">
            <v>INP</v>
          </cell>
          <cell r="M2052">
            <v>6.7158240814828103</v>
          </cell>
          <cell r="N2052">
            <v>1</v>
          </cell>
        </row>
        <row r="2053">
          <cell r="E2053" t="str">
            <v>Arizona v California</v>
          </cell>
          <cell r="I2053" t="str">
            <v>CG</v>
          </cell>
          <cell r="K2053" t="str">
            <v>F</v>
          </cell>
          <cell r="M2053">
            <v>11.901105303773701</v>
          </cell>
          <cell r="N2053">
            <v>4</v>
          </cell>
        </row>
        <row r="2054">
          <cell r="E2054" t="str">
            <v>Arizona v California</v>
          </cell>
          <cell r="I2054" t="str">
            <v>CG</v>
          </cell>
          <cell r="K2054" t="str">
            <v>INP</v>
          </cell>
          <cell r="M2054">
            <v>1.8479774802648199</v>
          </cell>
          <cell r="N2054">
            <v>1</v>
          </cell>
        </row>
        <row r="2055">
          <cell r="E2055" t="str">
            <v>Arizona v California</v>
          </cell>
          <cell r="I2055" t="str">
            <v>CG</v>
          </cell>
          <cell r="K2055" t="str">
            <v>F</v>
          </cell>
          <cell r="M2055">
            <v>1.32635579082011</v>
          </cell>
          <cell r="N2055">
            <v>4</v>
          </cell>
        </row>
        <row r="2056">
          <cell r="E2056" t="str">
            <v>Arizona v California</v>
          </cell>
          <cell r="I2056" t="str">
            <v>CG</v>
          </cell>
          <cell r="K2056" t="str">
            <v>F</v>
          </cell>
          <cell r="M2056">
            <v>1.3694001034083201</v>
          </cell>
          <cell r="N2056">
            <v>4</v>
          </cell>
        </row>
        <row r="2057">
          <cell r="E2057" t="str">
            <v>Arizona v California</v>
          </cell>
          <cell r="I2057" t="str">
            <v>CG</v>
          </cell>
          <cell r="K2057" t="str">
            <v>IPP</v>
          </cell>
          <cell r="M2057">
            <v>1.3476868149060199</v>
          </cell>
          <cell r="N2057">
            <v>2</v>
          </cell>
        </row>
        <row r="2058">
          <cell r="E2058" t="str">
            <v>Arizona v California</v>
          </cell>
          <cell r="I2058" t="str">
            <v>CG</v>
          </cell>
          <cell r="K2058" t="str">
            <v>IPP</v>
          </cell>
          <cell r="M2058">
            <v>0.88965692725609202</v>
          </cell>
          <cell r="N2058">
            <v>2</v>
          </cell>
        </row>
        <row r="2059">
          <cell r="E2059" t="str">
            <v>Arizona v California</v>
          </cell>
          <cell r="I2059" t="str">
            <v>CG</v>
          </cell>
          <cell r="K2059" t="str">
            <v>F</v>
          </cell>
          <cell r="M2059">
            <v>1.16057661303848</v>
          </cell>
          <cell r="N2059">
            <v>4</v>
          </cell>
        </row>
        <row r="2060">
          <cell r="E2060" t="str">
            <v>Arizona v California</v>
          </cell>
          <cell r="I2060" t="str">
            <v>CG</v>
          </cell>
          <cell r="K2060" t="str">
            <v>F</v>
          </cell>
          <cell r="M2060">
            <v>1.3722680863635599</v>
          </cell>
          <cell r="N2060">
            <v>4</v>
          </cell>
        </row>
        <row r="2061">
          <cell r="E2061" t="str">
            <v>Arizona v California</v>
          </cell>
          <cell r="I2061" t="str">
            <v>CG</v>
          </cell>
          <cell r="K2061" t="str">
            <v>Res,W</v>
          </cell>
          <cell r="M2061">
            <v>8.3798345711336E-2</v>
          </cell>
          <cell r="N2061">
            <v>4</v>
          </cell>
        </row>
        <row r="2062">
          <cell r="E2062" t="str">
            <v>Arizona v California</v>
          </cell>
          <cell r="I2062" t="str">
            <v>CG</v>
          </cell>
          <cell r="K2062" t="str">
            <v>INP</v>
          </cell>
          <cell r="M2062">
            <v>0.58808647238540201</v>
          </cell>
          <cell r="N2062">
            <v>1</v>
          </cell>
        </row>
        <row r="2063">
          <cell r="E2063" t="str">
            <v>Arizona v California</v>
          </cell>
          <cell r="I2063" t="str">
            <v>CG</v>
          </cell>
          <cell r="K2063" t="str">
            <v>IPP</v>
          </cell>
          <cell r="M2063">
            <v>5.2128679140746002</v>
          </cell>
          <cell r="N2063">
            <v>1</v>
          </cell>
        </row>
        <row r="2064">
          <cell r="E2064" t="str">
            <v>Arizona v California</v>
          </cell>
          <cell r="I2064" t="str">
            <v>CG</v>
          </cell>
          <cell r="K2064" t="str">
            <v>Res,D</v>
          </cell>
          <cell r="M2064">
            <v>0.75161225358586103</v>
          </cell>
          <cell r="N2064">
            <v>4</v>
          </cell>
        </row>
        <row r="2065">
          <cell r="E2065" t="str">
            <v>Arizona v California</v>
          </cell>
          <cell r="I2065" t="str">
            <v>CG</v>
          </cell>
          <cell r="K2065" t="str">
            <v>IPP</v>
          </cell>
          <cell r="M2065">
            <v>10.1427518920433</v>
          </cell>
          <cell r="N2065">
            <v>1</v>
          </cell>
        </row>
        <row r="2066">
          <cell r="E2066" t="str">
            <v>Arizona v California</v>
          </cell>
          <cell r="I2066" t="str">
            <v>CG</v>
          </cell>
          <cell r="K2066" t="str">
            <v>F</v>
          </cell>
          <cell r="M2066">
            <v>3.4628388342276302</v>
          </cell>
          <cell r="N2066">
            <v>4</v>
          </cell>
        </row>
        <row r="2067">
          <cell r="E2067" t="str">
            <v>Arizona v California</v>
          </cell>
          <cell r="I2067" t="str">
            <v>CG</v>
          </cell>
          <cell r="K2067" t="str">
            <v>IPP</v>
          </cell>
          <cell r="M2067">
            <v>4.5149616141061104</v>
          </cell>
          <cell r="N2067">
            <v>1</v>
          </cell>
        </row>
        <row r="2068">
          <cell r="E2068" t="str">
            <v>Arizona v California</v>
          </cell>
          <cell r="I2068" t="str">
            <v>CG</v>
          </cell>
          <cell r="K2068" t="str">
            <v>IPP</v>
          </cell>
          <cell r="M2068">
            <v>3.0575137931786398</v>
          </cell>
          <cell r="N2068">
            <v>1</v>
          </cell>
        </row>
        <row r="2069">
          <cell r="E2069" t="str">
            <v>Arizona v California</v>
          </cell>
          <cell r="I2069" t="str">
            <v>CG</v>
          </cell>
          <cell r="K2069" t="str">
            <v>F</v>
          </cell>
          <cell r="M2069">
            <v>12.356548674939599</v>
          </cell>
          <cell r="N2069">
            <v>4</v>
          </cell>
        </row>
        <row r="2070">
          <cell r="E2070" t="str">
            <v>Arizona v California</v>
          </cell>
          <cell r="I2070" t="str">
            <v>CG</v>
          </cell>
          <cell r="K2070" t="str">
            <v>IPP</v>
          </cell>
          <cell r="M2070">
            <v>3.9536448371681598</v>
          </cell>
          <cell r="N2070">
            <v>1</v>
          </cell>
        </row>
        <row r="2071">
          <cell r="E2071" t="str">
            <v>Arizona v California</v>
          </cell>
          <cell r="I2071" t="str">
            <v>CG</v>
          </cell>
          <cell r="K2071" t="str">
            <v>F</v>
          </cell>
          <cell r="M2071">
            <v>15.7588646906531</v>
          </cell>
          <cell r="N2071">
            <v>4</v>
          </cell>
        </row>
        <row r="2072">
          <cell r="E2072" t="str">
            <v>Arizona v California</v>
          </cell>
          <cell r="I2072" t="str">
            <v>CG</v>
          </cell>
          <cell r="K2072" t="str">
            <v>F</v>
          </cell>
          <cell r="M2072">
            <v>1.41132656834166</v>
          </cell>
          <cell r="N2072">
            <v>4</v>
          </cell>
        </row>
        <row r="2073">
          <cell r="E2073" t="str">
            <v>Arizona v California</v>
          </cell>
          <cell r="I2073" t="str">
            <v>CG</v>
          </cell>
          <cell r="K2073" t="str">
            <v>IPP</v>
          </cell>
          <cell r="M2073">
            <v>7.3734315085322804</v>
          </cell>
          <cell r="N2073">
            <v>1</v>
          </cell>
        </row>
        <row r="2074">
          <cell r="E2074" t="str">
            <v>Arizona v California</v>
          </cell>
          <cell r="I2074" t="str">
            <v>CG</v>
          </cell>
          <cell r="K2074" t="str">
            <v>F</v>
          </cell>
          <cell r="M2074">
            <v>7.6736372185687296</v>
          </cell>
          <cell r="N2074">
            <v>4</v>
          </cell>
        </row>
        <row r="2075">
          <cell r="E2075" t="str">
            <v>Arizona v California</v>
          </cell>
          <cell r="I2075" t="str">
            <v>CG</v>
          </cell>
          <cell r="K2075" t="str">
            <v>IPP</v>
          </cell>
          <cell r="M2075">
            <v>0.43293652537536398</v>
          </cell>
          <cell r="N2075">
            <v>1</v>
          </cell>
        </row>
        <row r="2076">
          <cell r="E2076" t="str">
            <v>Arizona v California</v>
          </cell>
          <cell r="I2076" t="str">
            <v>CG</v>
          </cell>
          <cell r="K2076" t="str">
            <v>IPP</v>
          </cell>
          <cell r="M2076">
            <v>15.348317605973101</v>
          </cell>
          <cell r="N2076">
            <v>1</v>
          </cell>
        </row>
        <row r="2077">
          <cell r="E2077" t="str">
            <v>Arizona v California</v>
          </cell>
          <cell r="I2077" t="str">
            <v>CG</v>
          </cell>
          <cell r="K2077" t="str">
            <v>INP</v>
          </cell>
          <cell r="M2077">
            <v>1.1779952252592001</v>
          </cell>
          <cell r="N2077">
            <v>2</v>
          </cell>
        </row>
        <row r="2078">
          <cell r="E2078" t="str">
            <v>Arizona v California</v>
          </cell>
          <cell r="I2078" t="str">
            <v>CG</v>
          </cell>
          <cell r="K2078" t="str">
            <v>F</v>
          </cell>
          <cell r="M2078">
            <v>3.9143762939685298</v>
          </cell>
          <cell r="N2078">
            <v>4</v>
          </cell>
        </row>
        <row r="2079">
          <cell r="E2079" t="str">
            <v>Arizona v California</v>
          </cell>
          <cell r="I2079" t="str">
            <v>CG</v>
          </cell>
          <cell r="K2079" t="str">
            <v>DSL</v>
          </cell>
          <cell r="M2079">
            <v>0.65521010257985501</v>
          </cell>
          <cell r="N2079">
            <v>1</v>
          </cell>
        </row>
        <row r="2080">
          <cell r="E2080" t="str">
            <v>Arizona v California</v>
          </cell>
          <cell r="I2080" t="str">
            <v>CG</v>
          </cell>
          <cell r="K2080" t="str">
            <v>H</v>
          </cell>
          <cell r="M2080">
            <v>0.31679162046126802</v>
          </cell>
          <cell r="N2080">
            <v>1</v>
          </cell>
        </row>
        <row r="2081">
          <cell r="E2081" t="str">
            <v>Arizona v California</v>
          </cell>
          <cell r="I2081" t="str">
            <v>CG</v>
          </cell>
          <cell r="K2081" t="str">
            <v>F</v>
          </cell>
          <cell r="M2081">
            <v>1.2473335094340099</v>
          </cell>
          <cell r="N2081">
            <v>4</v>
          </cell>
        </row>
        <row r="2082">
          <cell r="E2082" t="str">
            <v>Arizona v California</v>
          </cell>
          <cell r="I2082" t="str">
            <v>CG</v>
          </cell>
          <cell r="K2082" t="str">
            <v>F</v>
          </cell>
          <cell r="M2082">
            <v>9.6880446635572497</v>
          </cell>
          <cell r="N2082">
            <v>4</v>
          </cell>
        </row>
        <row r="2083">
          <cell r="E2083" t="str">
            <v>Arizona v California</v>
          </cell>
          <cell r="I2083" t="str">
            <v>CG</v>
          </cell>
          <cell r="K2083" t="str">
            <v>IPP</v>
          </cell>
          <cell r="M2083">
            <v>7.7986156992429096</v>
          </cell>
          <cell r="N2083">
            <v>1</v>
          </cell>
        </row>
        <row r="2084">
          <cell r="E2084" t="str">
            <v>Arizona v California</v>
          </cell>
          <cell r="I2084" t="str">
            <v>CG</v>
          </cell>
          <cell r="K2084" t="str">
            <v>F</v>
          </cell>
          <cell r="M2084">
            <v>0.10132046354942199</v>
          </cell>
          <cell r="N2084">
            <v>4</v>
          </cell>
        </row>
        <row r="2085">
          <cell r="E2085" t="str">
            <v>Arizona v California</v>
          </cell>
          <cell r="I2085" t="str">
            <v>CG</v>
          </cell>
          <cell r="K2085" t="str">
            <v>F</v>
          </cell>
          <cell r="M2085">
            <v>0.34021200046248501</v>
          </cell>
          <cell r="N2085">
            <v>4</v>
          </cell>
        </row>
        <row r="2086">
          <cell r="E2086" t="str">
            <v>Arizona v California</v>
          </cell>
          <cell r="I2086" t="str">
            <v>CG</v>
          </cell>
          <cell r="K2086" t="str">
            <v>INP</v>
          </cell>
          <cell r="M2086">
            <v>1.81852846858678</v>
          </cell>
          <cell r="N2086">
            <v>2</v>
          </cell>
        </row>
        <row r="2087">
          <cell r="E2087" t="str">
            <v>Arizona v California</v>
          </cell>
          <cell r="I2087" t="str">
            <v>CG</v>
          </cell>
          <cell r="K2087" t="str">
            <v>F</v>
          </cell>
          <cell r="M2087">
            <v>11.4689439373117</v>
          </cell>
          <cell r="N2087">
            <v>4</v>
          </cell>
        </row>
        <row r="2088">
          <cell r="E2088" t="str">
            <v>Arizona v California</v>
          </cell>
          <cell r="I2088" t="str">
            <v>CG</v>
          </cell>
          <cell r="K2088" t="str">
            <v>F</v>
          </cell>
          <cell r="M2088">
            <v>2.15948061921886</v>
          </cell>
          <cell r="N2088">
            <v>4</v>
          </cell>
        </row>
        <row r="2089">
          <cell r="E2089" t="str">
            <v>Arizona v California</v>
          </cell>
          <cell r="I2089" t="str">
            <v>CG</v>
          </cell>
          <cell r="K2089" t="str">
            <v>Res,D</v>
          </cell>
          <cell r="M2089">
            <v>0.62333092198374496</v>
          </cell>
          <cell r="N2089">
            <v>4</v>
          </cell>
        </row>
        <row r="2090">
          <cell r="E2090" t="str">
            <v>Arizona v California</v>
          </cell>
          <cell r="I2090" t="str">
            <v>CG</v>
          </cell>
          <cell r="K2090" t="str">
            <v>H</v>
          </cell>
          <cell r="M2090">
            <v>4.33327253250686</v>
          </cell>
          <cell r="N2090">
            <v>1</v>
          </cell>
        </row>
        <row r="2091">
          <cell r="E2091" t="str">
            <v>Arizona v California</v>
          </cell>
          <cell r="I2091" t="str">
            <v>CG</v>
          </cell>
          <cell r="K2091" t="str">
            <v>DSL</v>
          </cell>
          <cell r="M2091">
            <v>0.52381770183093801</v>
          </cell>
          <cell r="N2091">
            <v>2</v>
          </cell>
        </row>
        <row r="2092">
          <cell r="E2092" t="str">
            <v>Arizona v California</v>
          </cell>
          <cell r="I2092" t="str">
            <v>CG</v>
          </cell>
          <cell r="K2092" t="str">
            <v>F</v>
          </cell>
          <cell r="M2092">
            <v>0.22670193845994699</v>
          </cell>
          <cell r="N2092">
            <v>4</v>
          </cell>
        </row>
        <row r="2093">
          <cell r="E2093" t="str">
            <v>Arizona v California</v>
          </cell>
          <cell r="I2093" t="str">
            <v>CG</v>
          </cell>
          <cell r="K2093" t="str">
            <v>INP</v>
          </cell>
          <cell r="M2093">
            <v>17.4383291382292</v>
          </cell>
          <cell r="N2093">
            <v>1</v>
          </cell>
        </row>
        <row r="2094">
          <cell r="E2094" t="str">
            <v>Arizona v California</v>
          </cell>
          <cell r="I2094" t="str">
            <v>CG</v>
          </cell>
          <cell r="K2094" t="str">
            <v>F</v>
          </cell>
          <cell r="M2094">
            <v>1.4477005382063199</v>
          </cell>
          <cell r="N2094">
            <v>4</v>
          </cell>
        </row>
        <row r="2095">
          <cell r="E2095" t="str">
            <v>Arizona v California</v>
          </cell>
          <cell r="I2095" t="str">
            <v>CG</v>
          </cell>
          <cell r="K2095" t="str">
            <v>DSL</v>
          </cell>
          <cell r="M2095">
            <v>7.1065685293014005E-2</v>
          </cell>
          <cell r="N2095">
            <v>2</v>
          </cell>
        </row>
        <row r="2096">
          <cell r="E2096" t="str">
            <v>Arizona v California</v>
          </cell>
          <cell r="I2096" t="str">
            <v>CG</v>
          </cell>
          <cell r="K2096" t="str">
            <v>IPP</v>
          </cell>
          <cell r="M2096">
            <v>2.1521610482756199</v>
          </cell>
          <cell r="N2096">
            <v>1</v>
          </cell>
        </row>
        <row r="2097">
          <cell r="E2097" t="str">
            <v>Arizona v California</v>
          </cell>
          <cell r="I2097" t="str">
            <v>CG</v>
          </cell>
          <cell r="K2097" t="str">
            <v>F</v>
          </cell>
          <cell r="M2097">
            <v>1.6890448519096799</v>
          </cell>
          <cell r="N2097">
            <v>4</v>
          </cell>
        </row>
        <row r="2098">
          <cell r="E2098" t="str">
            <v>Arizona v California</v>
          </cell>
          <cell r="I2098" t="str">
            <v>CG</v>
          </cell>
          <cell r="K2098" t="str">
            <v>F</v>
          </cell>
          <cell r="M2098">
            <v>1.66231011870782</v>
          </cell>
          <cell r="N2098">
            <v>4</v>
          </cell>
        </row>
        <row r="2099">
          <cell r="E2099" t="str">
            <v>Arizona v California</v>
          </cell>
          <cell r="I2099" t="str">
            <v>CG</v>
          </cell>
          <cell r="K2099" t="str">
            <v>F</v>
          </cell>
          <cell r="M2099">
            <v>2.40687045994023</v>
          </cell>
          <cell r="N2099">
            <v>4</v>
          </cell>
        </row>
        <row r="2100">
          <cell r="E2100" t="str">
            <v>Arizona v California</v>
          </cell>
          <cell r="I2100" t="str">
            <v>CG</v>
          </cell>
          <cell r="K2100" t="str">
            <v>F</v>
          </cell>
          <cell r="M2100">
            <v>16.986176342120199</v>
          </cell>
          <cell r="N2100">
            <v>4</v>
          </cell>
        </row>
        <row r="2101">
          <cell r="E2101" t="str">
            <v>Arizona v California</v>
          </cell>
          <cell r="I2101" t="str">
            <v>CG</v>
          </cell>
          <cell r="K2101" t="str">
            <v>F</v>
          </cell>
          <cell r="M2101">
            <v>4.5603407756883199</v>
          </cell>
          <cell r="N2101">
            <v>4</v>
          </cell>
        </row>
        <row r="2102">
          <cell r="E2102" t="str">
            <v>Arizona v California</v>
          </cell>
          <cell r="I2102" t="str">
            <v>CG</v>
          </cell>
          <cell r="K2102" t="str">
            <v>F</v>
          </cell>
          <cell r="M2102">
            <v>0.415001952815516</v>
          </cell>
          <cell r="N2102">
            <v>4</v>
          </cell>
        </row>
        <row r="2103">
          <cell r="E2103" t="str">
            <v>Arizona v California</v>
          </cell>
          <cell r="I2103" t="str">
            <v>CG</v>
          </cell>
          <cell r="K2103" t="str">
            <v>F</v>
          </cell>
          <cell r="M2103">
            <v>4.97310850981449</v>
          </cell>
          <cell r="N2103">
            <v>4</v>
          </cell>
        </row>
        <row r="2104">
          <cell r="E2104" t="str">
            <v>Arizona v California</v>
          </cell>
          <cell r="I2104" t="str">
            <v>CG</v>
          </cell>
          <cell r="K2104" t="str">
            <v>F</v>
          </cell>
          <cell r="M2104">
            <v>4.4175151296790602</v>
          </cell>
          <cell r="N2104">
            <v>4</v>
          </cell>
        </row>
        <row r="2105">
          <cell r="E2105" t="str">
            <v>Arizona v California</v>
          </cell>
          <cell r="I2105" t="str">
            <v>CG</v>
          </cell>
          <cell r="K2105" t="str">
            <v>INP</v>
          </cell>
          <cell r="M2105">
            <v>7.7864205596726199</v>
          </cell>
          <cell r="N2105">
            <v>1</v>
          </cell>
        </row>
        <row r="2106">
          <cell r="E2106" t="str">
            <v>Arizona v California</v>
          </cell>
          <cell r="I2106" t="str">
            <v>CG</v>
          </cell>
          <cell r="K2106" t="str">
            <v>F</v>
          </cell>
          <cell r="M2106">
            <v>2.8867238243744899</v>
          </cell>
          <cell r="N2106">
            <v>4</v>
          </cell>
        </row>
        <row r="2107">
          <cell r="E2107" t="str">
            <v>Arizona v California</v>
          </cell>
          <cell r="I2107" t="str">
            <v>CG</v>
          </cell>
          <cell r="K2107" t="str">
            <v>F</v>
          </cell>
          <cell r="M2107">
            <v>2.6426447409559302</v>
          </cell>
          <cell r="N2107">
            <v>4</v>
          </cell>
        </row>
        <row r="2108">
          <cell r="E2108" t="str">
            <v>Arizona v California</v>
          </cell>
          <cell r="I2108" t="str">
            <v>CG</v>
          </cell>
          <cell r="K2108" t="str">
            <v>F</v>
          </cell>
          <cell r="M2108">
            <v>0.54608411952661995</v>
          </cell>
          <cell r="N2108">
            <v>4</v>
          </cell>
        </row>
        <row r="2109">
          <cell r="E2109" t="str">
            <v>Arizona v California</v>
          </cell>
          <cell r="I2109" t="str">
            <v>CG</v>
          </cell>
          <cell r="K2109" t="str">
            <v>F</v>
          </cell>
          <cell r="M2109">
            <v>3.5268987130492202</v>
          </cell>
          <cell r="N2109">
            <v>4</v>
          </cell>
        </row>
        <row r="2110">
          <cell r="E2110" t="str">
            <v>Arizona v California</v>
          </cell>
          <cell r="I2110" t="str">
            <v>CG</v>
          </cell>
          <cell r="K2110" t="str">
            <v>F</v>
          </cell>
          <cell r="M2110">
            <v>23.519630139237499</v>
          </cell>
          <cell r="N2110">
            <v>4</v>
          </cell>
        </row>
        <row r="2111">
          <cell r="E2111" t="str">
            <v>Arizona v California</v>
          </cell>
          <cell r="I2111" t="str">
            <v>CG</v>
          </cell>
          <cell r="K2111" t="str">
            <v>F</v>
          </cell>
          <cell r="M2111">
            <v>9.2571995146926298</v>
          </cell>
          <cell r="N2111">
            <v>4</v>
          </cell>
        </row>
        <row r="2112">
          <cell r="E2112" t="str">
            <v>Arizona v California</v>
          </cell>
          <cell r="I2112" t="str">
            <v>CG</v>
          </cell>
          <cell r="K2112" t="str">
            <v>F</v>
          </cell>
          <cell r="M2112">
            <v>0.50820204350258102</v>
          </cell>
          <cell r="N2112">
            <v>4</v>
          </cell>
        </row>
        <row r="2113">
          <cell r="E2113" t="str">
            <v>Arizona v California</v>
          </cell>
          <cell r="I2113" t="str">
            <v>CG</v>
          </cell>
          <cell r="K2113" t="str">
            <v>F</v>
          </cell>
          <cell r="M2113">
            <v>8.7158895703789999E-2</v>
          </cell>
          <cell r="N2113">
            <v>4</v>
          </cell>
        </row>
        <row r="2114">
          <cell r="E2114" t="str">
            <v>Arizona v California</v>
          </cell>
          <cell r="I2114" t="str">
            <v>CG</v>
          </cell>
          <cell r="K2114" t="str">
            <v>F</v>
          </cell>
          <cell r="M2114">
            <v>17.4007393602474</v>
          </cell>
          <cell r="N2114">
            <v>4</v>
          </cell>
        </row>
        <row r="2115">
          <cell r="E2115" t="str">
            <v>Arizona v California</v>
          </cell>
          <cell r="I2115" t="str">
            <v>CG</v>
          </cell>
          <cell r="K2115" t="str">
            <v>F</v>
          </cell>
          <cell r="M2115">
            <v>5.0986906864238097</v>
          </cell>
          <cell r="N2115">
            <v>4</v>
          </cell>
        </row>
        <row r="2116">
          <cell r="E2116" t="str">
            <v>Arizona v California</v>
          </cell>
          <cell r="I2116" t="str">
            <v>CG</v>
          </cell>
          <cell r="K2116" t="str">
            <v>F</v>
          </cell>
          <cell r="M2116">
            <v>3.1729433248799901</v>
          </cell>
          <cell r="N2116">
            <v>4</v>
          </cell>
        </row>
        <row r="2117">
          <cell r="E2117" t="str">
            <v>Arizona v California</v>
          </cell>
          <cell r="I2117" t="str">
            <v>CG</v>
          </cell>
          <cell r="K2117" t="str">
            <v>SSG</v>
          </cell>
          <cell r="M2117">
            <v>42.136414339443498</v>
          </cell>
          <cell r="N2117">
            <v>1</v>
          </cell>
        </row>
        <row r="2118">
          <cell r="E2118" t="str">
            <v>Arizona v California</v>
          </cell>
          <cell r="I2118" t="str">
            <v>CG</v>
          </cell>
          <cell r="K2118" t="str">
            <v>F</v>
          </cell>
          <cell r="M2118">
            <v>16.530275411304</v>
          </cell>
          <cell r="N2118">
            <v>4</v>
          </cell>
        </row>
        <row r="2119">
          <cell r="E2119" t="str">
            <v>Arizona v California</v>
          </cell>
          <cell r="I2119" t="str">
            <v>CG</v>
          </cell>
          <cell r="K2119" t="str">
            <v>F</v>
          </cell>
          <cell r="M2119">
            <v>1.7834555557234499</v>
          </cell>
          <cell r="N2119">
            <v>4</v>
          </cell>
        </row>
        <row r="2120">
          <cell r="E2120" t="str">
            <v>Arizona v California</v>
          </cell>
          <cell r="I2120" t="str">
            <v>CG</v>
          </cell>
          <cell r="K2120" t="str">
            <v>F</v>
          </cell>
          <cell r="M2120">
            <v>0.82349227885506104</v>
          </cell>
          <cell r="N2120">
            <v>4</v>
          </cell>
        </row>
        <row r="2121">
          <cell r="E2121" t="str">
            <v>Arizona v California</v>
          </cell>
          <cell r="I2121" t="str">
            <v>CG</v>
          </cell>
          <cell r="K2121" t="str">
            <v>F</v>
          </cell>
          <cell r="M2121">
            <v>3.18700268372113</v>
          </cell>
          <cell r="N2121">
            <v>4</v>
          </cell>
        </row>
        <row r="2122">
          <cell r="E2122" t="str">
            <v>Arizona v California</v>
          </cell>
          <cell r="I2122" t="str">
            <v>CG</v>
          </cell>
          <cell r="K2122" t="str">
            <v>F</v>
          </cell>
          <cell r="M2122">
            <v>33.200577358304898</v>
          </cell>
          <cell r="N2122">
            <v>4</v>
          </cell>
        </row>
        <row r="2123">
          <cell r="E2123" t="str">
            <v>Arizona v California</v>
          </cell>
          <cell r="I2123" t="str">
            <v>CG</v>
          </cell>
          <cell r="K2123" t="str">
            <v>F</v>
          </cell>
          <cell r="M2123">
            <v>5.2557180299319501</v>
          </cell>
          <cell r="N2123">
            <v>4</v>
          </cell>
        </row>
        <row r="2124">
          <cell r="E2124" t="str">
            <v>Arizona v California</v>
          </cell>
          <cell r="I2124" t="str">
            <v>CG</v>
          </cell>
          <cell r="K2124" t="str">
            <v>DSL</v>
          </cell>
          <cell r="M2124">
            <v>0.114919743601897</v>
          </cell>
          <cell r="N2124">
            <v>2</v>
          </cell>
        </row>
        <row r="2125">
          <cell r="E2125" t="str">
            <v>Arizona v California</v>
          </cell>
          <cell r="I2125" t="str">
            <v>CG</v>
          </cell>
          <cell r="K2125" t="str">
            <v>F</v>
          </cell>
          <cell r="M2125">
            <v>0.27866111306643998</v>
          </cell>
          <cell r="N2125">
            <v>4</v>
          </cell>
        </row>
        <row r="2126">
          <cell r="E2126" t="str">
            <v>Arizona v California</v>
          </cell>
          <cell r="I2126" t="str">
            <v>CG</v>
          </cell>
          <cell r="K2126" t="str">
            <v>F</v>
          </cell>
          <cell r="M2126">
            <v>0.21469233511612501</v>
          </cell>
          <cell r="N2126">
            <v>4</v>
          </cell>
        </row>
        <row r="2127">
          <cell r="E2127" t="str">
            <v>Arizona v California</v>
          </cell>
          <cell r="I2127" t="str">
            <v>CG</v>
          </cell>
          <cell r="K2127" t="str">
            <v>F</v>
          </cell>
          <cell r="M2127">
            <v>22.1550405968412</v>
          </cell>
          <cell r="N2127">
            <v>4</v>
          </cell>
        </row>
        <row r="2128">
          <cell r="E2128" t="str">
            <v>Arizona v California</v>
          </cell>
          <cell r="I2128" t="str">
            <v>CG</v>
          </cell>
          <cell r="K2128" t="str">
            <v>DSL</v>
          </cell>
          <cell r="M2128">
            <v>9.9649162343221007E-2</v>
          </cell>
          <cell r="N2128">
            <v>2</v>
          </cell>
        </row>
        <row r="2129">
          <cell r="E2129" t="str">
            <v>Arizona v California</v>
          </cell>
          <cell r="I2129" t="str">
            <v>CG</v>
          </cell>
          <cell r="K2129" t="str">
            <v>DSL</v>
          </cell>
          <cell r="M2129">
            <v>4.6640069953562999E-2</v>
          </cell>
          <cell r="N2129">
            <v>1</v>
          </cell>
        </row>
        <row r="2130">
          <cell r="E2130" t="str">
            <v>Arizona v California</v>
          </cell>
          <cell r="I2130" t="str">
            <v>CG</v>
          </cell>
          <cell r="K2130" t="str">
            <v>DSL</v>
          </cell>
          <cell r="M2130">
            <v>0.11105161166355899</v>
          </cell>
          <cell r="N2130">
            <v>1</v>
          </cell>
        </row>
        <row r="2131">
          <cell r="E2131" t="str">
            <v>Arizona v California</v>
          </cell>
          <cell r="I2131" t="str">
            <v>CG</v>
          </cell>
          <cell r="K2131" t="str">
            <v>F</v>
          </cell>
          <cell r="M2131">
            <v>5.6543448445712997E-2</v>
          </cell>
          <cell r="N2131">
            <v>4</v>
          </cell>
        </row>
        <row r="2132">
          <cell r="E2132" t="str">
            <v>Arizona v California</v>
          </cell>
          <cell r="I2132" t="str">
            <v>CG</v>
          </cell>
          <cell r="K2132" t="str">
            <v>INP</v>
          </cell>
          <cell r="M2132">
            <v>5.3003360724888999</v>
          </cell>
          <cell r="N2132">
            <v>1</v>
          </cell>
        </row>
        <row r="2133">
          <cell r="E2133" t="str">
            <v>Arizona v California</v>
          </cell>
          <cell r="I2133" t="str">
            <v>CG</v>
          </cell>
          <cell r="K2133" t="str">
            <v>DSL</v>
          </cell>
          <cell r="M2133">
            <v>4.4045015842073001E-2</v>
          </cell>
          <cell r="N2133">
            <v>2</v>
          </cell>
        </row>
        <row r="2134">
          <cell r="E2134" t="str">
            <v>Arizona v California</v>
          </cell>
          <cell r="I2134" t="str">
            <v>CG</v>
          </cell>
          <cell r="K2134" t="str">
            <v>F</v>
          </cell>
          <cell r="M2134">
            <v>7.3011589728659995E-2</v>
          </cell>
          <cell r="N2134">
            <v>4</v>
          </cell>
        </row>
        <row r="2135">
          <cell r="E2135" t="str">
            <v>Arizona v California</v>
          </cell>
          <cell r="I2135" t="str">
            <v>CG</v>
          </cell>
          <cell r="K2135" t="str">
            <v>INP</v>
          </cell>
          <cell r="M2135">
            <v>0.83820471526146501</v>
          </cell>
          <cell r="N2135">
            <v>1</v>
          </cell>
        </row>
        <row r="2136">
          <cell r="E2136" t="str">
            <v>Arizona v California</v>
          </cell>
          <cell r="I2136" t="str">
            <v>CG</v>
          </cell>
          <cell r="K2136" t="str">
            <v>F</v>
          </cell>
          <cell r="M2136">
            <v>3.2022793498215498</v>
          </cell>
          <cell r="N2136">
            <v>4</v>
          </cell>
        </row>
        <row r="2137">
          <cell r="E2137" t="str">
            <v>Arizona v California</v>
          </cell>
          <cell r="I2137" t="str">
            <v>CG</v>
          </cell>
          <cell r="K2137" t="str">
            <v>IPP</v>
          </cell>
          <cell r="M2137">
            <v>1.1574268261423999</v>
          </cell>
          <cell r="N2137">
            <v>1</v>
          </cell>
        </row>
        <row r="2138">
          <cell r="E2138" t="str">
            <v>Arizona v California</v>
          </cell>
          <cell r="I2138" t="str">
            <v>CG</v>
          </cell>
          <cell r="K2138" t="str">
            <v>IPP</v>
          </cell>
          <cell r="M2138">
            <v>0.64481589309645804</v>
          </cell>
          <cell r="N2138">
            <v>1</v>
          </cell>
        </row>
        <row r="2139">
          <cell r="E2139" t="str">
            <v>Arizona v California</v>
          </cell>
          <cell r="I2139" t="str">
            <v>CG</v>
          </cell>
          <cell r="K2139" t="str">
            <v>PG</v>
          </cell>
          <cell r="M2139">
            <v>8.28805306040225</v>
          </cell>
          <cell r="N2139">
            <v>1</v>
          </cell>
        </row>
        <row r="2140">
          <cell r="E2140" t="str">
            <v>Arizona v California</v>
          </cell>
          <cell r="I2140" t="str">
            <v>CG</v>
          </cell>
          <cell r="K2140" t="str">
            <v>F</v>
          </cell>
          <cell r="M2140">
            <v>1.3886380667175799</v>
          </cell>
          <cell r="N2140">
            <v>4</v>
          </cell>
        </row>
        <row r="2141">
          <cell r="E2141" t="str">
            <v>Arizona v California</v>
          </cell>
          <cell r="I2141" t="str">
            <v>CG</v>
          </cell>
          <cell r="K2141" t="str">
            <v>DSL</v>
          </cell>
          <cell r="M2141">
            <v>0.50585847708834397</v>
          </cell>
          <cell r="N2141">
            <v>2</v>
          </cell>
        </row>
        <row r="2142">
          <cell r="E2142" t="str">
            <v>Arizona v California</v>
          </cell>
          <cell r="I2142" t="str">
            <v>CG</v>
          </cell>
          <cell r="K2142" t="str">
            <v>DSL</v>
          </cell>
          <cell r="M2142">
            <v>1.3076992432476899</v>
          </cell>
          <cell r="N2142">
            <v>2</v>
          </cell>
        </row>
        <row r="2143">
          <cell r="E2143" t="str">
            <v>Arizona v California</v>
          </cell>
          <cell r="I2143" t="str">
            <v>CG</v>
          </cell>
          <cell r="K2143" t="str">
            <v>F</v>
          </cell>
          <cell r="M2143">
            <v>1.1299402137268</v>
          </cell>
          <cell r="N2143">
            <v>4</v>
          </cell>
        </row>
        <row r="2144">
          <cell r="E2144" t="str">
            <v>Arizona v California</v>
          </cell>
          <cell r="I2144" t="str">
            <v>CG</v>
          </cell>
          <cell r="K2144" t="str">
            <v>DSL</v>
          </cell>
          <cell r="M2144">
            <v>0.21544611009709899</v>
          </cell>
          <cell r="N2144">
            <v>2</v>
          </cell>
        </row>
        <row r="2145">
          <cell r="E2145" t="str">
            <v>Arizona v California</v>
          </cell>
          <cell r="I2145" t="str">
            <v>CG</v>
          </cell>
          <cell r="K2145" t="str">
            <v>S</v>
          </cell>
          <cell r="M2145">
            <v>6.5125711441740899</v>
          </cell>
          <cell r="N2145">
            <v>5</v>
          </cell>
        </row>
        <row r="2146">
          <cell r="E2146" t="str">
            <v>Arizona v California</v>
          </cell>
          <cell r="I2146" t="str">
            <v>CG</v>
          </cell>
          <cell r="K2146" t="str">
            <v>F</v>
          </cell>
          <cell r="M2146">
            <v>1.92135840622332</v>
          </cell>
          <cell r="N2146">
            <v>4</v>
          </cell>
        </row>
        <row r="2147">
          <cell r="E2147" t="str">
            <v>Arizona v California</v>
          </cell>
          <cell r="I2147" t="str">
            <v>CG</v>
          </cell>
          <cell r="K2147" t="str">
            <v>F</v>
          </cell>
          <cell r="M2147">
            <v>4.2643028438135104</v>
          </cell>
          <cell r="N2147">
            <v>4</v>
          </cell>
        </row>
        <row r="2148">
          <cell r="E2148" t="str">
            <v>Arizona v California</v>
          </cell>
          <cell r="I2148" t="str">
            <v>CG</v>
          </cell>
          <cell r="K2148" t="str">
            <v>F</v>
          </cell>
          <cell r="M2148">
            <v>9.8340380465513597</v>
          </cell>
          <cell r="N2148">
            <v>4</v>
          </cell>
        </row>
        <row r="2149">
          <cell r="E2149" t="str">
            <v>Arizona v California</v>
          </cell>
          <cell r="I2149" t="str">
            <v>CG</v>
          </cell>
          <cell r="K2149" t="str">
            <v>F</v>
          </cell>
          <cell r="M2149">
            <v>10.250507233366999</v>
          </cell>
          <cell r="N2149">
            <v>4</v>
          </cell>
        </row>
        <row r="2150">
          <cell r="E2150" t="str">
            <v>Arizona v California</v>
          </cell>
          <cell r="I2150" t="str">
            <v>CG</v>
          </cell>
          <cell r="K2150" t="str">
            <v>F</v>
          </cell>
          <cell r="M2150">
            <v>0.90047438161298798</v>
          </cell>
          <cell r="N2150">
            <v>4</v>
          </cell>
        </row>
        <row r="2151">
          <cell r="E2151" t="str">
            <v>Arizona v California</v>
          </cell>
          <cell r="I2151" t="str">
            <v>CG</v>
          </cell>
          <cell r="K2151" t="str">
            <v>F</v>
          </cell>
          <cell r="M2151">
            <v>0.27080539755240102</v>
          </cell>
          <cell r="N2151">
            <v>4</v>
          </cell>
        </row>
        <row r="2152">
          <cell r="E2152" t="str">
            <v>Arizona v California</v>
          </cell>
          <cell r="I2152" t="str">
            <v>CG</v>
          </cell>
          <cell r="K2152" t="str">
            <v>DSL</v>
          </cell>
          <cell r="M2152">
            <v>0.14387321700571601</v>
          </cell>
          <cell r="N2152">
            <v>4</v>
          </cell>
        </row>
        <row r="2153">
          <cell r="E2153" t="str">
            <v>Arizona v California</v>
          </cell>
          <cell r="I2153" t="str">
            <v>CG</v>
          </cell>
          <cell r="K2153" t="str">
            <v>F</v>
          </cell>
          <cell r="M2153">
            <v>2.38659023368227</v>
          </cell>
          <cell r="N2153">
            <v>4</v>
          </cell>
        </row>
        <row r="2154">
          <cell r="E2154" t="str">
            <v>Arizona v California</v>
          </cell>
          <cell r="I2154" t="str">
            <v>CG</v>
          </cell>
          <cell r="K2154" t="str">
            <v>F</v>
          </cell>
          <cell r="M2154">
            <v>4.08019057788532</v>
          </cell>
          <cell r="N2154">
            <v>4</v>
          </cell>
        </row>
        <row r="2155">
          <cell r="E2155" t="str">
            <v>Arizona v California</v>
          </cell>
          <cell r="I2155" t="str">
            <v>CG</v>
          </cell>
          <cell r="K2155" t="str">
            <v>F</v>
          </cell>
          <cell r="M2155">
            <v>6.8868160939435999E-2</v>
          </cell>
          <cell r="N2155">
            <v>4</v>
          </cell>
        </row>
        <row r="2156">
          <cell r="E2156" t="str">
            <v>Arizona v California</v>
          </cell>
          <cell r="I2156" t="str">
            <v>CG</v>
          </cell>
          <cell r="K2156" t="str">
            <v>F</v>
          </cell>
          <cell r="M2156">
            <v>4.30625419505082</v>
          </cell>
          <cell r="N2156">
            <v>4</v>
          </cell>
        </row>
        <row r="2157">
          <cell r="E2157" t="str">
            <v>Arizona v California</v>
          </cell>
          <cell r="I2157" t="str">
            <v>CG</v>
          </cell>
          <cell r="K2157" t="str">
            <v>F</v>
          </cell>
          <cell r="M2157">
            <v>3.1902931468853701</v>
          </cell>
          <cell r="N2157">
            <v>4</v>
          </cell>
        </row>
        <row r="2158">
          <cell r="E2158" t="str">
            <v>Arizona v California</v>
          </cell>
          <cell r="I2158" t="str">
            <v>CG</v>
          </cell>
          <cell r="K2158" t="str">
            <v>Stk,D</v>
          </cell>
          <cell r="M2158">
            <v>0.94951256791432004</v>
          </cell>
          <cell r="N2158">
            <v>4</v>
          </cell>
        </row>
        <row r="2159">
          <cell r="E2159" t="str">
            <v>Arizona v California</v>
          </cell>
          <cell r="I2159" t="str">
            <v>CG</v>
          </cell>
          <cell r="K2159" t="str">
            <v>F</v>
          </cell>
          <cell r="M2159">
            <v>3.8901763175756301</v>
          </cell>
          <cell r="N2159">
            <v>4</v>
          </cell>
        </row>
        <row r="2160">
          <cell r="E2160" t="str">
            <v>Arizona v California</v>
          </cell>
          <cell r="I2160" t="str">
            <v>CG</v>
          </cell>
          <cell r="K2160" t="str">
            <v>F</v>
          </cell>
          <cell r="M2160">
            <v>0.77269026710633704</v>
          </cell>
          <cell r="N2160">
            <v>4</v>
          </cell>
        </row>
        <row r="2161">
          <cell r="E2161" t="str">
            <v>Arizona v California</v>
          </cell>
          <cell r="I2161" t="str">
            <v>CG</v>
          </cell>
          <cell r="K2161" t="str">
            <v>Stk,D</v>
          </cell>
          <cell r="M2161">
            <v>1.22575021903565</v>
          </cell>
          <cell r="N2161">
            <v>4</v>
          </cell>
        </row>
        <row r="2162">
          <cell r="E2162" t="str">
            <v>Arizona v California</v>
          </cell>
          <cell r="I2162" t="str">
            <v>CG</v>
          </cell>
          <cell r="K2162" t="str">
            <v>Tw</v>
          </cell>
          <cell r="M2162">
            <v>2.0707794089573399</v>
          </cell>
          <cell r="N2162">
            <v>2</v>
          </cell>
        </row>
        <row r="2163">
          <cell r="E2163" t="str">
            <v>Arizona v California</v>
          </cell>
          <cell r="I2163" t="str">
            <v>CG</v>
          </cell>
          <cell r="K2163" t="str">
            <v>F</v>
          </cell>
          <cell r="M2163">
            <v>4.8975980345983299</v>
          </cell>
          <cell r="N2163">
            <v>4</v>
          </cell>
        </row>
        <row r="2164">
          <cell r="E2164" t="str">
            <v>Arizona v California</v>
          </cell>
          <cell r="I2164" t="str">
            <v>CG</v>
          </cell>
          <cell r="K2164" t="str">
            <v>F</v>
          </cell>
          <cell r="M2164">
            <v>17.989281262606902</v>
          </cell>
          <cell r="N2164">
            <v>4</v>
          </cell>
        </row>
        <row r="2165">
          <cell r="E2165" t="str">
            <v>Arizona v California</v>
          </cell>
          <cell r="I2165" t="str">
            <v>CG</v>
          </cell>
          <cell r="K2165" t="str">
            <v>IPP</v>
          </cell>
          <cell r="M2165">
            <v>0.31701021192339002</v>
          </cell>
          <cell r="N2165">
            <v>1</v>
          </cell>
        </row>
        <row r="2166">
          <cell r="E2166" t="str">
            <v>Arizona v California</v>
          </cell>
          <cell r="I2166" t="str">
            <v>CG</v>
          </cell>
          <cell r="K2166" t="str">
            <v>IPP</v>
          </cell>
          <cell r="M2166">
            <v>0.122342252177708</v>
          </cell>
          <cell r="N2166">
            <v>1</v>
          </cell>
        </row>
        <row r="2167">
          <cell r="E2167" t="str">
            <v>Arizona v California</v>
          </cell>
          <cell r="I2167" t="str">
            <v>CG</v>
          </cell>
          <cell r="K2167" t="str">
            <v>IPP</v>
          </cell>
          <cell r="M2167">
            <v>0.37174880765312401</v>
          </cell>
          <cell r="N2167">
            <v>1</v>
          </cell>
        </row>
        <row r="2168">
          <cell r="E2168" t="str">
            <v>Arizona v California</v>
          </cell>
          <cell r="I2168" t="str">
            <v>CG</v>
          </cell>
          <cell r="K2168" t="str">
            <v>IPP</v>
          </cell>
          <cell r="M2168">
            <v>0.49045894530885698</v>
          </cell>
          <cell r="N2168">
            <v>1</v>
          </cell>
        </row>
        <row r="2169">
          <cell r="E2169" t="str">
            <v>Arizona v California</v>
          </cell>
          <cell r="I2169" t="str">
            <v>CG</v>
          </cell>
          <cell r="K2169" t="str">
            <v>F</v>
          </cell>
          <cell r="M2169">
            <v>23.586524883655802</v>
          </cell>
          <cell r="N2169">
            <v>4</v>
          </cell>
        </row>
        <row r="2170">
          <cell r="E2170" t="str">
            <v>Arizona v California</v>
          </cell>
          <cell r="I2170" t="str">
            <v>CG</v>
          </cell>
          <cell r="K2170" t="str">
            <v>F</v>
          </cell>
          <cell r="M2170">
            <v>1.9943011265492001</v>
          </cell>
          <cell r="N2170">
            <v>4</v>
          </cell>
        </row>
        <row r="2171">
          <cell r="E2171" t="str">
            <v>Arizona v California</v>
          </cell>
          <cell r="I2171" t="str">
            <v>CG</v>
          </cell>
          <cell r="K2171" t="str">
            <v>F</v>
          </cell>
          <cell r="M2171">
            <v>0.19027909647341701</v>
          </cell>
          <cell r="N2171">
            <v>4</v>
          </cell>
        </row>
        <row r="2172">
          <cell r="E2172" t="str">
            <v>Arizona v California</v>
          </cell>
          <cell r="I2172" t="str">
            <v>CG</v>
          </cell>
          <cell r="K2172" t="str">
            <v>F</v>
          </cell>
          <cell r="M2172">
            <v>8.5946384197823296</v>
          </cell>
          <cell r="N2172">
            <v>4</v>
          </cell>
        </row>
        <row r="2173">
          <cell r="E2173" t="str">
            <v>Arizona v California</v>
          </cell>
          <cell r="I2173" t="str">
            <v>CG</v>
          </cell>
          <cell r="K2173" t="str">
            <v>F</v>
          </cell>
          <cell r="M2173">
            <v>0.49925413481198</v>
          </cell>
          <cell r="N2173">
            <v>4</v>
          </cell>
        </row>
        <row r="2174">
          <cell r="E2174" t="str">
            <v>Arizona v California</v>
          </cell>
          <cell r="I2174" t="str">
            <v>CG</v>
          </cell>
          <cell r="K2174" t="str">
            <v>F</v>
          </cell>
          <cell r="M2174">
            <v>11.761925868288101</v>
          </cell>
          <cell r="N2174">
            <v>4</v>
          </cell>
        </row>
        <row r="2175">
          <cell r="E2175" t="str">
            <v>Arizona v California</v>
          </cell>
          <cell r="I2175" t="str">
            <v>CG</v>
          </cell>
          <cell r="K2175" t="str">
            <v>F</v>
          </cell>
          <cell r="M2175">
            <v>17.182417594014499</v>
          </cell>
          <cell r="N2175">
            <v>4</v>
          </cell>
        </row>
        <row r="2176">
          <cell r="E2176" t="str">
            <v>Arizona v California</v>
          </cell>
          <cell r="I2176" t="str">
            <v>CG</v>
          </cell>
          <cell r="K2176" t="str">
            <v>F</v>
          </cell>
          <cell r="M2176">
            <v>2.4879180431619998</v>
          </cell>
          <cell r="N2176">
            <v>4</v>
          </cell>
        </row>
        <row r="2177">
          <cell r="E2177" t="str">
            <v>Arizona v California</v>
          </cell>
          <cell r="I2177" t="str">
            <v>CG</v>
          </cell>
          <cell r="K2177" t="str">
            <v>F</v>
          </cell>
          <cell r="M2177">
            <v>0.33763628454517303</v>
          </cell>
          <cell r="N2177">
            <v>4</v>
          </cell>
        </row>
        <row r="2178">
          <cell r="E2178" t="str">
            <v>Arizona v California</v>
          </cell>
          <cell r="I2178" t="str">
            <v>CG</v>
          </cell>
          <cell r="K2178" t="str">
            <v>F</v>
          </cell>
          <cell r="M2178">
            <v>3.4139442742564801</v>
          </cell>
          <cell r="N2178">
            <v>4</v>
          </cell>
        </row>
        <row r="2179">
          <cell r="E2179" t="str">
            <v>Arizona v California</v>
          </cell>
          <cell r="I2179" t="str">
            <v>CG</v>
          </cell>
          <cell r="K2179" t="str">
            <v>F</v>
          </cell>
          <cell r="M2179">
            <v>0.43309490771532499</v>
          </cell>
          <cell r="N2179">
            <v>4</v>
          </cell>
        </row>
        <row r="2180">
          <cell r="E2180" t="str">
            <v>Arizona v California</v>
          </cell>
          <cell r="I2180" t="str">
            <v>CG</v>
          </cell>
          <cell r="K2180" t="str">
            <v>DSL</v>
          </cell>
          <cell r="M2180">
            <v>1.67758204373797</v>
          </cell>
          <cell r="N2180">
            <v>2</v>
          </cell>
        </row>
        <row r="2181">
          <cell r="E2181" t="str">
            <v>Arizona v California</v>
          </cell>
          <cell r="I2181" t="str">
            <v>CG</v>
          </cell>
          <cell r="K2181" t="str">
            <v>F</v>
          </cell>
          <cell r="M2181">
            <v>1.3808168826171201</v>
          </cell>
          <cell r="N2181">
            <v>4</v>
          </cell>
        </row>
        <row r="2182">
          <cell r="E2182" t="str">
            <v>Arizona v California</v>
          </cell>
          <cell r="I2182" t="str">
            <v>CG</v>
          </cell>
          <cell r="K2182" t="str">
            <v>Stk,D</v>
          </cell>
          <cell r="M2182">
            <v>0.32041150992338502</v>
          </cell>
          <cell r="N2182">
            <v>4</v>
          </cell>
        </row>
        <row r="2183">
          <cell r="E2183" t="str">
            <v>Arizona v California</v>
          </cell>
          <cell r="I2183" t="str">
            <v>CG</v>
          </cell>
          <cell r="K2183" t="str">
            <v>F</v>
          </cell>
          <cell r="M2183">
            <v>0.229852812824825</v>
          </cell>
          <cell r="N2183">
            <v>4</v>
          </cell>
        </row>
        <row r="2184">
          <cell r="E2184" t="str">
            <v>Arizona v California</v>
          </cell>
          <cell r="I2184" t="str">
            <v>CG</v>
          </cell>
          <cell r="K2184" t="str">
            <v>S</v>
          </cell>
          <cell r="M2184">
            <v>7.4036908662109404</v>
          </cell>
          <cell r="N2184">
            <v>5</v>
          </cell>
        </row>
        <row r="2185">
          <cell r="E2185" t="str">
            <v>Arizona v California</v>
          </cell>
          <cell r="I2185" t="str">
            <v>CG</v>
          </cell>
          <cell r="K2185" t="str">
            <v>INP</v>
          </cell>
          <cell r="M2185">
            <v>0.68219534240440904</v>
          </cell>
          <cell r="N2185">
            <v>1</v>
          </cell>
        </row>
        <row r="2186">
          <cell r="E2186" t="str">
            <v>Arizona v California</v>
          </cell>
          <cell r="I2186" t="str">
            <v>CG</v>
          </cell>
          <cell r="K2186" t="str">
            <v>F</v>
          </cell>
          <cell r="M2186">
            <v>3.6440631649792801</v>
          </cell>
          <cell r="N2186">
            <v>4</v>
          </cell>
        </row>
        <row r="2187">
          <cell r="E2187" t="str">
            <v>Arizona v California</v>
          </cell>
          <cell r="I2187" t="str">
            <v>CG</v>
          </cell>
          <cell r="K2187" t="str">
            <v>INP</v>
          </cell>
          <cell r="M2187">
            <v>0.217869965664057</v>
          </cell>
          <cell r="N2187">
            <v>1</v>
          </cell>
        </row>
        <row r="2188">
          <cell r="E2188" t="str">
            <v>Arizona v California</v>
          </cell>
          <cell r="I2188" t="str">
            <v>CG</v>
          </cell>
          <cell r="K2188" t="str">
            <v>F</v>
          </cell>
          <cell r="M2188">
            <v>0.65446431722654796</v>
          </cell>
          <cell r="N2188">
            <v>4</v>
          </cell>
        </row>
        <row r="2189">
          <cell r="E2189" t="str">
            <v>Arizona v California</v>
          </cell>
          <cell r="I2189" t="str">
            <v>CG</v>
          </cell>
          <cell r="K2189" t="str">
            <v>F</v>
          </cell>
          <cell r="M2189">
            <v>3.5529583568017902</v>
          </cell>
          <cell r="N2189">
            <v>4</v>
          </cell>
        </row>
        <row r="2190">
          <cell r="E2190" t="str">
            <v>Arizona v California</v>
          </cell>
          <cell r="I2190" t="str">
            <v>CG</v>
          </cell>
          <cell r="K2190" t="str">
            <v>F</v>
          </cell>
          <cell r="M2190">
            <v>3.7860598554317102</v>
          </cell>
          <cell r="N2190">
            <v>4</v>
          </cell>
        </row>
        <row r="2191">
          <cell r="E2191" t="str">
            <v>Arizona v California</v>
          </cell>
          <cell r="I2191" t="str">
            <v>CG</v>
          </cell>
          <cell r="K2191" t="str">
            <v>F</v>
          </cell>
          <cell r="M2191">
            <v>0.81403528043609796</v>
          </cell>
          <cell r="N2191">
            <v>4</v>
          </cell>
        </row>
        <row r="2192">
          <cell r="E2192" t="str">
            <v>Arizona v California</v>
          </cell>
          <cell r="I2192" t="str">
            <v>CG</v>
          </cell>
          <cell r="K2192" t="str">
            <v>F</v>
          </cell>
          <cell r="M2192">
            <v>10.7095876653649</v>
          </cell>
          <cell r="N2192">
            <v>4</v>
          </cell>
        </row>
        <row r="2193">
          <cell r="E2193" t="str">
            <v>Arizona v California</v>
          </cell>
          <cell r="I2193" t="str">
            <v>CG</v>
          </cell>
          <cell r="K2193" t="str">
            <v>F</v>
          </cell>
          <cell r="M2193">
            <v>14.4633063165052</v>
          </cell>
          <cell r="N2193">
            <v>4</v>
          </cell>
        </row>
        <row r="2194">
          <cell r="E2194" t="str">
            <v>Arizona v California</v>
          </cell>
          <cell r="I2194" t="str">
            <v>CG</v>
          </cell>
          <cell r="K2194" t="str">
            <v>Res,D</v>
          </cell>
          <cell r="M2194">
            <v>1.23608782720977</v>
          </cell>
          <cell r="N2194">
            <v>4</v>
          </cell>
        </row>
        <row r="2195">
          <cell r="E2195" t="str">
            <v>Arizona v California</v>
          </cell>
          <cell r="I2195" t="str">
            <v>CG</v>
          </cell>
          <cell r="K2195" t="str">
            <v>IPP</v>
          </cell>
          <cell r="M2195">
            <v>17.060750386056299</v>
          </cell>
          <cell r="N2195">
            <v>1</v>
          </cell>
        </row>
        <row r="2196">
          <cell r="E2196" t="str">
            <v>Arizona v California</v>
          </cell>
          <cell r="I2196" t="str">
            <v>CG</v>
          </cell>
          <cell r="K2196" t="str">
            <v>IPP</v>
          </cell>
          <cell r="M2196">
            <v>6.87037358606461</v>
          </cell>
          <cell r="N2196">
            <v>1</v>
          </cell>
        </row>
        <row r="2197">
          <cell r="E2197" t="str">
            <v>Arizona v California</v>
          </cell>
          <cell r="I2197" t="str">
            <v>CG</v>
          </cell>
          <cell r="K2197" t="str">
            <v>F</v>
          </cell>
          <cell r="M2197">
            <v>10.681809875033499</v>
          </cell>
          <cell r="N2197">
            <v>4</v>
          </cell>
        </row>
        <row r="2198">
          <cell r="E2198" t="str">
            <v>Arizona v California</v>
          </cell>
          <cell r="I2198" t="str">
            <v>CG</v>
          </cell>
          <cell r="K2198" t="str">
            <v>IPP</v>
          </cell>
          <cell r="M2198">
            <v>5.0699077753496704</v>
          </cell>
          <cell r="N2198">
            <v>1</v>
          </cell>
        </row>
        <row r="2199">
          <cell r="E2199" t="str">
            <v>Arizona v California</v>
          </cell>
          <cell r="I2199" t="str">
            <v>CG</v>
          </cell>
          <cell r="K2199" t="str">
            <v>F</v>
          </cell>
          <cell r="M2199">
            <v>7.2572930055941498</v>
          </cell>
          <cell r="N2199">
            <v>4</v>
          </cell>
        </row>
        <row r="2200">
          <cell r="E2200" t="str">
            <v>Arizona v California</v>
          </cell>
          <cell r="I2200" t="str">
            <v>CG</v>
          </cell>
          <cell r="K2200" t="str">
            <v>F</v>
          </cell>
          <cell r="M2200">
            <v>5.4485549625455301</v>
          </cell>
          <cell r="N2200">
            <v>4</v>
          </cell>
        </row>
        <row r="2201">
          <cell r="E2201" t="str">
            <v>Arizona v California</v>
          </cell>
          <cell r="I2201" t="str">
            <v>CG</v>
          </cell>
          <cell r="K2201" t="str">
            <v>F</v>
          </cell>
          <cell r="M2201">
            <v>7.2020433087330202</v>
          </cell>
          <cell r="N2201">
            <v>4</v>
          </cell>
        </row>
        <row r="2202">
          <cell r="E2202" t="str">
            <v>Arizona v California</v>
          </cell>
          <cell r="I2202" t="str">
            <v>CG</v>
          </cell>
          <cell r="K2202" t="str">
            <v>INP</v>
          </cell>
          <cell r="M2202">
            <v>3.6469765821376301</v>
          </cell>
          <cell r="N2202">
            <v>2</v>
          </cell>
        </row>
        <row r="2203">
          <cell r="E2203" t="str">
            <v>Arizona v California</v>
          </cell>
          <cell r="I2203" t="str">
            <v>CG</v>
          </cell>
          <cell r="K2203" t="str">
            <v>F</v>
          </cell>
          <cell r="M2203">
            <v>3.87501224284085</v>
          </cell>
          <cell r="N2203">
            <v>4</v>
          </cell>
        </row>
        <row r="2204">
          <cell r="E2204" t="str">
            <v>Arizona v California</v>
          </cell>
          <cell r="I2204" t="str">
            <v>CG</v>
          </cell>
          <cell r="K2204" t="str">
            <v>DSL</v>
          </cell>
          <cell r="M2204">
            <v>0.117932039580362</v>
          </cell>
          <cell r="N2204">
            <v>4</v>
          </cell>
        </row>
        <row r="2205">
          <cell r="E2205" t="str">
            <v>Arizona v California</v>
          </cell>
          <cell r="I2205" t="str">
            <v>CG</v>
          </cell>
          <cell r="K2205" t="str">
            <v>IPP</v>
          </cell>
          <cell r="M2205">
            <v>9.7540611647762301</v>
          </cell>
          <cell r="N2205">
            <v>1</v>
          </cell>
        </row>
        <row r="2206">
          <cell r="E2206" t="str">
            <v>Arizona v California</v>
          </cell>
          <cell r="I2206" t="str">
            <v>CG</v>
          </cell>
          <cell r="K2206" t="str">
            <v>F</v>
          </cell>
          <cell r="M2206">
            <v>0.93886951367996396</v>
          </cell>
          <cell r="N2206">
            <v>4</v>
          </cell>
        </row>
        <row r="2207">
          <cell r="E2207" t="str">
            <v>Arizona v California</v>
          </cell>
          <cell r="I2207" t="str">
            <v>CG</v>
          </cell>
          <cell r="K2207" t="str">
            <v>F</v>
          </cell>
          <cell r="M2207">
            <v>5.1841184675418504</v>
          </cell>
          <cell r="N2207">
            <v>4</v>
          </cell>
        </row>
        <row r="2208">
          <cell r="E2208" t="str">
            <v>Arizona v California</v>
          </cell>
          <cell r="I2208" t="str">
            <v>CG</v>
          </cell>
          <cell r="K2208" t="str">
            <v>F</v>
          </cell>
          <cell r="M2208">
            <v>13.334365375138299</v>
          </cell>
          <cell r="N2208">
            <v>4</v>
          </cell>
        </row>
        <row r="2209">
          <cell r="E2209" t="str">
            <v>Arizona v California</v>
          </cell>
          <cell r="I2209" t="str">
            <v>CG</v>
          </cell>
          <cell r="K2209" t="str">
            <v>IPP</v>
          </cell>
          <cell r="M2209">
            <v>11.9972389279976</v>
          </cell>
          <cell r="N2209">
            <v>1</v>
          </cell>
        </row>
        <row r="2210">
          <cell r="E2210" t="str">
            <v>Arizona v California</v>
          </cell>
          <cell r="I2210" t="str">
            <v>CG</v>
          </cell>
          <cell r="K2210" t="str">
            <v>IPP</v>
          </cell>
          <cell r="M2210">
            <v>12.4621272551333</v>
          </cell>
          <cell r="N2210">
            <v>1</v>
          </cell>
        </row>
        <row r="2211">
          <cell r="E2211" t="str">
            <v>Arizona v California</v>
          </cell>
          <cell r="I2211" t="str">
            <v>CG</v>
          </cell>
          <cell r="K2211" t="str">
            <v>F</v>
          </cell>
          <cell r="M2211">
            <v>10.747122849931801</v>
          </cell>
          <cell r="N2211">
            <v>4</v>
          </cell>
        </row>
        <row r="2212">
          <cell r="E2212" t="str">
            <v>Arizona v California</v>
          </cell>
          <cell r="I2212" t="str">
            <v>CG</v>
          </cell>
          <cell r="K2212" t="str">
            <v>DSL</v>
          </cell>
          <cell r="M2212">
            <v>0.179502495722034</v>
          </cell>
          <cell r="N2212">
            <v>2</v>
          </cell>
        </row>
        <row r="2213">
          <cell r="E2213" t="str">
            <v>Arizona v California</v>
          </cell>
          <cell r="I2213" t="str">
            <v>CG</v>
          </cell>
          <cell r="K2213" t="str">
            <v>F</v>
          </cell>
          <cell r="M2213">
            <v>7.1607036540009696</v>
          </cell>
          <cell r="N2213">
            <v>4</v>
          </cell>
        </row>
        <row r="2214">
          <cell r="E2214" t="str">
            <v>Arizona v California</v>
          </cell>
          <cell r="I2214" t="str">
            <v>CG</v>
          </cell>
          <cell r="K2214" t="str">
            <v>F</v>
          </cell>
          <cell r="M2214">
            <v>6.0930019253276102</v>
          </cell>
          <cell r="N2214">
            <v>4</v>
          </cell>
        </row>
        <row r="2215">
          <cell r="E2215" t="str">
            <v>Arizona v California</v>
          </cell>
          <cell r="I2215" t="str">
            <v>CG</v>
          </cell>
          <cell r="K2215" t="str">
            <v>F</v>
          </cell>
          <cell r="M2215">
            <v>6.6026727776802696</v>
          </cell>
          <cell r="N2215">
            <v>4</v>
          </cell>
        </row>
        <row r="2216">
          <cell r="E2216" t="str">
            <v>Arizona v California</v>
          </cell>
          <cell r="I2216" t="str">
            <v>CG</v>
          </cell>
          <cell r="K2216" t="str">
            <v>IPP</v>
          </cell>
          <cell r="M2216">
            <v>0.66544219341442201</v>
          </cell>
          <cell r="N2216">
            <v>1</v>
          </cell>
        </row>
        <row r="2217">
          <cell r="E2217" t="str">
            <v>Arizona v California</v>
          </cell>
          <cell r="I2217" t="str">
            <v>CG</v>
          </cell>
          <cell r="K2217" t="str">
            <v>Res,D</v>
          </cell>
          <cell r="M2217">
            <v>0.534108099149875</v>
          </cell>
          <cell r="N2217">
            <v>4</v>
          </cell>
        </row>
        <row r="2218">
          <cell r="E2218" t="str">
            <v>Arizona v California</v>
          </cell>
          <cell r="I2218" t="str">
            <v>CG</v>
          </cell>
          <cell r="K2218" t="str">
            <v>F</v>
          </cell>
          <cell r="M2218">
            <v>1.0255280098545101</v>
          </cell>
          <cell r="N2218">
            <v>4</v>
          </cell>
        </row>
        <row r="2219">
          <cell r="E2219" t="str">
            <v>Arizona v California</v>
          </cell>
          <cell r="I2219" t="str">
            <v>CG</v>
          </cell>
          <cell r="K2219" t="str">
            <v>F</v>
          </cell>
          <cell r="M2219">
            <v>0.255034719054822</v>
          </cell>
          <cell r="N2219">
            <v>4</v>
          </cell>
        </row>
        <row r="2220">
          <cell r="E2220" t="str">
            <v>Arizona v California</v>
          </cell>
          <cell r="I2220" t="str">
            <v>CG</v>
          </cell>
          <cell r="K2220" t="str">
            <v>F</v>
          </cell>
          <cell r="M2220">
            <v>7.3381913967871997</v>
          </cell>
          <cell r="N2220">
            <v>4</v>
          </cell>
        </row>
        <row r="2221">
          <cell r="E2221" t="str">
            <v>Arizona v California</v>
          </cell>
          <cell r="I2221" t="str">
            <v>CG</v>
          </cell>
          <cell r="K2221" t="str">
            <v>F</v>
          </cell>
          <cell r="M2221">
            <v>10.6767562648335</v>
          </cell>
          <cell r="N2221">
            <v>4</v>
          </cell>
        </row>
        <row r="2222">
          <cell r="E2222" t="str">
            <v>Arizona v California</v>
          </cell>
          <cell r="I2222" t="str">
            <v>CG</v>
          </cell>
          <cell r="K2222" t="str">
            <v>F</v>
          </cell>
          <cell r="M2222">
            <v>22.6366015781716</v>
          </cell>
          <cell r="N2222">
            <v>4</v>
          </cell>
        </row>
        <row r="2223">
          <cell r="E2223" t="str">
            <v>Arizona v California</v>
          </cell>
          <cell r="I2223" t="str">
            <v>CG</v>
          </cell>
          <cell r="K2223" t="str">
            <v>NI</v>
          </cell>
          <cell r="M2223">
            <v>0.26780258505895699</v>
          </cell>
          <cell r="N2223">
            <v>4</v>
          </cell>
        </row>
        <row r="2224">
          <cell r="E2224" t="str">
            <v>Arizona v California</v>
          </cell>
          <cell r="I2224" t="str">
            <v>CG</v>
          </cell>
          <cell r="K2224" t="str">
            <v>F</v>
          </cell>
          <cell r="M2224">
            <v>12.7631663334928</v>
          </cell>
          <cell r="N2224">
            <v>4</v>
          </cell>
        </row>
        <row r="2225">
          <cell r="E2225" t="str">
            <v>Arizona v California</v>
          </cell>
          <cell r="I2225" t="str">
            <v>CG</v>
          </cell>
          <cell r="K2225" t="str">
            <v>NI</v>
          </cell>
          <cell r="M2225">
            <v>9.1631833587995995E-2</v>
          </cell>
          <cell r="N2225">
            <v>4</v>
          </cell>
        </row>
        <row r="2226">
          <cell r="E2226" t="str">
            <v>Arizona v California</v>
          </cell>
          <cell r="I2226" t="str">
            <v>CG</v>
          </cell>
          <cell r="K2226" t="str">
            <v>F</v>
          </cell>
          <cell r="M2226">
            <v>9.5549769507458304</v>
          </cell>
          <cell r="N2226">
            <v>4</v>
          </cell>
        </row>
        <row r="2227">
          <cell r="E2227" t="str">
            <v>Arizona v California</v>
          </cell>
          <cell r="I2227" t="str">
            <v>CG</v>
          </cell>
          <cell r="K2227" t="str">
            <v>F</v>
          </cell>
          <cell r="M2227">
            <v>25.266189078868599</v>
          </cell>
          <cell r="N2227">
            <v>4</v>
          </cell>
        </row>
        <row r="2228">
          <cell r="E2228" t="str">
            <v>Arizona v California</v>
          </cell>
          <cell r="I2228" t="str">
            <v>CG</v>
          </cell>
          <cell r="K2228" t="str">
            <v>IPP</v>
          </cell>
          <cell r="M2228">
            <v>8.53063965776016</v>
          </cell>
          <cell r="N2228">
            <v>1</v>
          </cell>
        </row>
        <row r="2229">
          <cell r="E2229" t="str">
            <v>Arizona v California</v>
          </cell>
          <cell r="I2229" t="str">
            <v>CG</v>
          </cell>
          <cell r="K2229" t="str">
            <v>F</v>
          </cell>
          <cell r="M2229">
            <v>1.85443232146115</v>
          </cell>
          <cell r="N2229">
            <v>4</v>
          </cell>
        </row>
        <row r="2230">
          <cell r="E2230" t="str">
            <v>Arizona v California</v>
          </cell>
          <cell r="I2230" t="str">
            <v>CG</v>
          </cell>
          <cell r="K2230" t="str">
            <v>IPP</v>
          </cell>
          <cell r="M2230">
            <v>7.6182717965605997</v>
          </cell>
          <cell r="N2230">
            <v>1</v>
          </cell>
        </row>
        <row r="2231">
          <cell r="E2231" t="str">
            <v>Arizona v California</v>
          </cell>
          <cell r="I2231" t="str">
            <v>CG</v>
          </cell>
          <cell r="K2231" t="str">
            <v>F</v>
          </cell>
          <cell r="M2231">
            <v>3.8572649103559402</v>
          </cell>
          <cell r="N2231">
            <v>4</v>
          </cell>
        </row>
        <row r="2232">
          <cell r="E2232" t="str">
            <v>Arizona v California</v>
          </cell>
          <cell r="I2232" t="str">
            <v>CG</v>
          </cell>
          <cell r="K2232" t="str">
            <v>F</v>
          </cell>
          <cell r="M2232">
            <v>1.10168243946615</v>
          </cell>
          <cell r="N2232">
            <v>4</v>
          </cell>
        </row>
        <row r="2233">
          <cell r="E2233" t="str">
            <v>Arizona v California</v>
          </cell>
          <cell r="I2233" t="str">
            <v>CG</v>
          </cell>
          <cell r="K2233" t="str">
            <v>F</v>
          </cell>
          <cell r="M2233">
            <v>7.6559898587122897</v>
          </cell>
          <cell r="N2233">
            <v>4</v>
          </cell>
        </row>
        <row r="2234">
          <cell r="E2234" t="str">
            <v>Arizona v California</v>
          </cell>
          <cell r="I2234" t="str">
            <v>CG</v>
          </cell>
          <cell r="K2234" t="str">
            <v>F</v>
          </cell>
          <cell r="M2234">
            <v>7.8316999511032996</v>
          </cell>
          <cell r="N2234">
            <v>4</v>
          </cell>
        </row>
        <row r="2235">
          <cell r="E2235" t="str">
            <v>Arizona v California</v>
          </cell>
          <cell r="I2235" t="str">
            <v>CG</v>
          </cell>
          <cell r="K2235" t="str">
            <v>PG</v>
          </cell>
          <cell r="M2235">
            <v>0.15643333588385999</v>
          </cell>
          <cell r="N2235">
            <v>1</v>
          </cell>
        </row>
        <row r="2236">
          <cell r="E2236" t="str">
            <v>Arizona v California</v>
          </cell>
          <cell r="I2236" t="str">
            <v>CG</v>
          </cell>
          <cell r="K2236" t="str">
            <v>F</v>
          </cell>
          <cell r="M2236">
            <v>0.86754066592567802</v>
          </cell>
          <cell r="N2236">
            <v>4</v>
          </cell>
        </row>
        <row r="2237">
          <cell r="E2237" t="str">
            <v>Arizona v California</v>
          </cell>
          <cell r="I2237" t="str">
            <v>CG</v>
          </cell>
          <cell r="K2237" t="str">
            <v>F</v>
          </cell>
          <cell r="M2237">
            <v>2.05259762993495</v>
          </cell>
          <cell r="N2237">
            <v>4</v>
          </cell>
        </row>
        <row r="2238">
          <cell r="E2238" t="str">
            <v>Arizona v California</v>
          </cell>
          <cell r="I2238" t="str">
            <v>CG</v>
          </cell>
          <cell r="K2238" t="str">
            <v>F</v>
          </cell>
          <cell r="M2238">
            <v>3.5292498305393001</v>
          </cell>
          <cell r="N2238">
            <v>4</v>
          </cell>
        </row>
        <row r="2239">
          <cell r="E2239" t="str">
            <v>Arizona v California</v>
          </cell>
          <cell r="I2239" t="str">
            <v>CG</v>
          </cell>
          <cell r="K2239" t="str">
            <v>A</v>
          </cell>
          <cell r="M2239">
            <v>7.9223821736336699</v>
          </cell>
          <cell r="N2239">
            <v>1</v>
          </cell>
        </row>
        <row r="2240">
          <cell r="E2240" t="str">
            <v>Arizona v California</v>
          </cell>
          <cell r="I2240" t="str">
            <v>CG</v>
          </cell>
          <cell r="K2240" t="str">
            <v>F</v>
          </cell>
          <cell r="M2240">
            <v>32.547373069330597</v>
          </cell>
          <cell r="N2240">
            <v>4</v>
          </cell>
        </row>
        <row r="2241">
          <cell r="E2241" t="str">
            <v>Arizona v California</v>
          </cell>
          <cell r="I2241" t="str">
            <v>CG</v>
          </cell>
          <cell r="K2241" t="str">
            <v>F</v>
          </cell>
          <cell r="M2241">
            <v>1.5084089670691401</v>
          </cell>
          <cell r="N2241">
            <v>4</v>
          </cell>
        </row>
        <row r="2242">
          <cell r="E2242" t="str">
            <v>Arizona v California</v>
          </cell>
          <cell r="I2242" t="str">
            <v>CG</v>
          </cell>
          <cell r="K2242" t="str">
            <v>F</v>
          </cell>
          <cell r="M2242">
            <v>6.2970424937598599</v>
          </cell>
          <cell r="N2242">
            <v>4</v>
          </cell>
        </row>
        <row r="2243">
          <cell r="E2243" t="str">
            <v>Arizona v California</v>
          </cell>
          <cell r="I2243" t="str">
            <v>CG</v>
          </cell>
          <cell r="K2243" t="str">
            <v>IPP</v>
          </cell>
          <cell r="M2243">
            <v>7.2853215739428103</v>
          </cell>
          <cell r="N2243">
            <v>1</v>
          </cell>
        </row>
        <row r="2244">
          <cell r="E2244" t="str">
            <v>Arizona v California</v>
          </cell>
          <cell r="I2244" t="str">
            <v>CG</v>
          </cell>
          <cell r="K2244" t="str">
            <v>F</v>
          </cell>
          <cell r="M2244">
            <v>3.8751321289430498</v>
          </cell>
          <cell r="N2244">
            <v>4</v>
          </cell>
        </row>
        <row r="2245">
          <cell r="E2245" t="str">
            <v>Arizona v California</v>
          </cell>
          <cell r="I2245" t="str">
            <v>CG</v>
          </cell>
          <cell r="K2245" t="str">
            <v>F</v>
          </cell>
          <cell r="M2245">
            <v>0.30983400821435197</v>
          </cell>
          <cell r="N2245">
            <v>4</v>
          </cell>
        </row>
        <row r="2246">
          <cell r="E2246" t="str">
            <v>Arizona v California</v>
          </cell>
          <cell r="I2246" t="str">
            <v>CG</v>
          </cell>
          <cell r="K2246" t="str">
            <v>F</v>
          </cell>
          <cell r="M2246">
            <v>0.88821673501024501</v>
          </cell>
          <cell r="N2246">
            <v>4</v>
          </cell>
        </row>
        <row r="2247">
          <cell r="E2247" t="str">
            <v>Arizona v California</v>
          </cell>
          <cell r="I2247" t="str">
            <v>CG</v>
          </cell>
          <cell r="K2247" t="str">
            <v>IPP</v>
          </cell>
          <cell r="M2247">
            <v>6.8094781992033404</v>
          </cell>
          <cell r="N2247">
            <v>1</v>
          </cell>
        </row>
        <row r="2248">
          <cell r="E2248" t="str">
            <v>Arizona v California</v>
          </cell>
          <cell r="I2248" t="str">
            <v>CG</v>
          </cell>
          <cell r="K2248" t="str">
            <v>F</v>
          </cell>
          <cell r="M2248">
            <v>2.0498695347321898</v>
          </cell>
          <cell r="N2248">
            <v>4</v>
          </cell>
        </row>
        <row r="2249">
          <cell r="E2249" t="str">
            <v>Arizona v California</v>
          </cell>
          <cell r="I2249" t="str">
            <v>CG</v>
          </cell>
          <cell r="K2249" t="str">
            <v>F</v>
          </cell>
          <cell r="M2249">
            <v>0.13199411375436501</v>
          </cell>
          <cell r="N2249">
            <v>4</v>
          </cell>
        </row>
        <row r="2250">
          <cell r="E2250" t="str">
            <v>Arizona v California</v>
          </cell>
          <cell r="I2250" t="str">
            <v>CG</v>
          </cell>
          <cell r="K2250" t="str">
            <v>INP</v>
          </cell>
          <cell r="M2250">
            <v>45.976886160028897</v>
          </cell>
          <cell r="N2250">
            <v>1</v>
          </cell>
        </row>
        <row r="2251">
          <cell r="E2251" t="str">
            <v>Arizona v California</v>
          </cell>
          <cell r="I2251" t="str">
            <v>CG</v>
          </cell>
          <cell r="K2251" t="str">
            <v>DSL</v>
          </cell>
          <cell r="M2251">
            <v>0.34635264099658097</v>
          </cell>
          <cell r="N2251">
            <v>2</v>
          </cell>
        </row>
        <row r="2252">
          <cell r="E2252" t="str">
            <v>Arizona v California</v>
          </cell>
          <cell r="I2252" t="str">
            <v>CG</v>
          </cell>
          <cell r="K2252" t="str">
            <v>F</v>
          </cell>
          <cell r="M2252">
            <v>0.34515065526429201</v>
          </cell>
          <cell r="N2252">
            <v>4</v>
          </cell>
        </row>
        <row r="2253">
          <cell r="E2253" t="str">
            <v>Arizona v California</v>
          </cell>
          <cell r="I2253" t="str">
            <v>CG</v>
          </cell>
          <cell r="K2253" t="str">
            <v>IPP</v>
          </cell>
          <cell r="M2253">
            <v>5.2664240670568301</v>
          </cell>
          <cell r="N2253">
            <v>2</v>
          </cell>
        </row>
        <row r="2254">
          <cell r="E2254" t="str">
            <v>Arizona v California</v>
          </cell>
          <cell r="I2254" t="str">
            <v>CG</v>
          </cell>
          <cell r="K2254" t="str">
            <v>F</v>
          </cell>
          <cell r="M2254">
            <v>4.51016069452234</v>
          </cell>
          <cell r="N2254">
            <v>4</v>
          </cell>
        </row>
        <row r="2255">
          <cell r="E2255" t="str">
            <v>Arizona v California</v>
          </cell>
          <cell r="I2255" t="str">
            <v>CG</v>
          </cell>
          <cell r="K2255" t="str">
            <v>F</v>
          </cell>
          <cell r="M2255">
            <v>2.55524206842991</v>
          </cell>
          <cell r="N2255">
            <v>4</v>
          </cell>
        </row>
        <row r="2256">
          <cell r="E2256" t="str">
            <v>Arizona v California</v>
          </cell>
          <cell r="I2256" t="str">
            <v>CG</v>
          </cell>
          <cell r="K2256" t="str">
            <v>IPP</v>
          </cell>
          <cell r="M2256">
            <v>10.8075376879918</v>
          </cell>
          <cell r="N2256">
            <v>1</v>
          </cell>
        </row>
        <row r="2257">
          <cell r="E2257" t="str">
            <v>Arizona v California</v>
          </cell>
          <cell r="I2257" t="str">
            <v>CG</v>
          </cell>
          <cell r="K2257" t="str">
            <v>F</v>
          </cell>
          <cell r="M2257">
            <v>1.6873379301736799</v>
          </cell>
          <cell r="N2257">
            <v>4</v>
          </cell>
        </row>
        <row r="2258">
          <cell r="E2258" t="str">
            <v>Arizona v California</v>
          </cell>
          <cell r="I2258" t="str">
            <v>CG</v>
          </cell>
          <cell r="K2258" t="str">
            <v>F</v>
          </cell>
          <cell r="M2258">
            <v>3.5747131335923101</v>
          </cell>
          <cell r="N2258">
            <v>4</v>
          </cell>
        </row>
        <row r="2259">
          <cell r="E2259" t="str">
            <v>Arizona v California</v>
          </cell>
          <cell r="I2259" t="str">
            <v>CG</v>
          </cell>
          <cell r="K2259" t="str">
            <v>F</v>
          </cell>
          <cell r="M2259">
            <v>0.13588745513390199</v>
          </cell>
          <cell r="N2259">
            <v>4</v>
          </cell>
        </row>
        <row r="2260">
          <cell r="E2260" t="str">
            <v>Arizona v California</v>
          </cell>
          <cell r="I2260" t="str">
            <v>CG</v>
          </cell>
          <cell r="K2260" t="str">
            <v>Out</v>
          </cell>
          <cell r="M2260">
            <v>0.44792288216311499</v>
          </cell>
          <cell r="N2260">
            <v>4</v>
          </cell>
        </row>
        <row r="2261">
          <cell r="E2261" t="str">
            <v>Arizona v California</v>
          </cell>
          <cell r="I2261" t="str">
            <v>CG</v>
          </cell>
          <cell r="K2261" t="str">
            <v>F</v>
          </cell>
          <cell r="M2261">
            <v>1.4412598508716401</v>
          </cell>
          <cell r="N2261">
            <v>4</v>
          </cell>
        </row>
        <row r="2262">
          <cell r="E2262" t="str">
            <v>Arizona v California</v>
          </cell>
          <cell r="I2262" t="str">
            <v>CG</v>
          </cell>
          <cell r="K2262" t="str">
            <v>IPP</v>
          </cell>
          <cell r="M2262">
            <v>16.737254094294201</v>
          </cell>
          <cell r="N2262">
            <v>1</v>
          </cell>
        </row>
        <row r="2263">
          <cell r="E2263" t="str">
            <v>Arizona v California</v>
          </cell>
          <cell r="I2263" t="str">
            <v>CG</v>
          </cell>
          <cell r="K2263" t="str">
            <v>IPP</v>
          </cell>
          <cell r="M2263">
            <v>9.5733153341845298</v>
          </cell>
          <cell r="N2263">
            <v>1</v>
          </cell>
        </row>
        <row r="2264">
          <cell r="E2264" t="str">
            <v>Arizona v California</v>
          </cell>
          <cell r="I2264" t="str">
            <v>CG</v>
          </cell>
          <cell r="K2264" t="str">
            <v>IPP</v>
          </cell>
          <cell r="M2264">
            <v>2.26291422718083</v>
          </cell>
          <cell r="N2264">
            <v>1</v>
          </cell>
        </row>
        <row r="2265">
          <cell r="E2265" t="str">
            <v>Arizona v California</v>
          </cell>
          <cell r="I2265" t="str">
            <v>CG</v>
          </cell>
          <cell r="K2265" t="str">
            <v>F</v>
          </cell>
          <cell r="M2265">
            <v>0.77659404360328299</v>
          </cell>
          <cell r="N2265">
            <v>4</v>
          </cell>
        </row>
        <row r="2266">
          <cell r="E2266" t="str">
            <v>Arizona v California</v>
          </cell>
          <cell r="I2266" t="str">
            <v>CG</v>
          </cell>
          <cell r="K2266" t="str">
            <v>Res,D</v>
          </cell>
          <cell r="M2266">
            <v>0.11320235182932301</v>
          </cell>
          <cell r="N2266">
            <v>4</v>
          </cell>
        </row>
        <row r="2267">
          <cell r="E2267" t="str">
            <v>Arizona v California</v>
          </cell>
          <cell r="I2267" t="str">
            <v>CG</v>
          </cell>
          <cell r="K2267" t="str">
            <v>DSL</v>
          </cell>
          <cell r="M2267">
            <v>0.97456440109143205</v>
          </cell>
          <cell r="N2267">
            <v>1</v>
          </cell>
        </row>
        <row r="2268">
          <cell r="E2268" t="str">
            <v>Arizona v California</v>
          </cell>
          <cell r="I2268" t="str">
            <v>CG</v>
          </cell>
          <cell r="K2268" t="str">
            <v>IPP</v>
          </cell>
          <cell r="M2268">
            <v>1.76510650151175</v>
          </cell>
          <cell r="N2268">
            <v>1</v>
          </cell>
        </row>
        <row r="2269">
          <cell r="E2269" t="str">
            <v>Arizona v California</v>
          </cell>
          <cell r="I2269" t="str">
            <v>CG</v>
          </cell>
          <cell r="K2269" t="str">
            <v>IPP</v>
          </cell>
          <cell r="M2269">
            <v>10.0285227955604</v>
          </cell>
          <cell r="N2269">
            <v>1</v>
          </cell>
        </row>
        <row r="2270">
          <cell r="E2270" t="str">
            <v>Arizona v California</v>
          </cell>
          <cell r="I2270" t="str">
            <v>CG</v>
          </cell>
          <cell r="K2270" t="str">
            <v>F</v>
          </cell>
          <cell r="M2270">
            <v>2.78714080359306</v>
          </cell>
          <cell r="N2270">
            <v>4</v>
          </cell>
        </row>
        <row r="2271">
          <cell r="E2271" t="str">
            <v>Arizona v California</v>
          </cell>
          <cell r="I2271" t="str">
            <v>CG</v>
          </cell>
          <cell r="K2271" t="str">
            <v>IPP</v>
          </cell>
          <cell r="M2271">
            <v>9.9647301564718997</v>
          </cell>
          <cell r="N2271">
            <v>1</v>
          </cell>
        </row>
        <row r="2272">
          <cell r="E2272" t="str">
            <v>Arizona v California</v>
          </cell>
          <cell r="I2272" t="str">
            <v>CG</v>
          </cell>
          <cell r="K2272" t="str">
            <v>IPP</v>
          </cell>
          <cell r="M2272">
            <v>1.64334241181489</v>
          </cell>
          <cell r="N2272">
            <v>1</v>
          </cell>
        </row>
        <row r="2273">
          <cell r="E2273" t="str">
            <v>Arizona v California</v>
          </cell>
          <cell r="I2273" t="str">
            <v>CG</v>
          </cell>
          <cell r="K2273" t="str">
            <v>F</v>
          </cell>
          <cell r="M2273">
            <v>0.39020999761605002</v>
          </cell>
          <cell r="N2273">
            <v>4</v>
          </cell>
        </row>
        <row r="2274">
          <cell r="E2274" t="str">
            <v>Arizona v California</v>
          </cell>
          <cell r="I2274" t="str">
            <v>CG</v>
          </cell>
          <cell r="K2274" t="str">
            <v>F</v>
          </cell>
          <cell r="M2274">
            <v>3.3852054755543</v>
          </cell>
          <cell r="N2274">
            <v>4</v>
          </cell>
        </row>
        <row r="2275">
          <cell r="E2275" t="str">
            <v>Arizona v California</v>
          </cell>
          <cell r="I2275" t="str">
            <v>CG</v>
          </cell>
          <cell r="K2275" t="str">
            <v>F</v>
          </cell>
          <cell r="M2275">
            <v>1.00375638572121</v>
          </cell>
          <cell r="N2275">
            <v>4</v>
          </cell>
        </row>
        <row r="2276">
          <cell r="E2276" t="str">
            <v>Arizona v California</v>
          </cell>
          <cell r="I2276" t="str">
            <v>CG</v>
          </cell>
          <cell r="K2276" t="str">
            <v>A</v>
          </cell>
          <cell r="M2276">
            <v>5.8890883420809503</v>
          </cell>
          <cell r="N2276">
            <v>1</v>
          </cell>
        </row>
        <row r="2277">
          <cell r="E2277" t="str">
            <v>Arizona v California</v>
          </cell>
          <cell r="I2277" t="str">
            <v>CG</v>
          </cell>
          <cell r="K2277" t="str">
            <v>F</v>
          </cell>
          <cell r="M2277">
            <v>3.4189138014913002E-2</v>
          </cell>
          <cell r="N2277">
            <v>4</v>
          </cell>
        </row>
        <row r="2278">
          <cell r="E2278" t="str">
            <v>Arizona v California</v>
          </cell>
          <cell r="I2278" t="str">
            <v>CG</v>
          </cell>
          <cell r="K2278" t="str">
            <v>F</v>
          </cell>
          <cell r="M2278">
            <v>1.73679591841266</v>
          </cell>
          <cell r="N2278">
            <v>4</v>
          </cell>
        </row>
        <row r="2279">
          <cell r="E2279" t="str">
            <v>Arizona v California</v>
          </cell>
          <cell r="I2279" t="str">
            <v>CG</v>
          </cell>
          <cell r="K2279" t="str">
            <v>F</v>
          </cell>
          <cell r="M2279">
            <v>4.1218733898064102</v>
          </cell>
          <cell r="N2279">
            <v>4</v>
          </cell>
        </row>
        <row r="2280">
          <cell r="E2280" t="str">
            <v>Arizona v California</v>
          </cell>
          <cell r="I2280" t="str">
            <v>CG</v>
          </cell>
          <cell r="K2280" t="str">
            <v>F</v>
          </cell>
          <cell r="M2280">
            <v>3.6170840612271702</v>
          </cell>
          <cell r="N2280">
            <v>4</v>
          </cell>
        </row>
        <row r="2281">
          <cell r="E2281" t="str">
            <v>Arizona v California</v>
          </cell>
          <cell r="I2281" t="str">
            <v>CG</v>
          </cell>
          <cell r="K2281" t="str">
            <v>Res,D</v>
          </cell>
          <cell r="M2281">
            <v>0.42522932700757499</v>
          </cell>
          <cell r="N2281">
            <v>4</v>
          </cell>
        </row>
        <row r="2282">
          <cell r="E2282" t="str">
            <v>Arizona v California</v>
          </cell>
          <cell r="I2282" t="str">
            <v>CG</v>
          </cell>
          <cell r="K2282" t="str">
            <v>IPP</v>
          </cell>
          <cell r="M2282">
            <v>1.9135275476028799</v>
          </cell>
          <cell r="N2282">
            <v>1</v>
          </cell>
        </row>
        <row r="2283">
          <cell r="E2283" t="str">
            <v>Arizona v California</v>
          </cell>
          <cell r="I2283" t="str">
            <v>CG</v>
          </cell>
          <cell r="K2283" t="str">
            <v>F</v>
          </cell>
          <cell r="M2283">
            <v>3.0635565241953602</v>
          </cell>
          <cell r="N2283">
            <v>4</v>
          </cell>
        </row>
        <row r="2284">
          <cell r="E2284" t="str">
            <v>Arizona v California</v>
          </cell>
          <cell r="I2284" t="str">
            <v>CG</v>
          </cell>
          <cell r="K2284" t="str">
            <v>IPP</v>
          </cell>
          <cell r="M2284">
            <v>0.55453172951287399</v>
          </cell>
          <cell r="N2284">
            <v>1</v>
          </cell>
        </row>
        <row r="2285">
          <cell r="E2285" t="str">
            <v>Arizona v California</v>
          </cell>
          <cell r="I2285" t="str">
            <v>CG</v>
          </cell>
          <cell r="K2285" t="str">
            <v>IPP</v>
          </cell>
          <cell r="M2285">
            <v>0.71689490474446005</v>
          </cell>
          <cell r="N2285">
            <v>1</v>
          </cell>
        </row>
        <row r="2286">
          <cell r="E2286" t="str">
            <v>Arizona v California</v>
          </cell>
          <cell r="I2286" t="str">
            <v>CG</v>
          </cell>
          <cell r="K2286" t="str">
            <v>IPP</v>
          </cell>
          <cell r="M2286">
            <v>0.81150639108217903</v>
          </cell>
          <cell r="N2286">
            <v>1</v>
          </cell>
        </row>
        <row r="2287">
          <cell r="E2287" t="str">
            <v>Arizona v California</v>
          </cell>
          <cell r="I2287" t="str">
            <v>CG</v>
          </cell>
          <cell r="K2287" t="str">
            <v>F</v>
          </cell>
          <cell r="M2287">
            <v>28.4993313909766</v>
          </cell>
          <cell r="N2287">
            <v>4</v>
          </cell>
        </row>
        <row r="2288">
          <cell r="E2288" t="str">
            <v>Arizona v California</v>
          </cell>
          <cell r="I2288" t="str">
            <v>CG</v>
          </cell>
          <cell r="K2288" t="str">
            <v>F</v>
          </cell>
          <cell r="M2288">
            <v>0.18580117945299701</v>
          </cell>
          <cell r="N2288">
            <v>4</v>
          </cell>
        </row>
        <row r="2289">
          <cell r="E2289" t="str">
            <v>Arizona v California</v>
          </cell>
          <cell r="I2289" t="str">
            <v>CG</v>
          </cell>
          <cell r="K2289" t="str">
            <v>F</v>
          </cell>
          <cell r="M2289">
            <v>0.36842939486952098</v>
          </cell>
          <cell r="N2289">
            <v>4</v>
          </cell>
        </row>
        <row r="2290">
          <cell r="E2290" t="str">
            <v>Arizona v California</v>
          </cell>
          <cell r="I2290" t="str">
            <v>CG</v>
          </cell>
          <cell r="K2290" t="str">
            <v>F</v>
          </cell>
          <cell r="M2290">
            <v>3.3956576060769201</v>
          </cell>
          <cell r="N2290">
            <v>4</v>
          </cell>
        </row>
        <row r="2291">
          <cell r="E2291" t="str">
            <v>Arizona v California</v>
          </cell>
          <cell r="I2291" t="str">
            <v>CG</v>
          </cell>
          <cell r="K2291" t="str">
            <v>F</v>
          </cell>
          <cell r="M2291">
            <v>14.0608636520014</v>
          </cell>
          <cell r="N2291">
            <v>4</v>
          </cell>
        </row>
        <row r="2292">
          <cell r="E2292" t="str">
            <v>Arizona v California</v>
          </cell>
          <cell r="I2292" t="str">
            <v>CG</v>
          </cell>
          <cell r="K2292" t="str">
            <v>F</v>
          </cell>
          <cell r="M2292">
            <v>8.8815654005086895</v>
          </cell>
          <cell r="N2292">
            <v>4</v>
          </cell>
        </row>
        <row r="2293">
          <cell r="E2293" t="str">
            <v>Arizona v California</v>
          </cell>
          <cell r="I2293" t="str">
            <v>CG</v>
          </cell>
          <cell r="K2293" t="str">
            <v>F</v>
          </cell>
          <cell r="M2293">
            <v>8.3199397256028504</v>
          </cell>
          <cell r="N2293">
            <v>4</v>
          </cell>
        </row>
        <row r="2294">
          <cell r="E2294" t="str">
            <v>Arizona v California</v>
          </cell>
          <cell r="I2294" t="str">
            <v>CG</v>
          </cell>
          <cell r="K2294" t="str">
            <v>F</v>
          </cell>
          <cell r="M2294">
            <v>9.0294934325749896</v>
          </cell>
          <cell r="N2294">
            <v>4</v>
          </cell>
        </row>
        <row r="2295">
          <cell r="E2295" t="str">
            <v>Arizona v California</v>
          </cell>
          <cell r="I2295" t="str">
            <v>CG</v>
          </cell>
          <cell r="K2295" t="str">
            <v>F</v>
          </cell>
          <cell r="M2295">
            <v>0.46618503040300502</v>
          </cell>
          <cell r="N2295">
            <v>4</v>
          </cell>
        </row>
        <row r="2296">
          <cell r="E2296" t="str">
            <v>Arizona v California</v>
          </cell>
          <cell r="I2296" t="str">
            <v>CG</v>
          </cell>
          <cell r="K2296" t="str">
            <v>F</v>
          </cell>
          <cell r="M2296">
            <v>2.21426644320238</v>
          </cell>
          <cell r="N2296">
            <v>4</v>
          </cell>
        </row>
        <row r="2297">
          <cell r="E2297" t="str">
            <v>Arizona v California</v>
          </cell>
          <cell r="I2297" t="str">
            <v>CG</v>
          </cell>
          <cell r="K2297" t="str">
            <v>F</v>
          </cell>
          <cell r="M2297">
            <v>0.25432727759614099</v>
          </cell>
          <cell r="N2297">
            <v>4</v>
          </cell>
        </row>
        <row r="2298">
          <cell r="E2298" t="str">
            <v>Arizona v California</v>
          </cell>
          <cell r="I2298" t="str">
            <v>CG</v>
          </cell>
          <cell r="K2298" t="str">
            <v>F</v>
          </cell>
          <cell r="M2298">
            <v>0.51734983179466199</v>
          </cell>
          <cell r="N2298">
            <v>4</v>
          </cell>
        </row>
        <row r="2299">
          <cell r="E2299" t="str">
            <v>Arizona v California</v>
          </cell>
          <cell r="I2299" t="str">
            <v>CG</v>
          </cell>
          <cell r="K2299" t="str">
            <v>F</v>
          </cell>
          <cell r="M2299">
            <v>29.211723539422501</v>
          </cell>
          <cell r="N2299">
            <v>4</v>
          </cell>
        </row>
        <row r="2300">
          <cell r="E2300" t="str">
            <v>Arizona v California</v>
          </cell>
          <cell r="I2300" t="str">
            <v>CG</v>
          </cell>
          <cell r="K2300" t="str">
            <v>F</v>
          </cell>
          <cell r="M2300">
            <v>7.5089519367748698</v>
          </cell>
          <cell r="N2300">
            <v>4</v>
          </cell>
        </row>
        <row r="2301">
          <cell r="E2301" t="str">
            <v>Arizona v California</v>
          </cell>
          <cell r="I2301" t="str">
            <v>CG</v>
          </cell>
          <cell r="K2301" t="str">
            <v>F</v>
          </cell>
          <cell r="M2301">
            <v>10.333885315909599</v>
          </cell>
          <cell r="N2301">
            <v>4</v>
          </cell>
        </row>
        <row r="2302">
          <cell r="E2302" t="str">
            <v>Arizona v California</v>
          </cell>
          <cell r="I2302" t="str">
            <v>CG</v>
          </cell>
          <cell r="K2302" t="str">
            <v>F</v>
          </cell>
          <cell r="M2302">
            <v>2.12022831979223</v>
          </cell>
          <cell r="N2302">
            <v>4</v>
          </cell>
        </row>
        <row r="2303">
          <cell r="E2303" t="str">
            <v>Arizona v California</v>
          </cell>
          <cell r="I2303" t="str">
            <v>CG</v>
          </cell>
          <cell r="K2303" t="str">
            <v>F</v>
          </cell>
          <cell r="M2303">
            <v>6.9052147153575101</v>
          </cell>
          <cell r="N2303">
            <v>4</v>
          </cell>
        </row>
        <row r="2304">
          <cell r="E2304" t="str">
            <v>Arizona v California</v>
          </cell>
          <cell r="I2304" t="str">
            <v>CG</v>
          </cell>
          <cell r="K2304" t="str">
            <v>F</v>
          </cell>
          <cell r="M2304">
            <v>1.2438462367635199</v>
          </cell>
          <cell r="N2304">
            <v>4</v>
          </cell>
        </row>
        <row r="2305">
          <cell r="E2305" t="str">
            <v>Arizona v California</v>
          </cell>
          <cell r="I2305" t="str">
            <v>CG</v>
          </cell>
          <cell r="K2305" t="str">
            <v>F</v>
          </cell>
          <cell r="M2305">
            <v>5.1160455526875799</v>
          </cell>
          <cell r="N2305">
            <v>4</v>
          </cell>
        </row>
        <row r="2306">
          <cell r="E2306" t="str">
            <v>Arizona v California</v>
          </cell>
          <cell r="I2306" t="str">
            <v>CG</v>
          </cell>
          <cell r="K2306" t="str">
            <v>F</v>
          </cell>
          <cell r="M2306">
            <v>3.1024640835762298</v>
          </cell>
          <cell r="N2306">
            <v>4</v>
          </cell>
        </row>
        <row r="2307">
          <cell r="E2307" t="str">
            <v>Arizona v California</v>
          </cell>
          <cell r="I2307" t="str">
            <v>CG</v>
          </cell>
          <cell r="K2307" t="str">
            <v>F</v>
          </cell>
          <cell r="M2307">
            <v>1.77196370318108</v>
          </cell>
          <cell r="N2307">
            <v>4</v>
          </cell>
        </row>
        <row r="2308">
          <cell r="E2308" t="str">
            <v>Arizona v California</v>
          </cell>
          <cell r="I2308" t="str">
            <v>CG</v>
          </cell>
          <cell r="K2308" t="str">
            <v>F</v>
          </cell>
          <cell r="M2308">
            <v>16.903293920536299</v>
          </cell>
          <cell r="N2308">
            <v>4</v>
          </cell>
        </row>
        <row r="2309">
          <cell r="E2309" t="str">
            <v>Arizona v California</v>
          </cell>
          <cell r="I2309" t="str">
            <v>CG</v>
          </cell>
          <cell r="K2309" t="str">
            <v>F</v>
          </cell>
          <cell r="M2309">
            <v>0.13082474975747399</v>
          </cell>
          <cell r="N2309">
            <v>4</v>
          </cell>
        </row>
        <row r="2310">
          <cell r="E2310" t="str">
            <v>Arizona v California</v>
          </cell>
          <cell r="I2310" t="str">
            <v>CG</v>
          </cell>
          <cell r="K2310" t="str">
            <v>DSL</v>
          </cell>
          <cell r="M2310">
            <v>2.6887332931654E-2</v>
          </cell>
          <cell r="N2310">
            <v>2</v>
          </cell>
        </row>
        <row r="2311">
          <cell r="E2311" t="str">
            <v>Arizona v California</v>
          </cell>
          <cell r="I2311" t="str">
            <v>CG</v>
          </cell>
          <cell r="K2311" t="str">
            <v>F</v>
          </cell>
          <cell r="M2311">
            <v>5.7395985510829597</v>
          </cell>
          <cell r="N2311">
            <v>4</v>
          </cell>
        </row>
        <row r="2312">
          <cell r="E2312" t="str">
            <v>Arizona v California</v>
          </cell>
          <cell r="I2312" t="str">
            <v>CG</v>
          </cell>
          <cell r="K2312" t="str">
            <v>DSL</v>
          </cell>
          <cell r="M2312">
            <v>2.7880987221068E-2</v>
          </cell>
          <cell r="N2312">
            <v>2</v>
          </cell>
        </row>
        <row r="2313">
          <cell r="E2313" t="str">
            <v>Arizona v California</v>
          </cell>
          <cell r="I2313" t="str">
            <v>CG</v>
          </cell>
          <cell r="K2313" t="str">
            <v>F</v>
          </cell>
          <cell r="M2313">
            <v>3.5947025719061001</v>
          </cell>
          <cell r="N2313">
            <v>4</v>
          </cell>
        </row>
        <row r="2314">
          <cell r="E2314" t="str">
            <v>Arizona v California</v>
          </cell>
          <cell r="I2314" t="str">
            <v>CG</v>
          </cell>
          <cell r="K2314" t="str">
            <v>F</v>
          </cell>
          <cell r="M2314">
            <v>19.939014702329501</v>
          </cell>
          <cell r="N2314">
            <v>4</v>
          </cell>
        </row>
        <row r="2315">
          <cell r="E2315" t="str">
            <v>Arizona v California</v>
          </cell>
          <cell r="I2315" t="str">
            <v>CG</v>
          </cell>
          <cell r="K2315" t="str">
            <v>F</v>
          </cell>
          <cell r="M2315">
            <v>4.1138287496666003E-2</v>
          </cell>
          <cell r="N2315">
            <v>4</v>
          </cell>
        </row>
        <row r="2316">
          <cell r="E2316" t="str">
            <v>Arizona v California</v>
          </cell>
          <cell r="I2316" t="str">
            <v>CG</v>
          </cell>
          <cell r="K2316" t="str">
            <v>F</v>
          </cell>
          <cell r="M2316">
            <v>0.157877718358302</v>
          </cell>
          <cell r="N2316">
            <v>4</v>
          </cell>
        </row>
        <row r="2317">
          <cell r="E2317" t="str">
            <v>Arizona v California</v>
          </cell>
          <cell r="I2317" t="str">
            <v>CG</v>
          </cell>
          <cell r="K2317" t="str">
            <v>DSL</v>
          </cell>
          <cell r="M2317">
            <v>0.204562607557913</v>
          </cell>
          <cell r="N2317">
            <v>2</v>
          </cell>
        </row>
        <row r="2318">
          <cell r="E2318" t="str">
            <v>Arizona v California</v>
          </cell>
          <cell r="I2318" t="str">
            <v>CG</v>
          </cell>
          <cell r="K2318" t="str">
            <v>F</v>
          </cell>
          <cell r="M2318">
            <v>2.5454931545456101</v>
          </cell>
          <cell r="N2318">
            <v>4</v>
          </cell>
        </row>
        <row r="2319">
          <cell r="E2319" t="str">
            <v>Arizona v California</v>
          </cell>
          <cell r="I2319" t="str">
            <v>CG</v>
          </cell>
          <cell r="K2319" t="str">
            <v>DSL</v>
          </cell>
          <cell r="M2319">
            <v>0.44667038079287302</v>
          </cell>
          <cell r="N2319">
            <v>2</v>
          </cell>
        </row>
        <row r="2320">
          <cell r="E2320" t="str">
            <v>Arizona v California</v>
          </cell>
          <cell r="I2320" t="str">
            <v>CG</v>
          </cell>
          <cell r="K2320" t="str">
            <v>F</v>
          </cell>
          <cell r="M2320">
            <v>1.14390701238765</v>
          </cell>
          <cell r="N2320">
            <v>4</v>
          </cell>
        </row>
        <row r="2321">
          <cell r="E2321" t="str">
            <v>Arizona v California</v>
          </cell>
          <cell r="I2321" t="str">
            <v>CG</v>
          </cell>
          <cell r="K2321" t="str">
            <v>F</v>
          </cell>
          <cell r="M2321">
            <v>8.4033512386378</v>
          </cell>
          <cell r="N2321">
            <v>4</v>
          </cell>
        </row>
        <row r="2322">
          <cell r="E2322" t="str">
            <v>Arizona v California</v>
          </cell>
          <cell r="I2322" t="str">
            <v>CG</v>
          </cell>
          <cell r="K2322" t="str">
            <v>F</v>
          </cell>
          <cell r="M2322">
            <v>5.6107962230029999E-2</v>
          </cell>
          <cell r="N2322">
            <v>4</v>
          </cell>
        </row>
        <row r="2323">
          <cell r="E2323" t="str">
            <v>Arizona v California</v>
          </cell>
          <cell r="I2323" t="str">
            <v>CG</v>
          </cell>
          <cell r="K2323" t="str">
            <v>F</v>
          </cell>
          <cell r="M2323">
            <v>14.330351042287701</v>
          </cell>
          <cell r="N2323">
            <v>4</v>
          </cell>
        </row>
        <row r="2324">
          <cell r="E2324" t="str">
            <v>Arizona v California</v>
          </cell>
          <cell r="I2324" t="str">
            <v>CG</v>
          </cell>
          <cell r="K2324" t="str">
            <v>F</v>
          </cell>
          <cell r="M2324">
            <v>0.32300311405857701</v>
          </cell>
          <cell r="N2324">
            <v>4</v>
          </cell>
        </row>
        <row r="2325">
          <cell r="E2325" t="str">
            <v>Arizona v California</v>
          </cell>
          <cell r="I2325" t="str">
            <v>CG</v>
          </cell>
          <cell r="K2325" t="str">
            <v>F</v>
          </cell>
          <cell r="M2325">
            <v>0.34919022561534602</v>
          </cell>
          <cell r="N2325">
            <v>4</v>
          </cell>
        </row>
        <row r="2326">
          <cell r="E2326" t="str">
            <v>Arizona v California</v>
          </cell>
          <cell r="I2326" t="str">
            <v>CG</v>
          </cell>
          <cell r="K2326" t="str">
            <v>F</v>
          </cell>
          <cell r="M2326">
            <v>0.104955862067255</v>
          </cell>
          <cell r="N2326">
            <v>4</v>
          </cell>
        </row>
        <row r="2327">
          <cell r="E2327" t="str">
            <v>Arizona v California</v>
          </cell>
          <cell r="I2327" t="str">
            <v>CG</v>
          </cell>
          <cell r="K2327" t="str">
            <v>DSL</v>
          </cell>
          <cell r="M2327">
            <v>2.1836654567897001E-2</v>
          </cell>
          <cell r="N2327">
            <v>2</v>
          </cell>
        </row>
        <row r="2328">
          <cell r="E2328" t="str">
            <v>Arizona v California</v>
          </cell>
          <cell r="I2328" t="str">
            <v>CG</v>
          </cell>
          <cell r="K2328" t="str">
            <v>F</v>
          </cell>
          <cell r="M2328">
            <v>17.1967365196329</v>
          </cell>
          <cell r="N2328">
            <v>4</v>
          </cell>
        </row>
        <row r="2329">
          <cell r="E2329" t="str">
            <v>Arizona v California</v>
          </cell>
          <cell r="I2329" t="str">
            <v>CG</v>
          </cell>
          <cell r="K2329" t="str">
            <v>DSL</v>
          </cell>
          <cell r="M2329">
            <v>0.190809045052863</v>
          </cell>
          <cell r="N2329">
            <v>2</v>
          </cell>
        </row>
        <row r="2330">
          <cell r="E2330" t="str">
            <v>Arizona v California</v>
          </cell>
          <cell r="I2330" t="str">
            <v>CG</v>
          </cell>
          <cell r="K2330" t="str">
            <v>F</v>
          </cell>
          <cell r="M2330">
            <v>0.40828739235596101</v>
          </cell>
          <cell r="N2330">
            <v>4</v>
          </cell>
        </row>
        <row r="2331">
          <cell r="E2331" t="str">
            <v>Arizona v California</v>
          </cell>
          <cell r="I2331" t="str">
            <v>CG</v>
          </cell>
          <cell r="K2331" t="str">
            <v>F</v>
          </cell>
          <cell r="M2331">
            <v>8.5129576028935006</v>
          </cell>
          <cell r="N2331">
            <v>4</v>
          </cell>
        </row>
        <row r="2332">
          <cell r="E2332" t="str">
            <v>Arizona v California</v>
          </cell>
          <cell r="I2332" t="str">
            <v>CG</v>
          </cell>
          <cell r="K2332" t="str">
            <v>F</v>
          </cell>
          <cell r="M2332">
            <v>0.58423816480288704</v>
          </cell>
          <cell r="N2332">
            <v>4</v>
          </cell>
        </row>
        <row r="2333">
          <cell r="E2333" t="str">
            <v>Arizona v California</v>
          </cell>
          <cell r="I2333" t="str">
            <v>CG</v>
          </cell>
          <cell r="K2333" t="str">
            <v>F</v>
          </cell>
          <cell r="M2333">
            <v>2.7163292126202201</v>
          </cell>
          <cell r="N2333">
            <v>4</v>
          </cell>
        </row>
        <row r="2334">
          <cell r="E2334" t="str">
            <v>Arizona v California</v>
          </cell>
          <cell r="I2334" t="str">
            <v>CG</v>
          </cell>
          <cell r="K2334" t="str">
            <v>F</v>
          </cell>
          <cell r="M2334">
            <v>4.13217434424846</v>
          </cell>
          <cell r="N2334">
            <v>4</v>
          </cell>
        </row>
        <row r="2335">
          <cell r="E2335" t="str">
            <v>Arizona v California</v>
          </cell>
          <cell r="I2335" t="str">
            <v>CG</v>
          </cell>
          <cell r="K2335" t="str">
            <v>F</v>
          </cell>
          <cell r="M2335">
            <v>1.71219599519899</v>
          </cell>
          <cell r="N2335">
            <v>4</v>
          </cell>
        </row>
        <row r="2336">
          <cell r="E2336" t="str">
            <v>Arizona v California</v>
          </cell>
          <cell r="I2336" t="str">
            <v>CG</v>
          </cell>
          <cell r="K2336" t="str">
            <v>F</v>
          </cell>
          <cell r="M2336">
            <v>3.7187385916387599</v>
          </cell>
          <cell r="N2336">
            <v>4</v>
          </cell>
        </row>
        <row r="2337">
          <cell r="E2337" t="str">
            <v>Arizona v California</v>
          </cell>
          <cell r="I2337" t="str">
            <v>CG</v>
          </cell>
          <cell r="K2337" t="str">
            <v>F</v>
          </cell>
          <cell r="M2337">
            <v>1.04001291990044</v>
          </cell>
          <cell r="N2337">
            <v>4</v>
          </cell>
        </row>
        <row r="2338">
          <cell r="E2338" t="str">
            <v>Arizona v California</v>
          </cell>
          <cell r="I2338" t="str">
            <v>CG</v>
          </cell>
          <cell r="K2338" t="str">
            <v>F</v>
          </cell>
          <cell r="M2338">
            <v>0.43140098124159498</v>
          </cell>
          <cell r="N2338">
            <v>4</v>
          </cell>
        </row>
        <row r="2339">
          <cell r="E2339" t="str">
            <v>Arizona v California</v>
          </cell>
          <cell r="I2339" t="str">
            <v>CG</v>
          </cell>
          <cell r="K2339" t="str">
            <v>F</v>
          </cell>
          <cell r="M2339">
            <v>0.10438183637370201</v>
          </cell>
          <cell r="N2339">
            <v>4</v>
          </cell>
        </row>
        <row r="2340">
          <cell r="E2340" t="str">
            <v>Arizona v California</v>
          </cell>
          <cell r="I2340" t="str">
            <v>CG</v>
          </cell>
          <cell r="K2340" t="str">
            <v>F</v>
          </cell>
          <cell r="M2340">
            <v>9.3422217514565205</v>
          </cell>
          <cell r="N2340">
            <v>4</v>
          </cell>
        </row>
        <row r="2341">
          <cell r="E2341" t="str">
            <v>Arizona v California</v>
          </cell>
          <cell r="I2341" t="str">
            <v>CG</v>
          </cell>
          <cell r="K2341" t="str">
            <v>F</v>
          </cell>
          <cell r="M2341">
            <v>14.7351100993389</v>
          </cell>
          <cell r="N2341">
            <v>4</v>
          </cell>
        </row>
        <row r="2342">
          <cell r="E2342" t="str">
            <v>Arizona v California</v>
          </cell>
          <cell r="I2342" t="str">
            <v>CG</v>
          </cell>
          <cell r="K2342" t="str">
            <v>INP</v>
          </cell>
          <cell r="M2342">
            <v>17.951215269762201</v>
          </cell>
          <cell r="N2342">
            <v>1</v>
          </cell>
        </row>
        <row r="2343">
          <cell r="E2343" t="str">
            <v>Arizona v California</v>
          </cell>
          <cell r="I2343" t="str">
            <v>CG</v>
          </cell>
          <cell r="K2343" t="str">
            <v>F</v>
          </cell>
          <cell r="M2343">
            <v>2.7472835561031501</v>
          </cell>
          <cell r="N2343">
            <v>4</v>
          </cell>
        </row>
        <row r="2344">
          <cell r="E2344" t="str">
            <v>Arizona v California</v>
          </cell>
          <cell r="I2344" t="str">
            <v>CG</v>
          </cell>
          <cell r="K2344" t="str">
            <v>F</v>
          </cell>
          <cell r="M2344">
            <v>21.3539194688904</v>
          </cell>
          <cell r="N2344">
            <v>4</v>
          </cell>
        </row>
        <row r="2345">
          <cell r="E2345" t="str">
            <v>Arizona v California</v>
          </cell>
          <cell r="I2345" t="str">
            <v>CG</v>
          </cell>
          <cell r="K2345" t="str">
            <v>F</v>
          </cell>
          <cell r="M2345">
            <v>2.8535988384427</v>
          </cell>
          <cell r="N2345">
            <v>4</v>
          </cell>
        </row>
        <row r="2346">
          <cell r="E2346" t="str">
            <v>Arizona v California</v>
          </cell>
          <cell r="I2346" t="str">
            <v>CG</v>
          </cell>
          <cell r="K2346" t="str">
            <v>F</v>
          </cell>
          <cell r="M2346">
            <v>3.6762833899781699</v>
          </cell>
          <cell r="N2346">
            <v>4</v>
          </cell>
        </row>
        <row r="2347">
          <cell r="E2347" t="str">
            <v>Arizona v California</v>
          </cell>
          <cell r="I2347" t="str">
            <v>CG</v>
          </cell>
          <cell r="K2347" t="str">
            <v>F</v>
          </cell>
          <cell r="M2347">
            <v>4.6749392551173896</v>
          </cell>
          <cell r="N2347">
            <v>4</v>
          </cell>
        </row>
        <row r="2348">
          <cell r="E2348" t="str">
            <v>Arizona v California</v>
          </cell>
          <cell r="I2348" t="str">
            <v>CG</v>
          </cell>
          <cell r="K2348" t="str">
            <v>INP</v>
          </cell>
          <cell r="M2348">
            <v>19.958128259210199</v>
          </cell>
          <cell r="N2348">
            <v>1</v>
          </cell>
        </row>
        <row r="2349">
          <cell r="E2349" t="str">
            <v>Arizona v California</v>
          </cell>
          <cell r="I2349" t="str">
            <v>CG</v>
          </cell>
          <cell r="K2349" t="str">
            <v>F</v>
          </cell>
          <cell r="M2349">
            <v>1.3170300233779799</v>
          </cell>
          <cell r="N2349">
            <v>4</v>
          </cell>
        </row>
        <row r="2350">
          <cell r="E2350" t="str">
            <v>Arizona v California</v>
          </cell>
          <cell r="I2350" t="str">
            <v>CG</v>
          </cell>
          <cell r="K2350" t="str">
            <v>F</v>
          </cell>
          <cell r="M2350">
            <v>0.118184927546695</v>
          </cell>
          <cell r="N2350">
            <v>4</v>
          </cell>
        </row>
        <row r="2351">
          <cell r="E2351" t="str">
            <v>Arizona v California</v>
          </cell>
          <cell r="I2351" t="str">
            <v>CG</v>
          </cell>
          <cell r="K2351" t="str">
            <v>F</v>
          </cell>
          <cell r="M2351">
            <v>6.4825700702616604</v>
          </cell>
          <cell r="N2351">
            <v>4</v>
          </cell>
        </row>
        <row r="2352">
          <cell r="E2352" t="str">
            <v>Arizona v California</v>
          </cell>
          <cell r="I2352" t="str">
            <v>CG</v>
          </cell>
          <cell r="K2352" t="str">
            <v>F</v>
          </cell>
          <cell r="M2352">
            <v>4.5142432472881104</v>
          </cell>
          <cell r="N2352">
            <v>4</v>
          </cell>
        </row>
        <row r="2353">
          <cell r="E2353" t="str">
            <v>Arizona v California</v>
          </cell>
          <cell r="I2353" t="str">
            <v>CG</v>
          </cell>
          <cell r="K2353" t="str">
            <v>F</v>
          </cell>
          <cell r="M2353">
            <v>0.22160236695062699</v>
          </cell>
          <cell r="N2353">
            <v>4</v>
          </cell>
        </row>
        <row r="2354">
          <cell r="E2354" t="str">
            <v>Arizona v California</v>
          </cell>
          <cell r="I2354" t="str">
            <v>CG</v>
          </cell>
          <cell r="K2354" t="str">
            <v>Res,W</v>
          </cell>
          <cell r="M2354">
            <v>0.53890391832387297</v>
          </cell>
          <cell r="N2354">
            <v>4</v>
          </cell>
        </row>
        <row r="2355">
          <cell r="E2355" t="str">
            <v>Arizona v California</v>
          </cell>
          <cell r="I2355" t="str">
            <v>CG</v>
          </cell>
          <cell r="K2355" t="str">
            <v>Fo</v>
          </cell>
          <cell r="M2355">
            <v>0.69625978435577596</v>
          </cell>
          <cell r="N2355">
            <v>1</v>
          </cell>
        </row>
        <row r="2356">
          <cell r="E2356" t="str">
            <v>Arizona v California</v>
          </cell>
          <cell r="I2356" t="str">
            <v>CG</v>
          </cell>
          <cell r="K2356" t="str">
            <v>H</v>
          </cell>
          <cell r="M2356">
            <v>8.6185869522180596</v>
          </cell>
          <cell r="N2356">
            <v>1</v>
          </cell>
        </row>
        <row r="2357">
          <cell r="E2357" t="str">
            <v>Arizona v California</v>
          </cell>
          <cell r="I2357" t="str">
            <v>CG</v>
          </cell>
          <cell r="K2357" t="str">
            <v>F</v>
          </cell>
          <cell r="M2357">
            <v>0.56731760918973295</v>
          </cell>
          <cell r="N2357">
            <v>4</v>
          </cell>
        </row>
        <row r="2358">
          <cell r="E2358" t="str">
            <v>Arizona v California</v>
          </cell>
          <cell r="I2358" t="str">
            <v>CG</v>
          </cell>
          <cell r="K2358" t="str">
            <v>F</v>
          </cell>
          <cell r="M2358">
            <v>0.427187451947031</v>
          </cell>
          <cell r="N2358">
            <v>4</v>
          </cell>
        </row>
        <row r="2359">
          <cell r="E2359" t="str">
            <v>Arizona v California</v>
          </cell>
          <cell r="I2359" t="str">
            <v>CG</v>
          </cell>
          <cell r="K2359" t="str">
            <v>F</v>
          </cell>
          <cell r="M2359">
            <v>0.72504711817835699</v>
          </cell>
          <cell r="N2359">
            <v>4</v>
          </cell>
        </row>
        <row r="2360">
          <cell r="E2360" t="str">
            <v>Arizona v California</v>
          </cell>
          <cell r="I2360" t="str">
            <v>CG</v>
          </cell>
          <cell r="K2360" t="str">
            <v>H</v>
          </cell>
          <cell r="M2360">
            <v>3.2649107341382502</v>
          </cell>
          <cell r="N2360">
            <v>1</v>
          </cell>
        </row>
        <row r="2361">
          <cell r="E2361" t="str">
            <v>Arizona v California</v>
          </cell>
          <cell r="I2361" t="str">
            <v>CG</v>
          </cell>
          <cell r="K2361" t="str">
            <v>IPP</v>
          </cell>
          <cell r="M2361">
            <v>20.3214724934336</v>
          </cell>
          <cell r="N2361">
            <v>1</v>
          </cell>
        </row>
        <row r="2362">
          <cell r="E2362" t="str">
            <v>Arizona v California</v>
          </cell>
          <cell r="I2362" t="str">
            <v>CG</v>
          </cell>
          <cell r="K2362" t="str">
            <v>A</v>
          </cell>
          <cell r="M2362">
            <v>24.470548887240401</v>
          </cell>
          <cell r="N2362">
            <v>1</v>
          </cell>
        </row>
        <row r="2363">
          <cell r="E2363" t="str">
            <v>Arizona v California</v>
          </cell>
          <cell r="I2363" t="str">
            <v>CG</v>
          </cell>
          <cell r="K2363" t="str">
            <v>F</v>
          </cell>
          <cell r="M2363">
            <v>3.1995376317163003E-2</v>
          </cell>
          <cell r="N2363">
            <v>4</v>
          </cell>
        </row>
        <row r="2364">
          <cell r="E2364" t="str">
            <v>Arizona v California</v>
          </cell>
          <cell r="I2364" t="str">
            <v>CG</v>
          </cell>
          <cell r="K2364" t="str">
            <v>INP</v>
          </cell>
          <cell r="M2364">
            <v>16.913387298848001</v>
          </cell>
          <cell r="N2364">
            <v>1</v>
          </cell>
        </row>
        <row r="2365">
          <cell r="E2365" t="str">
            <v>Arizona v California</v>
          </cell>
          <cell r="I2365" t="str">
            <v>CG</v>
          </cell>
          <cell r="K2365" t="str">
            <v>F</v>
          </cell>
          <cell r="M2365">
            <v>1.9049500876215799</v>
          </cell>
          <cell r="N2365">
            <v>4</v>
          </cell>
        </row>
        <row r="2366">
          <cell r="E2366" t="str">
            <v>Arizona v California</v>
          </cell>
          <cell r="I2366" t="str">
            <v>CG</v>
          </cell>
          <cell r="K2366" t="str">
            <v>DSL</v>
          </cell>
          <cell r="M2366">
            <v>2.6249906266428802</v>
          </cell>
          <cell r="N2366">
            <v>2</v>
          </cell>
        </row>
        <row r="2367">
          <cell r="E2367" t="str">
            <v>Arizona v California</v>
          </cell>
          <cell r="I2367" t="str">
            <v>CG</v>
          </cell>
          <cell r="K2367" t="str">
            <v>Out</v>
          </cell>
          <cell r="M2367">
            <v>10.861456846248499</v>
          </cell>
          <cell r="N2367">
            <v>4</v>
          </cell>
        </row>
        <row r="2368">
          <cell r="E2368" t="str">
            <v>Arizona v California</v>
          </cell>
          <cell r="I2368" t="str">
            <v>CG</v>
          </cell>
          <cell r="K2368" t="str">
            <v>IPP</v>
          </cell>
          <cell r="M2368">
            <v>59.022184696024397</v>
          </cell>
          <cell r="N2368">
            <v>1</v>
          </cell>
        </row>
        <row r="2369">
          <cell r="E2369" t="str">
            <v>Arizona v California</v>
          </cell>
          <cell r="I2369" t="str">
            <v>CG</v>
          </cell>
          <cell r="K2369" t="str">
            <v>F</v>
          </cell>
          <cell r="M2369">
            <v>1.6207425728118501</v>
          </cell>
          <cell r="N2369">
            <v>4</v>
          </cell>
        </row>
        <row r="2370">
          <cell r="E2370" t="str">
            <v>Arizona v California</v>
          </cell>
          <cell r="I2370" t="str">
            <v>CG</v>
          </cell>
          <cell r="K2370" t="str">
            <v>Fo</v>
          </cell>
          <cell r="M2370">
            <v>0.19201492054095401</v>
          </cell>
          <cell r="N2370">
            <v>3</v>
          </cell>
        </row>
        <row r="2371">
          <cell r="E2371" t="str">
            <v>Arizona v California</v>
          </cell>
          <cell r="I2371" t="str">
            <v>CG</v>
          </cell>
          <cell r="K2371" t="str">
            <v>F</v>
          </cell>
          <cell r="M2371">
            <v>18.524186281716698</v>
          </cell>
          <cell r="N2371">
            <v>4</v>
          </cell>
        </row>
        <row r="2372">
          <cell r="E2372" t="str">
            <v>Arizona v California</v>
          </cell>
          <cell r="I2372" t="str">
            <v>CG</v>
          </cell>
          <cell r="K2372" t="str">
            <v>Stk,D</v>
          </cell>
          <cell r="M2372">
            <v>1.0629238826941201</v>
          </cell>
          <cell r="N2372">
            <v>4</v>
          </cell>
        </row>
        <row r="2373">
          <cell r="E2373" t="str">
            <v>Arizona v California</v>
          </cell>
          <cell r="I2373" t="str">
            <v>CG</v>
          </cell>
          <cell r="K2373" t="str">
            <v>Out</v>
          </cell>
          <cell r="M2373">
            <v>17.442698404956602</v>
          </cell>
          <cell r="N2373">
            <v>4</v>
          </cell>
        </row>
        <row r="2374">
          <cell r="E2374" t="str">
            <v>Arizona v California</v>
          </cell>
          <cell r="I2374" t="str">
            <v>CG</v>
          </cell>
          <cell r="K2374" t="str">
            <v>F</v>
          </cell>
          <cell r="M2374">
            <v>0.26587867858668601</v>
          </cell>
          <cell r="N2374">
            <v>4</v>
          </cell>
        </row>
        <row r="2375">
          <cell r="E2375" t="str">
            <v>Arizona v California</v>
          </cell>
          <cell r="I2375" t="str">
            <v>CG</v>
          </cell>
          <cell r="K2375" t="str">
            <v>Stk,D</v>
          </cell>
          <cell r="M2375">
            <v>0.956811222185596</v>
          </cell>
          <cell r="N2375">
            <v>4</v>
          </cell>
        </row>
        <row r="2376">
          <cell r="E2376" t="str">
            <v>Arizona v California</v>
          </cell>
          <cell r="I2376" t="str">
            <v>CG</v>
          </cell>
          <cell r="K2376" t="str">
            <v>Res,D</v>
          </cell>
          <cell r="M2376">
            <v>1.03879411872836</v>
          </cell>
          <cell r="N2376">
            <v>4</v>
          </cell>
        </row>
        <row r="2377">
          <cell r="E2377" t="str">
            <v>Arizona v California</v>
          </cell>
          <cell r="I2377" t="str">
            <v>CG</v>
          </cell>
          <cell r="K2377" t="str">
            <v>F</v>
          </cell>
          <cell r="M2377">
            <v>7.1087010953249E-2</v>
          </cell>
          <cell r="N2377">
            <v>4</v>
          </cell>
        </row>
        <row r="2378">
          <cell r="E2378" t="str">
            <v>Arizona v California</v>
          </cell>
          <cell r="I2378" t="str">
            <v>CG</v>
          </cell>
          <cell r="K2378" t="str">
            <v>Res,D</v>
          </cell>
          <cell r="M2378">
            <v>0.56803383061831103</v>
          </cell>
          <cell r="N2378">
            <v>4</v>
          </cell>
        </row>
        <row r="2379">
          <cell r="E2379" t="str">
            <v>Arizona v California</v>
          </cell>
          <cell r="I2379" t="str">
            <v>CG</v>
          </cell>
          <cell r="K2379" t="str">
            <v>F</v>
          </cell>
          <cell r="M2379">
            <v>0.111330244702312</v>
          </cell>
          <cell r="N2379">
            <v>4</v>
          </cell>
        </row>
        <row r="2380">
          <cell r="E2380" t="str">
            <v>Arizona v California</v>
          </cell>
          <cell r="I2380" t="str">
            <v>CG</v>
          </cell>
          <cell r="K2380" t="str">
            <v>F</v>
          </cell>
          <cell r="M2380">
            <v>5.4759914076434102</v>
          </cell>
          <cell r="N2380">
            <v>4</v>
          </cell>
        </row>
        <row r="2381">
          <cell r="E2381" t="str">
            <v>Arizona v California</v>
          </cell>
          <cell r="I2381" t="str">
            <v>CG</v>
          </cell>
          <cell r="K2381" t="str">
            <v>F</v>
          </cell>
          <cell r="M2381">
            <v>1.4099514554977901</v>
          </cell>
          <cell r="N2381">
            <v>4</v>
          </cell>
        </row>
        <row r="2382">
          <cell r="E2382" t="str">
            <v>Arizona v California</v>
          </cell>
          <cell r="I2382" t="str">
            <v>CG</v>
          </cell>
          <cell r="K2382" t="str">
            <v>Stk,D</v>
          </cell>
          <cell r="M2382">
            <v>0.890617993577561</v>
          </cell>
          <cell r="N2382">
            <v>4</v>
          </cell>
        </row>
        <row r="2383">
          <cell r="E2383" t="str">
            <v>Arizona v California</v>
          </cell>
          <cell r="I2383" t="str">
            <v>CG</v>
          </cell>
          <cell r="K2383" t="str">
            <v>DSL</v>
          </cell>
          <cell r="M2383">
            <v>0.74641721173613795</v>
          </cell>
          <cell r="N2383">
            <v>2</v>
          </cell>
        </row>
        <row r="2384">
          <cell r="E2384" t="str">
            <v>Arizona v California</v>
          </cell>
          <cell r="I2384" t="str">
            <v>CG</v>
          </cell>
          <cell r="K2384" t="str">
            <v>F</v>
          </cell>
          <cell r="M2384">
            <v>6.3239581673386098</v>
          </cell>
          <cell r="N2384">
            <v>4</v>
          </cell>
        </row>
        <row r="2385">
          <cell r="E2385" t="str">
            <v>Arizona v California</v>
          </cell>
          <cell r="I2385" t="str">
            <v>CG</v>
          </cell>
          <cell r="K2385" t="str">
            <v>F</v>
          </cell>
          <cell r="M2385">
            <v>5.6772765554225799</v>
          </cell>
          <cell r="N2385">
            <v>4</v>
          </cell>
        </row>
        <row r="2386">
          <cell r="E2386" t="str">
            <v>Arizona v California</v>
          </cell>
          <cell r="I2386" t="str">
            <v>CG</v>
          </cell>
          <cell r="K2386" t="str">
            <v>A</v>
          </cell>
          <cell r="M2386">
            <v>17.743751647664201</v>
          </cell>
          <cell r="N2386">
            <v>1</v>
          </cell>
        </row>
        <row r="2387">
          <cell r="E2387" t="str">
            <v>Arizona v California</v>
          </cell>
          <cell r="I2387" t="str">
            <v>CG</v>
          </cell>
          <cell r="K2387" t="str">
            <v>F</v>
          </cell>
          <cell r="M2387">
            <v>1.38275097733023</v>
          </cell>
          <cell r="N2387">
            <v>4</v>
          </cell>
        </row>
        <row r="2388">
          <cell r="E2388" t="str">
            <v>Arizona v California</v>
          </cell>
          <cell r="I2388" t="str">
            <v>CG</v>
          </cell>
          <cell r="K2388" t="str">
            <v>F</v>
          </cell>
          <cell r="M2388">
            <v>0.33199561931655602</v>
          </cell>
          <cell r="N2388">
            <v>4</v>
          </cell>
        </row>
        <row r="2389">
          <cell r="E2389" t="str">
            <v>Arizona v California</v>
          </cell>
          <cell r="I2389" t="str">
            <v>CG</v>
          </cell>
          <cell r="K2389" t="str">
            <v>F</v>
          </cell>
          <cell r="M2389">
            <v>11.856209333854901</v>
          </cell>
          <cell r="N2389">
            <v>4</v>
          </cell>
        </row>
        <row r="2390">
          <cell r="E2390" t="str">
            <v>Arizona v California</v>
          </cell>
          <cell r="I2390" t="str">
            <v>CG</v>
          </cell>
          <cell r="K2390" t="str">
            <v>F</v>
          </cell>
          <cell r="M2390">
            <v>29.238265476630101</v>
          </cell>
          <cell r="N2390">
            <v>4</v>
          </cell>
        </row>
        <row r="2391">
          <cell r="E2391" t="str">
            <v>Arizona v California</v>
          </cell>
          <cell r="I2391" t="str">
            <v>CG</v>
          </cell>
          <cell r="K2391" t="str">
            <v>F</v>
          </cell>
          <cell r="M2391">
            <v>37.265236730392601</v>
          </cell>
          <cell r="N2391">
            <v>4</v>
          </cell>
        </row>
        <row r="2392">
          <cell r="E2392" t="str">
            <v>Arizona v California</v>
          </cell>
          <cell r="I2392" t="str">
            <v>CG</v>
          </cell>
          <cell r="K2392" t="str">
            <v>F</v>
          </cell>
          <cell r="M2392">
            <v>11.5180602493793</v>
          </cell>
          <cell r="N2392">
            <v>4</v>
          </cell>
        </row>
        <row r="2393">
          <cell r="E2393" t="str">
            <v>Arizona v California</v>
          </cell>
          <cell r="I2393" t="str">
            <v>CG</v>
          </cell>
          <cell r="K2393" t="str">
            <v>F</v>
          </cell>
          <cell r="M2393">
            <v>24.058655998288099</v>
          </cell>
          <cell r="N2393">
            <v>4</v>
          </cell>
        </row>
        <row r="2394">
          <cell r="E2394" t="str">
            <v>Arizona v California</v>
          </cell>
          <cell r="I2394" t="str">
            <v>CG</v>
          </cell>
          <cell r="K2394" t="str">
            <v>F</v>
          </cell>
          <cell r="M2394">
            <v>0.28612136038153801</v>
          </cell>
          <cell r="N2394">
            <v>4</v>
          </cell>
        </row>
        <row r="2395">
          <cell r="E2395" t="str">
            <v>Arizona v California</v>
          </cell>
          <cell r="I2395" t="str">
            <v>CG</v>
          </cell>
          <cell r="K2395" t="str">
            <v>F</v>
          </cell>
          <cell r="M2395">
            <v>0.30972525662216099</v>
          </cell>
          <cell r="N2395">
            <v>4</v>
          </cell>
        </row>
        <row r="2396">
          <cell r="E2396" t="str">
            <v>Arizona v California</v>
          </cell>
          <cell r="I2396" t="str">
            <v>CG</v>
          </cell>
          <cell r="K2396" t="str">
            <v>F</v>
          </cell>
          <cell r="M2396">
            <v>0.99382455921052304</v>
          </cell>
          <cell r="N2396">
            <v>4</v>
          </cell>
        </row>
        <row r="2397">
          <cell r="E2397" t="str">
            <v>Arizona v California</v>
          </cell>
          <cell r="I2397" t="str">
            <v>CG</v>
          </cell>
          <cell r="K2397" t="str">
            <v>F</v>
          </cell>
          <cell r="M2397">
            <v>20.965243710787199</v>
          </cell>
          <cell r="N2397">
            <v>4</v>
          </cell>
        </row>
        <row r="2398">
          <cell r="E2398" t="str">
            <v>Arizona v California</v>
          </cell>
          <cell r="I2398" t="str">
            <v>CG</v>
          </cell>
          <cell r="K2398" t="str">
            <v>F</v>
          </cell>
          <cell r="M2398">
            <v>16.397824627874002</v>
          </cell>
          <cell r="N2398">
            <v>4</v>
          </cell>
        </row>
        <row r="2399">
          <cell r="E2399" t="str">
            <v>Arizona v California</v>
          </cell>
          <cell r="I2399" t="str">
            <v>CG</v>
          </cell>
          <cell r="K2399" t="str">
            <v>A</v>
          </cell>
          <cell r="M2399">
            <v>16.110295286788698</v>
          </cell>
          <cell r="N2399">
            <v>1</v>
          </cell>
        </row>
        <row r="2400">
          <cell r="E2400" t="str">
            <v>Arizona v California</v>
          </cell>
          <cell r="I2400" t="str">
            <v>CG</v>
          </cell>
          <cell r="K2400" t="str">
            <v>F</v>
          </cell>
          <cell r="M2400">
            <v>19.628812073500399</v>
          </cell>
          <cell r="N2400">
            <v>4</v>
          </cell>
        </row>
        <row r="2401">
          <cell r="E2401" t="str">
            <v>Arizona v California</v>
          </cell>
          <cell r="I2401" t="str">
            <v>CG</v>
          </cell>
          <cell r="K2401" t="str">
            <v>F</v>
          </cell>
          <cell r="M2401">
            <v>9.0580838375840695</v>
          </cell>
          <cell r="N2401">
            <v>4</v>
          </cell>
        </row>
        <row r="2402">
          <cell r="E2402" t="str">
            <v>Arizona v California</v>
          </cell>
          <cell r="I2402" t="str">
            <v>CG</v>
          </cell>
          <cell r="K2402" t="str">
            <v>A</v>
          </cell>
          <cell r="M2402">
            <v>5.4896771070489203</v>
          </cell>
          <cell r="N2402">
            <v>1</v>
          </cell>
        </row>
        <row r="2403">
          <cell r="E2403" t="str">
            <v>Arizona v California</v>
          </cell>
          <cell r="I2403" t="str">
            <v>CG</v>
          </cell>
          <cell r="K2403" t="str">
            <v>F</v>
          </cell>
          <cell r="M2403">
            <v>32.682043902388898</v>
          </cell>
          <cell r="N2403">
            <v>4</v>
          </cell>
        </row>
        <row r="2404">
          <cell r="E2404" t="str">
            <v>Arizona v California</v>
          </cell>
          <cell r="I2404" t="str">
            <v>CG</v>
          </cell>
          <cell r="K2404" t="str">
            <v>F</v>
          </cell>
          <cell r="M2404">
            <v>13.1561410348998</v>
          </cell>
          <cell r="N2404">
            <v>4</v>
          </cell>
        </row>
        <row r="2405">
          <cell r="E2405" t="str">
            <v>Arizona v California</v>
          </cell>
          <cell r="I2405" t="str">
            <v>CG</v>
          </cell>
          <cell r="K2405" t="str">
            <v>F</v>
          </cell>
          <cell r="M2405">
            <v>2.4700246158538599</v>
          </cell>
          <cell r="N2405">
            <v>4</v>
          </cell>
        </row>
        <row r="2406">
          <cell r="E2406" t="str">
            <v>Arizona v California</v>
          </cell>
          <cell r="I2406" t="str">
            <v>CG</v>
          </cell>
          <cell r="K2406" t="str">
            <v>F</v>
          </cell>
          <cell r="M2406">
            <v>28.1573361293175</v>
          </cell>
          <cell r="N2406">
            <v>4</v>
          </cell>
        </row>
        <row r="2407">
          <cell r="E2407" t="str">
            <v>Arizona v California</v>
          </cell>
          <cell r="I2407" t="str">
            <v>CG</v>
          </cell>
          <cell r="K2407" t="str">
            <v>F</v>
          </cell>
          <cell r="M2407">
            <v>11.1699836132386</v>
          </cell>
          <cell r="N2407">
            <v>4</v>
          </cell>
        </row>
        <row r="2408">
          <cell r="E2408" t="str">
            <v>Arizona v California</v>
          </cell>
          <cell r="I2408" t="str">
            <v>CG</v>
          </cell>
          <cell r="K2408" t="str">
            <v>F</v>
          </cell>
          <cell r="M2408">
            <v>9.8671467828953396</v>
          </cell>
          <cell r="N2408">
            <v>4</v>
          </cell>
        </row>
        <row r="2409">
          <cell r="E2409" t="str">
            <v>Arizona v California</v>
          </cell>
          <cell r="I2409" t="str">
            <v>CG</v>
          </cell>
          <cell r="K2409" t="str">
            <v>F</v>
          </cell>
          <cell r="M2409">
            <v>26.408218366521201</v>
          </cell>
          <cell r="N2409">
            <v>4</v>
          </cell>
        </row>
        <row r="2410">
          <cell r="E2410" t="str">
            <v>Arizona v California</v>
          </cell>
          <cell r="I2410" t="str">
            <v>CG</v>
          </cell>
          <cell r="K2410" t="str">
            <v>F</v>
          </cell>
          <cell r="M2410">
            <v>0.30599997793912198</v>
          </cell>
          <cell r="N2410">
            <v>4</v>
          </cell>
        </row>
        <row r="2411">
          <cell r="E2411" t="str">
            <v>Arizona v California</v>
          </cell>
          <cell r="I2411" t="str">
            <v>CG</v>
          </cell>
          <cell r="K2411" t="str">
            <v>F</v>
          </cell>
          <cell r="M2411">
            <v>18.636821137694302</v>
          </cell>
          <cell r="N2411">
            <v>4</v>
          </cell>
        </row>
        <row r="2412">
          <cell r="E2412" t="str">
            <v>Arizona v California</v>
          </cell>
          <cell r="I2412" t="str">
            <v>CG</v>
          </cell>
          <cell r="K2412" t="str">
            <v>Res,D</v>
          </cell>
          <cell r="M2412">
            <v>1.38798974745723</v>
          </cell>
          <cell r="N2412">
            <v>4</v>
          </cell>
        </row>
        <row r="2413">
          <cell r="E2413" t="str">
            <v>Arizona v California</v>
          </cell>
          <cell r="I2413" t="str">
            <v>CG</v>
          </cell>
          <cell r="K2413" t="str">
            <v>F</v>
          </cell>
          <cell r="M2413">
            <v>15.538399835412999</v>
          </cell>
          <cell r="N2413">
            <v>4</v>
          </cell>
        </row>
        <row r="2414">
          <cell r="E2414" t="str">
            <v>Arizona v California</v>
          </cell>
          <cell r="I2414" t="str">
            <v>CG</v>
          </cell>
          <cell r="K2414" t="str">
            <v>F</v>
          </cell>
          <cell r="M2414">
            <v>11.6514741311492</v>
          </cell>
          <cell r="N2414">
            <v>4</v>
          </cell>
        </row>
        <row r="2415">
          <cell r="E2415" t="str">
            <v>Arizona v California</v>
          </cell>
          <cell r="I2415" t="str">
            <v>CG</v>
          </cell>
          <cell r="K2415" t="str">
            <v>F</v>
          </cell>
          <cell r="M2415">
            <v>0.43821678167230699</v>
          </cell>
          <cell r="N2415">
            <v>4</v>
          </cell>
        </row>
        <row r="2416">
          <cell r="E2416" t="str">
            <v>Arizona v California</v>
          </cell>
          <cell r="I2416" t="str">
            <v>CG</v>
          </cell>
          <cell r="K2416" t="str">
            <v>F</v>
          </cell>
          <cell r="M2416">
            <v>14.460076214911</v>
          </cell>
          <cell r="N2416">
            <v>4</v>
          </cell>
        </row>
        <row r="2417">
          <cell r="E2417" t="str">
            <v>Arizona v California</v>
          </cell>
          <cell r="I2417" t="str">
            <v>CG</v>
          </cell>
          <cell r="K2417" t="str">
            <v>F</v>
          </cell>
          <cell r="M2417">
            <v>3.6712449607206499</v>
          </cell>
          <cell r="N2417">
            <v>4</v>
          </cell>
        </row>
        <row r="2418">
          <cell r="E2418" t="str">
            <v>Arizona v California</v>
          </cell>
          <cell r="I2418" t="str">
            <v>CG</v>
          </cell>
          <cell r="K2418" t="str">
            <v>F</v>
          </cell>
          <cell r="M2418">
            <v>2.9305386535464302</v>
          </cell>
          <cell r="N2418">
            <v>4</v>
          </cell>
        </row>
        <row r="2419">
          <cell r="E2419" t="str">
            <v>Arizona v California</v>
          </cell>
          <cell r="I2419" t="str">
            <v>CG</v>
          </cell>
          <cell r="K2419" t="str">
            <v>F</v>
          </cell>
          <cell r="M2419">
            <v>3.84590303735198</v>
          </cell>
          <cell r="N2419">
            <v>4</v>
          </cell>
        </row>
        <row r="2420">
          <cell r="E2420" t="str">
            <v>Arizona v California</v>
          </cell>
          <cell r="I2420" t="str">
            <v>CG</v>
          </cell>
          <cell r="K2420" t="str">
            <v>F</v>
          </cell>
          <cell r="M2420">
            <v>3.91349056125636</v>
          </cell>
          <cell r="N2420">
            <v>4</v>
          </cell>
        </row>
        <row r="2421">
          <cell r="E2421" t="str">
            <v>Arizona v California</v>
          </cell>
          <cell r="I2421" t="str">
            <v>CG</v>
          </cell>
          <cell r="K2421" t="str">
            <v>DSL</v>
          </cell>
          <cell r="M2421">
            <v>0.34056834830110999</v>
          </cell>
          <cell r="N2421">
            <v>1</v>
          </cell>
        </row>
        <row r="2422">
          <cell r="E2422" t="str">
            <v>Arizona v California</v>
          </cell>
          <cell r="I2422" t="str">
            <v>CG</v>
          </cell>
          <cell r="K2422" t="str">
            <v>S</v>
          </cell>
          <cell r="M2422">
            <v>14.2032830764671</v>
          </cell>
          <cell r="N2422">
            <v>5</v>
          </cell>
        </row>
        <row r="2423">
          <cell r="E2423" t="str">
            <v>Arizona v California</v>
          </cell>
          <cell r="I2423" t="str">
            <v>CG</v>
          </cell>
          <cell r="K2423" t="str">
            <v>F</v>
          </cell>
          <cell r="M2423">
            <v>1.49251332748031</v>
          </cell>
          <cell r="N2423">
            <v>4</v>
          </cell>
        </row>
        <row r="2424">
          <cell r="E2424" t="str">
            <v>Arizona v California</v>
          </cell>
          <cell r="I2424" t="str">
            <v>CG</v>
          </cell>
          <cell r="K2424" t="str">
            <v>F</v>
          </cell>
          <cell r="M2424">
            <v>2.0746426213390601</v>
          </cell>
          <cell r="N2424">
            <v>4</v>
          </cell>
        </row>
        <row r="2425">
          <cell r="E2425" t="str">
            <v>Arizona v California</v>
          </cell>
          <cell r="I2425" t="str">
            <v>CG</v>
          </cell>
          <cell r="K2425" t="str">
            <v>S</v>
          </cell>
          <cell r="M2425">
            <v>2.2222200339369098</v>
          </cell>
          <cell r="N2425">
            <v>5</v>
          </cell>
        </row>
        <row r="2426">
          <cell r="E2426" t="str">
            <v>Arizona v California</v>
          </cell>
          <cell r="I2426" t="str">
            <v>CG</v>
          </cell>
          <cell r="K2426" t="str">
            <v>F</v>
          </cell>
          <cell r="M2426">
            <v>2.3936932385962999</v>
          </cell>
          <cell r="N2426">
            <v>4</v>
          </cell>
        </row>
        <row r="2427">
          <cell r="E2427" t="str">
            <v>Arizona v California</v>
          </cell>
          <cell r="I2427" t="str">
            <v>CG</v>
          </cell>
          <cell r="K2427" t="str">
            <v>F</v>
          </cell>
          <cell r="M2427">
            <v>3.4845444108511101</v>
          </cell>
          <cell r="N2427">
            <v>4</v>
          </cell>
        </row>
        <row r="2428">
          <cell r="E2428" t="str">
            <v>Arizona v California</v>
          </cell>
          <cell r="I2428" t="str">
            <v>CG</v>
          </cell>
          <cell r="K2428" t="str">
            <v>F</v>
          </cell>
          <cell r="M2428">
            <v>0.22449263578730599</v>
          </cell>
          <cell r="N2428">
            <v>4</v>
          </cell>
        </row>
        <row r="2429">
          <cell r="E2429" t="str">
            <v>Arizona v California</v>
          </cell>
          <cell r="I2429" t="str">
            <v>CG</v>
          </cell>
          <cell r="K2429" t="str">
            <v>S</v>
          </cell>
          <cell r="M2429">
            <v>2.78033413902555</v>
          </cell>
          <cell r="N2429">
            <v>5</v>
          </cell>
        </row>
        <row r="2430">
          <cell r="E2430" t="str">
            <v>Arizona v California</v>
          </cell>
          <cell r="I2430" t="str">
            <v>CG</v>
          </cell>
          <cell r="K2430" t="str">
            <v>F</v>
          </cell>
          <cell r="M2430">
            <v>2.36177830354218</v>
          </cell>
          <cell r="N2430">
            <v>4</v>
          </cell>
        </row>
        <row r="2431">
          <cell r="E2431" t="str">
            <v>Arizona v California</v>
          </cell>
          <cell r="I2431" t="str">
            <v>CG</v>
          </cell>
          <cell r="K2431" t="str">
            <v>F</v>
          </cell>
          <cell r="M2431">
            <v>18.1897435030236</v>
          </cell>
          <cell r="N2431">
            <v>4</v>
          </cell>
        </row>
        <row r="2432">
          <cell r="E2432" t="str">
            <v>Arizona v California</v>
          </cell>
          <cell r="I2432" t="str">
            <v>CG</v>
          </cell>
          <cell r="K2432" t="str">
            <v>S</v>
          </cell>
          <cell r="M2432">
            <v>3.9185644783832698</v>
          </cell>
          <cell r="N2432">
            <v>5</v>
          </cell>
        </row>
        <row r="2433">
          <cell r="E2433" t="str">
            <v>Arizona v California</v>
          </cell>
          <cell r="I2433" t="str">
            <v>CG</v>
          </cell>
          <cell r="K2433" t="str">
            <v>S</v>
          </cell>
          <cell r="M2433">
            <v>5.0412939849300402</v>
          </cell>
          <cell r="N2433">
            <v>5</v>
          </cell>
        </row>
        <row r="2434">
          <cell r="E2434" t="str">
            <v>Arizona v California</v>
          </cell>
          <cell r="I2434" t="str">
            <v>CG</v>
          </cell>
          <cell r="K2434" t="str">
            <v>F</v>
          </cell>
          <cell r="M2434">
            <v>22.1723498315698</v>
          </cell>
          <cell r="N2434">
            <v>4</v>
          </cell>
        </row>
        <row r="2435">
          <cell r="E2435" t="str">
            <v>Arizona v California</v>
          </cell>
          <cell r="I2435" t="str">
            <v>CG</v>
          </cell>
          <cell r="K2435" t="str">
            <v>S</v>
          </cell>
          <cell r="M2435">
            <v>7.0407114664026196</v>
          </cell>
          <cell r="N2435">
            <v>5</v>
          </cell>
        </row>
        <row r="2436">
          <cell r="E2436" t="str">
            <v>Arizona v California</v>
          </cell>
          <cell r="I2436" t="str">
            <v>CG</v>
          </cell>
          <cell r="K2436" t="str">
            <v>IPP</v>
          </cell>
          <cell r="M2436">
            <v>3.6826059179864701</v>
          </cell>
          <cell r="N2436">
            <v>1</v>
          </cell>
        </row>
        <row r="2437">
          <cell r="E2437" t="str">
            <v>Arizona v California</v>
          </cell>
          <cell r="I2437" t="str">
            <v>CG</v>
          </cell>
          <cell r="K2437" t="str">
            <v>Cs</v>
          </cell>
          <cell r="M2437">
            <v>2.1603729596630199</v>
          </cell>
          <cell r="N2437">
            <v>1</v>
          </cell>
        </row>
        <row r="2438">
          <cell r="E2438" t="str">
            <v>Arizona v California</v>
          </cell>
          <cell r="I2438" t="str">
            <v>CG</v>
          </cell>
          <cell r="K2438" t="str">
            <v>F</v>
          </cell>
          <cell r="M2438">
            <v>24.0313184191271</v>
          </cell>
          <cell r="N2438">
            <v>4</v>
          </cell>
        </row>
        <row r="2439">
          <cell r="E2439" t="str">
            <v>Arizona v California</v>
          </cell>
          <cell r="I2439" t="str">
            <v>CG</v>
          </cell>
          <cell r="K2439" t="str">
            <v>IPP</v>
          </cell>
          <cell r="M2439">
            <v>1.7518720945724</v>
          </cell>
          <cell r="N2439">
            <v>1</v>
          </cell>
        </row>
        <row r="2440">
          <cell r="E2440" t="str">
            <v>Arizona v California</v>
          </cell>
          <cell r="I2440" t="str">
            <v>CG</v>
          </cell>
          <cell r="K2440" t="str">
            <v>IPP</v>
          </cell>
          <cell r="M2440">
            <v>1.5202083775500499</v>
          </cell>
          <cell r="N2440">
            <v>1</v>
          </cell>
        </row>
        <row r="2441">
          <cell r="E2441" t="str">
            <v>Arizona v California</v>
          </cell>
          <cell r="I2441" t="str">
            <v>CG</v>
          </cell>
          <cell r="K2441" t="str">
            <v>IPP</v>
          </cell>
          <cell r="M2441">
            <v>1.2895032533161099</v>
          </cell>
          <cell r="N2441">
            <v>1</v>
          </cell>
        </row>
        <row r="2442">
          <cell r="E2442" t="str">
            <v>Arizona v California</v>
          </cell>
          <cell r="I2442" t="str">
            <v>CG</v>
          </cell>
          <cell r="K2442" t="str">
            <v>Res,D</v>
          </cell>
          <cell r="M2442">
            <v>0.54699771799514496</v>
          </cell>
          <cell r="N2442">
            <v>4</v>
          </cell>
        </row>
        <row r="2443">
          <cell r="E2443" t="str">
            <v>Arizona v California</v>
          </cell>
          <cell r="I2443" t="str">
            <v>CG</v>
          </cell>
          <cell r="K2443" t="str">
            <v>F</v>
          </cell>
          <cell r="M2443">
            <v>4.7625086525318299</v>
          </cell>
          <cell r="N2443">
            <v>4</v>
          </cell>
        </row>
        <row r="2444">
          <cell r="E2444" t="str">
            <v>Arizona v California</v>
          </cell>
          <cell r="I2444" t="str">
            <v>CG</v>
          </cell>
          <cell r="K2444" t="str">
            <v>F</v>
          </cell>
          <cell r="M2444">
            <v>2.5472882529040999</v>
          </cell>
          <cell r="N2444">
            <v>4</v>
          </cell>
        </row>
        <row r="2445">
          <cell r="E2445" t="str">
            <v>Arizona v California</v>
          </cell>
          <cell r="I2445" t="str">
            <v>CG</v>
          </cell>
          <cell r="K2445" t="str">
            <v>F</v>
          </cell>
          <cell r="M2445">
            <v>2.8903894918344002</v>
          </cell>
          <cell r="N2445">
            <v>4</v>
          </cell>
        </row>
        <row r="2446">
          <cell r="E2446" t="str">
            <v>Arizona v California</v>
          </cell>
          <cell r="I2446" t="str">
            <v>CG</v>
          </cell>
          <cell r="K2446" t="str">
            <v>F</v>
          </cell>
          <cell r="M2446">
            <v>17.591798596016702</v>
          </cell>
          <cell r="N2446">
            <v>4</v>
          </cell>
        </row>
        <row r="2447">
          <cell r="E2447" t="str">
            <v>Arizona v California</v>
          </cell>
          <cell r="I2447" t="str">
            <v>CG</v>
          </cell>
          <cell r="K2447" t="str">
            <v>F</v>
          </cell>
          <cell r="M2447">
            <v>3.3348372891138101</v>
          </cell>
          <cell r="N2447">
            <v>4</v>
          </cell>
        </row>
        <row r="2448">
          <cell r="E2448" t="str">
            <v>Arizona v California</v>
          </cell>
          <cell r="I2448" t="str">
            <v>CG</v>
          </cell>
          <cell r="K2448" t="str">
            <v>F</v>
          </cell>
          <cell r="M2448">
            <v>1.5324525253600301</v>
          </cell>
          <cell r="N2448">
            <v>4</v>
          </cell>
        </row>
        <row r="2449">
          <cell r="E2449" t="str">
            <v>Arizona v California</v>
          </cell>
          <cell r="I2449" t="str">
            <v>CG</v>
          </cell>
          <cell r="K2449" t="str">
            <v>F</v>
          </cell>
          <cell r="M2449">
            <v>16.775774720823399</v>
          </cell>
          <cell r="N2449">
            <v>4</v>
          </cell>
        </row>
        <row r="2450">
          <cell r="E2450" t="str">
            <v>Arizona v California</v>
          </cell>
          <cell r="I2450" t="str">
            <v>CG</v>
          </cell>
          <cell r="K2450" t="str">
            <v>F</v>
          </cell>
          <cell r="M2450">
            <v>12.1083980245504</v>
          </cell>
          <cell r="N2450">
            <v>4</v>
          </cell>
        </row>
        <row r="2451">
          <cell r="E2451" t="str">
            <v>Arizona v California</v>
          </cell>
          <cell r="I2451" t="str">
            <v>CG</v>
          </cell>
          <cell r="K2451" t="str">
            <v>F</v>
          </cell>
          <cell r="M2451">
            <v>2.2737816601468999</v>
          </cell>
          <cell r="N2451">
            <v>4</v>
          </cell>
        </row>
        <row r="2452">
          <cell r="E2452" t="str">
            <v>Arizona v California</v>
          </cell>
          <cell r="I2452" t="str">
            <v>CG</v>
          </cell>
          <cell r="K2452" t="str">
            <v>F</v>
          </cell>
          <cell r="M2452">
            <v>13.1059185264767</v>
          </cell>
          <cell r="N2452">
            <v>4</v>
          </cell>
        </row>
        <row r="2453">
          <cell r="E2453" t="str">
            <v>Arizona v California</v>
          </cell>
          <cell r="I2453" t="str">
            <v>CG</v>
          </cell>
          <cell r="K2453" t="str">
            <v>F</v>
          </cell>
          <cell r="M2453">
            <v>1.35771793526969</v>
          </cell>
          <cell r="N2453">
            <v>4</v>
          </cell>
        </row>
        <row r="2454">
          <cell r="E2454" t="str">
            <v>Arizona v California</v>
          </cell>
          <cell r="I2454" t="str">
            <v>CG</v>
          </cell>
          <cell r="K2454" t="str">
            <v>F</v>
          </cell>
          <cell r="M2454">
            <v>7.3184515883678598</v>
          </cell>
          <cell r="N2454">
            <v>4</v>
          </cell>
        </row>
        <row r="2455">
          <cell r="E2455" t="str">
            <v>Arizona v California</v>
          </cell>
          <cell r="I2455" t="str">
            <v>CG</v>
          </cell>
          <cell r="K2455" t="str">
            <v>F</v>
          </cell>
          <cell r="M2455">
            <v>24.499396984732002</v>
          </cell>
          <cell r="N2455">
            <v>4</v>
          </cell>
        </row>
        <row r="2456">
          <cell r="E2456" t="str">
            <v>Arizona v California</v>
          </cell>
          <cell r="I2456" t="str">
            <v>CG</v>
          </cell>
          <cell r="K2456" t="str">
            <v>F</v>
          </cell>
          <cell r="M2456">
            <v>28.721265760773001</v>
          </cell>
          <cell r="N2456">
            <v>4</v>
          </cell>
        </row>
        <row r="2457">
          <cell r="E2457" t="str">
            <v>Arizona v California</v>
          </cell>
          <cell r="I2457" t="str">
            <v>CG</v>
          </cell>
          <cell r="K2457" t="str">
            <v>F</v>
          </cell>
          <cell r="M2457">
            <v>15.5034701957081</v>
          </cell>
          <cell r="N2457">
            <v>4</v>
          </cell>
        </row>
        <row r="2458">
          <cell r="E2458" t="str">
            <v>Arizona v California</v>
          </cell>
          <cell r="I2458" t="str">
            <v>CG</v>
          </cell>
          <cell r="K2458" t="str">
            <v>F</v>
          </cell>
          <cell r="M2458">
            <v>1.97077752410208</v>
          </cell>
          <cell r="N2458">
            <v>4</v>
          </cell>
        </row>
        <row r="2459">
          <cell r="E2459" t="str">
            <v>Arizona v California</v>
          </cell>
          <cell r="I2459" t="str">
            <v>CG</v>
          </cell>
          <cell r="K2459" t="str">
            <v>F</v>
          </cell>
          <cell r="M2459">
            <v>1.0763444815502401</v>
          </cell>
          <cell r="N2459">
            <v>4</v>
          </cell>
        </row>
        <row r="2460">
          <cell r="E2460" t="str">
            <v>Arizona v California</v>
          </cell>
          <cell r="I2460" t="str">
            <v>CG</v>
          </cell>
          <cell r="K2460" t="str">
            <v>F</v>
          </cell>
          <cell r="M2460">
            <v>13.9171216587582</v>
          </cell>
          <cell r="N2460">
            <v>4</v>
          </cell>
        </row>
        <row r="2461">
          <cell r="E2461" t="str">
            <v>Arizona v California</v>
          </cell>
          <cell r="I2461" t="str">
            <v>CG</v>
          </cell>
          <cell r="K2461" t="str">
            <v>F</v>
          </cell>
          <cell r="M2461">
            <v>6.4082731427141502</v>
          </cell>
          <cell r="N2461">
            <v>4</v>
          </cell>
        </row>
        <row r="2462">
          <cell r="E2462" t="str">
            <v>Arizona v California</v>
          </cell>
          <cell r="I2462" t="str">
            <v>CG</v>
          </cell>
          <cell r="K2462" t="str">
            <v>F</v>
          </cell>
          <cell r="M2462">
            <v>7.0602075163813902</v>
          </cell>
          <cell r="N2462">
            <v>4</v>
          </cell>
        </row>
        <row r="2463">
          <cell r="E2463" t="str">
            <v>Arizona v California</v>
          </cell>
          <cell r="I2463" t="str">
            <v>CG</v>
          </cell>
          <cell r="K2463" t="str">
            <v>F</v>
          </cell>
          <cell r="M2463">
            <v>1.88251312513641</v>
          </cell>
          <cell r="N2463">
            <v>4</v>
          </cell>
        </row>
        <row r="2464">
          <cell r="E2464" t="str">
            <v>Arizona v California</v>
          </cell>
          <cell r="I2464" t="str">
            <v>CG</v>
          </cell>
          <cell r="K2464" t="str">
            <v>F</v>
          </cell>
          <cell r="M2464">
            <v>0.24828915126583201</v>
          </cell>
          <cell r="N2464">
            <v>4</v>
          </cell>
        </row>
        <row r="2465">
          <cell r="E2465" t="str">
            <v>Arizona v California</v>
          </cell>
          <cell r="I2465" t="str">
            <v>CG</v>
          </cell>
          <cell r="K2465" t="str">
            <v>F</v>
          </cell>
          <cell r="M2465">
            <v>8.6329979290688392</v>
          </cell>
          <cell r="N2465">
            <v>4</v>
          </cell>
        </row>
        <row r="2466">
          <cell r="E2466" t="str">
            <v>Arizona v California</v>
          </cell>
          <cell r="I2466" t="str">
            <v>CG</v>
          </cell>
          <cell r="K2466" t="str">
            <v>F</v>
          </cell>
          <cell r="M2466">
            <v>1.68493861160473</v>
          </cell>
          <cell r="N2466">
            <v>4</v>
          </cell>
        </row>
        <row r="2467">
          <cell r="E2467" t="str">
            <v>Arizona v California</v>
          </cell>
          <cell r="I2467" t="str">
            <v>CG</v>
          </cell>
          <cell r="K2467" t="str">
            <v>F</v>
          </cell>
          <cell r="M2467">
            <v>6.1575032056940397</v>
          </cell>
          <cell r="N2467">
            <v>4</v>
          </cell>
        </row>
        <row r="2468">
          <cell r="E2468" t="str">
            <v>Arizona v California</v>
          </cell>
          <cell r="I2468" t="str">
            <v>CG</v>
          </cell>
          <cell r="K2468" t="str">
            <v>F</v>
          </cell>
          <cell r="M2468">
            <v>23.668734289123901</v>
          </cell>
          <cell r="N2468">
            <v>4</v>
          </cell>
        </row>
        <row r="2469">
          <cell r="E2469" t="str">
            <v>Arizona v California</v>
          </cell>
          <cell r="I2469" t="str">
            <v>CG</v>
          </cell>
          <cell r="K2469" t="str">
            <v>NI</v>
          </cell>
          <cell r="M2469">
            <v>6.8165073324264996E-2</v>
          </cell>
          <cell r="N2469">
            <v>4</v>
          </cell>
        </row>
        <row r="2470">
          <cell r="E2470" t="str">
            <v>Arizona v California</v>
          </cell>
          <cell r="I2470" t="str">
            <v>CG</v>
          </cell>
          <cell r="K2470" t="str">
            <v>NI</v>
          </cell>
          <cell r="M2470">
            <v>5.5703970766407998E-2</v>
          </cell>
          <cell r="N2470">
            <v>4</v>
          </cell>
        </row>
        <row r="2471">
          <cell r="E2471" t="str">
            <v>Arizona v California</v>
          </cell>
          <cell r="I2471" t="str">
            <v>CG</v>
          </cell>
          <cell r="K2471" t="str">
            <v>NI</v>
          </cell>
          <cell r="M2471">
            <v>1.3997686837143899</v>
          </cell>
          <cell r="N2471">
            <v>4</v>
          </cell>
        </row>
        <row r="2472">
          <cell r="E2472" t="str">
            <v>Arizona v California</v>
          </cell>
          <cell r="I2472" t="str">
            <v>CG</v>
          </cell>
          <cell r="K2472" t="str">
            <v>NI</v>
          </cell>
          <cell r="M2472">
            <v>5.8253973360200002E-2</v>
          </cell>
          <cell r="N2472">
            <v>4</v>
          </cell>
        </row>
        <row r="2473">
          <cell r="E2473" t="str">
            <v>Arizona v California</v>
          </cell>
          <cell r="I2473" t="str">
            <v>CG</v>
          </cell>
          <cell r="K2473" t="str">
            <v>NI</v>
          </cell>
          <cell r="M2473">
            <v>5.4660458313574002E-2</v>
          </cell>
          <cell r="N2473">
            <v>4</v>
          </cell>
        </row>
        <row r="2474">
          <cell r="E2474" t="str">
            <v>Arizona v California</v>
          </cell>
          <cell r="I2474" t="str">
            <v>CG</v>
          </cell>
          <cell r="K2474" t="str">
            <v>NI</v>
          </cell>
          <cell r="M2474">
            <v>0.79066183181518002</v>
          </cell>
          <cell r="N2474">
            <v>4</v>
          </cell>
        </row>
        <row r="2475">
          <cell r="E2475" t="str">
            <v>Arizona v California</v>
          </cell>
          <cell r="I2475" t="str">
            <v>CG</v>
          </cell>
          <cell r="K2475" t="str">
            <v>NI</v>
          </cell>
          <cell r="M2475">
            <v>0.13316767591605699</v>
          </cell>
          <cell r="N2475">
            <v>4</v>
          </cell>
        </row>
        <row r="2476">
          <cell r="E2476" t="str">
            <v>Arizona v California</v>
          </cell>
          <cell r="I2476" t="str">
            <v>CG</v>
          </cell>
          <cell r="K2476" t="str">
            <v>NI</v>
          </cell>
          <cell r="M2476">
            <v>0.192277654470355</v>
          </cell>
          <cell r="N2476">
            <v>4</v>
          </cell>
        </row>
        <row r="2477">
          <cell r="E2477" t="str">
            <v>Arizona v California</v>
          </cell>
          <cell r="I2477" t="str">
            <v>CG</v>
          </cell>
          <cell r="K2477" t="str">
            <v>F</v>
          </cell>
          <cell r="M2477">
            <v>1.8063853206189899</v>
          </cell>
          <cell r="N2477">
            <v>4</v>
          </cell>
        </row>
        <row r="2478">
          <cell r="E2478" t="str">
            <v>Arizona v California</v>
          </cell>
          <cell r="I2478" t="str">
            <v>CG</v>
          </cell>
          <cell r="K2478" t="str">
            <v>F</v>
          </cell>
          <cell r="M2478">
            <v>1.9761232799980799</v>
          </cell>
          <cell r="N2478">
            <v>4</v>
          </cell>
        </row>
        <row r="2479">
          <cell r="E2479" t="str">
            <v>Arizona v California</v>
          </cell>
          <cell r="I2479" t="str">
            <v>CG</v>
          </cell>
          <cell r="K2479" t="str">
            <v>F</v>
          </cell>
          <cell r="M2479">
            <v>10.4109919615533</v>
          </cell>
          <cell r="N2479">
            <v>4</v>
          </cell>
        </row>
        <row r="2480">
          <cell r="E2480" t="str">
            <v>Arizona v California</v>
          </cell>
          <cell r="I2480" t="str">
            <v>CG</v>
          </cell>
          <cell r="K2480" t="str">
            <v>F</v>
          </cell>
          <cell r="M2480">
            <v>0.84934768191653798</v>
          </cell>
          <cell r="N2480">
            <v>4</v>
          </cell>
        </row>
        <row r="2481">
          <cell r="E2481" t="str">
            <v>Arizona v California</v>
          </cell>
          <cell r="I2481" t="str">
            <v>CG</v>
          </cell>
          <cell r="K2481" t="str">
            <v>F</v>
          </cell>
          <cell r="M2481">
            <v>3.32448817352061</v>
          </cell>
          <cell r="N2481">
            <v>4</v>
          </cell>
        </row>
        <row r="2482">
          <cell r="E2482" t="str">
            <v>Arizona v California</v>
          </cell>
          <cell r="I2482" t="str">
            <v>CG</v>
          </cell>
          <cell r="K2482" t="str">
            <v>F</v>
          </cell>
          <cell r="M2482">
            <v>9.6341741239851402</v>
          </cell>
          <cell r="N2482">
            <v>4</v>
          </cell>
        </row>
        <row r="2483">
          <cell r="E2483" t="str">
            <v>Arizona v California</v>
          </cell>
          <cell r="I2483" t="str">
            <v>CG</v>
          </cell>
          <cell r="K2483" t="str">
            <v>F</v>
          </cell>
          <cell r="M2483">
            <v>4.9519740782797701</v>
          </cell>
          <cell r="N2483">
            <v>4</v>
          </cell>
        </row>
        <row r="2484">
          <cell r="E2484" t="str">
            <v>Arizona v California</v>
          </cell>
          <cell r="I2484" t="str">
            <v>CG</v>
          </cell>
          <cell r="K2484" t="str">
            <v>F</v>
          </cell>
          <cell r="M2484">
            <v>2.5903585772227902</v>
          </cell>
          <cell r="N2484">
            <v>4</v>
          </cell>
        </row>
        <row r="2485">
          <cell r="E2485" t="str">
            <v>Arizona v California</v>
          </cell>
          <cell r="I2485" t="str">
            <v>CG</v>
          </cell>
          <cell r="K2485" t="str">
            <v>F</v>
          </cell>
          <cell r="M2485">
            <v>6.7999077960112704</v>
          </cell>
          <cell r="N2485">
            <v>4</v>
          </cell>
        </row>
        <row r="2486">
          <cell r="E2486" t="str">
            <v>Arizona v California</v>
          </cell>
          <cell r="I2486" t="str">
            <v>CG</v>
          </cell>
          <cell r="K2486" t="str">
            <v>F</v>
          </cell>
          <cell r="M2486">
            <v>8.6291475916821199</v>
          </cell>
          <cell r="N2486">
            <v>4</v>
          </cell>
        </row>
        <row r="2487">
          <cell r="E2487" t="str">
            <v>Arizona v California</v>
          </cell>
          <cell r="I2487" t="str">
            <v>CG</v>
          </cell>
          <cell r="K2487" t="str">
            <v>F</v>
          </cell>
          <cell r="M2487">
            <v>22.246846327821501</v>
          </cell>
          <cell r="N2487">
            <v>4</v>
          </cell>
        </row>
        <row r="2488">
          <cell r="E2488" t="str">
            <v>Arizona v California</v>
          </cell>
          <cell r="I2488" t="str">
            <v>CG</v>
          </cell>
          <cell r="K2488" t="str">
            <v>Stk,D</v>
          </cell>
          <cell r="M2488">
            <v>3.9009321646632997E-2</v>
          </cell>
          <cell r="N2488">
            <v>4</v>
          </cell>
        </row>
        <row r="2489">
          <cell r="E2489" t="str">
            <v>Arizona v California</v>
          </cell>
          <cell r="I2489" t="str">
            <v>CG</v>
          </cell>
          <cell r="K2489" t="str">
            <v>INP</v>
          </cell>
          <cell r="M2489">
            <v>4.9360900771741196</v>
          </cell>
          <cell r="N2489">
            <v>2</v>
          </cell>
        </row>
        <row r="2490">
          <cell r="E2490" t="str">
            <v>Arizona v California</v>
          </cell>
          <cell r="I2490" t="str">
            <v>CG</v>
          </cell>
          <cell r="K2490" t="str">
            <v>INP</v>
          </cell>
          <cell r="M2490">
            <v>1.71750939558917</v>
          </cell>
          <cell r="N2490">
            <v>1</v>
          </cell>
        </row>
        <row r="2491">
          <cell r="E2491" t="str">
            <v>Arizona v California</v>
          </cell>
          <cell r="I2491" t="str">
            <v>CG</v>
          </cell>
          <cell r="K2491" t="str">
            <v>INP</v>
          </cell>
          <cell r="M2491">
            <v>4.9653197550034003</v>
          </cell>
          <cell r="N2491">
            <v>1</v>
          </cell>
        </row>
        <row r="2492">
          <cell r="E2492" t="str">
            <v>Arizona v California</v>
          </cell>
          <cell r="I2492" t="str">
            <v>CG</v>
          </cell>
          <cell r="K2492" t="str">
            <v>INP</v>
          </cell>
          <cell r="M2492">
            <v>2.50457500852399</v>
          </cell>
          <cell r="N2492">
            <v>1</v>
          </cell>
        </row>
        <row r="2493">
          <cell r="E2493" t="str">
            <v>Arizona v California</v>
          </cell>
          <cell r="I2493" t="str">
            <v>CG</v>
          </cell>
          <cell r="K2493" t="str">
            <v>INP</v>
          </cell>
          <cell r="M2493">
            <v>8.5296632536027897</v>
          </cell>
          <cell r="N2493">
            <v>1</v>
          </cell>
        </row>
        <row r="2494">
          <cell r="E2494" t="str">
            <v>Arizona v California</v>
          </cell>
          <cell r="I2494" t="str">
            <v>CG</v>
          </cell>
          <cell r="K2494" t="str">
            <v>INP</v>
          </cell>
          <cell r="M2494">
            <v>19.411430253837</v>
          </cell>
          <cell r="N2494">
            <v>1</v>
          </cell>
        </row>
        <row r="2495">
          <cell r="E2495" t="str">
            <v>Arizona v California</v>
          </cell>
          <cell r="I2495" t="str">
            <v>CG</v>
          </cell>
          <cell r="K2495" t="str">
            <v>INP</v>
          </cell>
          <cell r="M2495">
            <v>24.2999727702142</v>
          </cell>
          <cell r="N2495">
            <v>1</v>
          </cell>
        </row>
        <row r="2496">
          <cell r="E2496" t="str">
            <v>Arizona v California</v>
          </cell>
          <cell r="I2496" t="str">
            <v>CG</v>
          </cell>
          <cell r="K2496" t="str">
            <v>INP</v>
          </cell>
          <cell r="M2496">
            <v>14.2143699640108</v>
          </cell>
          <cell r="N2496">
            <v>1</v>
          </cell>
        </row>
        <row r="2497">
          <cell r="E2497" t="str">
            <v>Arizona v California</v>
          </cell>
          <cell r="I2497" t="str">
            <v>CG</v>
          </cell>
          <cell r="K2497" t="str">
            <v>INP</v>
          </cell>
          <cell r="M2497">
            <v>2.7704372057833102</v>
          </cell>
          <cell r="N2497">
            <v>1</v>
          </cell>
        </row>
        <row r="2498">
          <cell r="E2498" t="str">
            <v>Arizona v California</v>
          </cell>
          <cell r="I2498" t="str">
            <v>CG</v>
          </cell>
          <cell r="K2498" t="str">
            <v>INP</v>
          </cell>
          <cell r="M2498">
            <v>2.6846173655615502</v>
          </cell>
          <cell r="N2498">
            <v>1</v>
          </cell>
        </row>
        <row r="2499">
          <cell r="E2499" t="str">
            <v>Arizona v California</v>
          </cell>
          <cell r="I2499" t="str">
            <v>CG</v>
          </cell>
          <cell r="K2499" t="str">
            <v>INP</v>
          </cell>
          <cell r="M2499">
            <v>3.27901328140242</v>
          </cell>
          <cell r="N2499">
            <v>1</v>
          </cell>
        </row>
        <row r="2500">
          <cell r="E2500" t="str">
            <v>Arizona v California</v>
          </cell>
          <cell r="I2500" t="str">
            <v>CG</v>
          </cell>
          <cell r="K2500" t="str">
            <v>INP</v>
          </cell>
          <cell r="M2500">
            <v>1.99123437799106</v>
          </cell>
          <cell r="N2500">
            <v>1</v>
          </cell>
        </row>
        <row r="2501">
          <cell r="E2501" t="str">
            <v>Arizona v California</v>
          </cell>
          <cell r="I2501" t="str">
            <v>CG</v>
          </cell>
          <cell r="K2501" t="str">
            <v>INP</v>
          </cell>
          <cell r="M2501">
            <v>4.4028001921114202</v>
          </cell>
          <cell r="N2501">
            <v>1</v>
          </cell>
        </row>
        <row r="2502">
          <cell r="E2502" t="str">
            <v>Arizona v California</v>
          </cell>
          <cell r="I2502" t="str">
            <v>CG</v>
          </cell>
          <cell r="K2502" t="str">
            <v>INP</v>
          </cell>
          <cell r="M2502">
            <v>20.359543834086601</v>
          </cell>
          <cell r="N2502">
            <v>1</v>
          </cell>
        </row>
        <row r="2503">
          <cell r="E2503" t="str">
            <v>Arizona v California</v>
          </cell>
          <cell r="I2503" t="str">
            <v>CG</v>
          </cell>
          <cell r="K2503" t="str">
            <v>INP</v>
          </cell>
          <cell r="M2503">
            <v>3.0004823526686901</v>
          </cell>
          <cell r="N2503">
            <v>1</v>
          </cell>
        </row>
        <row r="2504">
          <cell r="E2504" t="str">
            <v>Arizona v California</v>
          </cell>
          <cell r="I2504" t="str">
            <v>CG</v>
          </cell>
          <cell r="K2504" t="str">
            <v>INP</v>
          </cell>
          <cell r="M2504">
            <v>7.6199674346645097</v>
          </cell>
          <cell r="N2504">
            <v>1</v>
          </cell>
        </row>
        <row r="2505">
          <cell r="E2505" t="str">
            <v>Arizona v California</v>
          </cell>
          <cell r="I2505" t="str">
            <v>CG</v>
          </cell>
          <cell r="K2505" t="str">
            <v>INP</v>
          </cell>
          <cell r="M2505">
            <v>8.4643725141627595</v>
          </cell>
          <cell r="N2505">
            <v>1</v>
          </cell>
        </row>
        <row r="2506">
          <cell r="E2506" t="str">
            <v>Arizona v California</v>
          </cell>
          <cell r="I2506" t="str">
            <v>CG</v>
          </cell>
          <cell r="K2506" t="str">
            <v>INP</v>
          </cell>
          <cell r="M2506">
            <v>5.1771709448081999</v>
          </cell>
          <cell r="N2506">
            <v>1</v>
          </cell>
        </row>
        <row r="2507">
          <cell r="E2507" t="str">
            <v>Arizona v California</v>
          </cell>
          <cell r="I2507" t="str">
            <v>CG</v>
          </cell>
          <cell r="K2507" t="str">
            <v>INP</v>
          </cell>
          <cell r="M2507">
            <v>20.467500022848501</v>
          </cell>
          <cell r="N2507">
            <v>1</v>
          </cell>
        </row>
        <row r="2508">
          <cell r="E2508" t="str">
            <v>Arizona v California</v>
          </cell>
          <cell r="I2508" t="str">
            <v>CG</v>
          </cell>
          <cell r="K2508" t="str">
            <v>IPP</v>
          </cell>
          <cell r="M2508">
            <v>8.7008051666004391</v>
          </cell>
          <cell r="N2508">
            <v>1</v>
          </cell>
        </row>
        <row r="2509">
          <cell r="E2509" t="str">
            <v>Arizona v California</v>
          </cell>
          <cell r="I2509" t="str">
            <v>CG</v>
          </cell>
          <cell r="K2509" t="str">
            <v>IPP</v>
          </cell>
          <cell r="M2509">
            <v>4.0807111544850896</v>
          </cell>
          <cell r="N2509">
            <v>1</v>
          </cell>
        </row>
        <row r="2510">
          <cell r="E2510" t="str">
            <v>Arizona v California</v>
          </cell>
          <cell r="I2510" t="str">
            <v>CG</v>
          </cell>
          <cell r="K2510" t="str">
            <v>INP</v>
          </cell>
          <cell r="M2510">
            <v>11.136726335357601</v>
          </cell>
          <cell r="N2510">
            <v>1</v>
          </cell>
        </row>
        <row r="2511">
          <cell r="E2511" t="str">
            <v>Arizona v California</v>
          </cell>
          <cell r="I2511" t="str">
            <v>CG</v>
          </cell>
          <cell r="K2511" t="str">
            <v>INP</v>
          </cell>
          <cell r="M2511">
            <v>29.427242116762599</v>
          </cell>
          <cell r="N2511">
            <v>1</v>
          </cell>
        </row>
        <row r="2512">
          <cell r="E2512" t="str">
            <v>Arizona v California</v>
          </cell>
          <cell r="I2512" t="str">
            <v>CG</v>
          </cell>
          <cell r="K2512" t="str">
            <v>INP</v>
          </cell>
          <cell r="M2512">
            <v>17.709205816751201</v>
          </cell>
          <cell r="N2512">
            <v>1</v>
          </cell>
        </row>
        <row r="2513">
          <cell r="E2513" t="str">
            <v>Arizona v California</v>
          </cell>
          <cell r="I2513" t="str">
            <v>CG</v>
          </cell>
          <cell r="K2513" t="str">
            <v>INP</v>
          </cell>
          <cell r="M2513">
            <v>10.848898669206999</v>
          </cell>
          <cell r="N2513">
            <v>1</v>
          </cell>
        </row>
        <row r="2514">
          <cell r="E2514" t="str">
            <v>Arizona v California</v>
          </cell>
          <cell r="I2514" t="str">
            <v>CG</v>
          </cell>
          <cell r="K2514" t="str">
            <v>INP</v>
          </cell>
          <cell r="M2514">
            <v>19.754276369319999</v>
          </cell>
          <cell r="N2514">
            <v>1</v>
          </cell>
        </row>
        <row r="2515">
          <cell r="E2515" t="str">
            <v>Arizona v California</v>
          </cell>
          <cell r="I2515" t="str">
            <v>CG</v>
          </cell>
          <cell r="K2515" t="str">
            <v>INP</v>
          </cell>
          <cell r="M2515">
            <v>6.3182791547416297</v>
          </cell>
          <cell r="N2515">
            <v>1</v>
          </cell>
        </row>
        <row r="2516">
          <cell r="E2516" t="str">
            <v>Arizona v California</v>
          </cell>
          <cell r="I2516" t="str">
            <v>CG</v>
          </cell>
          <cell r="K2516" t="str">
            <v>INP</v>
          </cell>
          <cell r="M2516">
            <v>5.6952481424546404</v>
          </cell>
          <cell r="N2516">
            <v>1</v>
          </cell>
        </row>
        <row r="2517">
          <cell r="E2517" t="str">
            <v>Arizona v California</v>
          </cell>
          <cell r="I2517" t="str">
            <v>CG</v>
          </cell>
          <cell r="K2517" t="str">
            <v>IPP</v>
          </cell>
          <cell r="M2517">
            <v>8.1661343849478794</v>
          </cell>
          <cell r="N2517">
            <v>1</v>
          </cell>
        </row>
        <row r="2518">
          <cell r="E2518" t="str">
            <v>Arizona v California</v>
          </cell>
          <cell r="I2518" t="str">
            <v>CG</v>
          </cell>
          <cell r="K2518" t="str">
            <v>IPP</v>
          </cell>
          <cell r="M2518">
            <v>19.319024260318699</v>
          </cell>
          <cell r="N2518">
            <v>1</v>
          </cell>
        </row>
        <row r="2519">
          <cell r="E2519" t="str">
            <v>Arizona v California</v>
          </cell>
          <cell r="I2519" t="str">
            <v>CG</v>
          </cell>
          <cell r="K2519" t="str">
            <v>IPP</v>
          </cell>
          <cell r="M2519">
            <v>9.7134798204170298</v>
          </cell>
          <cell r="N2519">
            <v>1</v>
          </cell>
        </row>
        <row r="2520">
          <cell r="E2520" t="str">
            <v>Arizona v California</v>
          </cell>
          <cell r="I2520" t="str">
            <v>CG</v>
          </cell>
          <cell r="K2520" t="str">
            <v>IPP</v>
          </cell>
          <cell r="M2520">
            <v>28.8376199752365</v>
          </cell>
          <cell r="N2520">
            <v>1</v>
          </cell>
        </row>
        <row r="2521">
          <cell r="E2521" t="str">
            <v>Arizona v California</v>
          </cell>
          <cell r="I2521" t="str">
            <v>CG</v>
          </cell>
          <cell r="K2521" t="str">
            <v>Res,D</v>
          </cell>
          <cell r="M2521">
            <v>0.63722546643085698</v>
          </cell>
          <cell r="N2521">
            <v>4</v>
          </cell>
        </row>
        <row r="2522">
          <cell r="E2522" t="str">
            <v>Arizona v California</v>
          </cell>
          <cell r="I2522" t="str">
            <v>CG</v>
          </cell>
          <cell r="K2522" t="str">
            <v>Stk,D</v>
          </cell>
          <cell r="M2522">
            <v>1.3354074599305299</v>
          </cell>
          <cell r="N2522">
            <v>4</v>
          </cell>
        </row>
        <row r="2523">
          <cell r="E2523" t="str">
            <v>Arizona v California</v>
          </cell>
          <cell r="I2523" t="str">
            <v>CG</v>
          </cell>
          <cell r="K2523" t="str">
            <v>Res,D</v>
          </cell>
          <cell r="M2523">
            <v>0.84355570033677396</v>
          </cell>
          <cell r="N2523">
            <v>4</v>
          </cell>
        </row>
        <row r="2524">
          <cell r="E2524" t="str">
            <v>Arizona v California</v>
          </cell>
          <cell r="I2524" t="str">
            <v>CG</v>
          </cell>
          <cell r="K2524" t="str">
            <v>Res,D</v>
          </cell>
          <cell r="M2524">
            <v>1.13937260618671</v>
          </cell>
          <cell r="N2524">
            <v>4</v>
          </cell>
        </row>
        <row r="2525">
          <cell r="E2525" t="str">
            <v>Arizona v California</v>
          </cell>
          <cell r="I2525" t="str">
            <v>CG</v>
          </cell>
          <cell r="K2525" t="str">
            <v>Res,D</v>
          </cell>
          <cell r="M2525">
            <v>2.9515728469454601</v>
          </cell>
          <cell r="N2525">
            <v>4</v>
          </cell>
        </row>
        <row r="2526">
          <cell r="E2526" t="str">
            <v>Arizona v California</v>
          </cell>
          <cell r="I2526" t="str">
            <v>CG</v>
          </cell>
          <cell r="K2526" t="str">
            <v>Res,D</v>
          </cell>
          <cell r="M2526">
            <v>1.33312210101424</v>
          </cell>
          <cell r="N2526">
            <v>4</v>
          </cell>
        </row>
        <row r="2527">
          <cell r="E2527" t="str">
            <v>Arizona v California</v>
          </cell>
          <cell r="I2527" t="str">
            <v>CG</v>
          </cell>
          <cell r="K2527" t="str">
            <v>Res,W</v>
          </cell>
          <cell r="M2527">
            <v>1.9299707632840899</v>
          </cell>
          <cell r="N2527">
            <v>4</v>
          </cell>
        </row>
        <row r="2528">
          <cell r="E2528" t="str">
            <v>Arizona v California</v>
          </cell>
          <cell r="I2528" t="str">
            <v>CG</v>
          </cell>
          <cell r="K2528" t="str">
            <v>Res,W</v>
          </cell>
          <cell r="M2528">
            <v>1.0164291607804801</v>
          </cell>
          <cell r="N2528">
            <v>4</v>
          </cell>
        </row>
        <row r="2529">
          <cell r="E2529" t="str">
            <v>Arizona v California</v>
          </cell>
          <cell r="I2529" t="str">
            <v>CG</v>
          </cell>
          <cell r="K2529" t="str">
            <v>Res,W</v>
          </cell>
          <cell r="M2529">
            <v>63.7186132164613</v>
          </cell>
          <cell r="N2529">
            <v>4</v>
          </cell>
        </row>
        <row r="2530">
          <cell r="E2530" t="str">
            <v>Arizona v California</v>
          </cell>
          <cell r="I2530" t="str">
            <v>CG</v>
          </cell>
          <cell r="K2530" t="str">
            <v>Res,D</v>
          </cell>
          <cell r="M2530">
            <v>0.89388510753196104</v>
          </cell>
          <cell r="N2530">
            <v>4</v>
          </cell>
        </row>
        <row r="2531">
          <cell r="E2531" t="str">
            <v>Arizona v California</v>
          </cell>
          <cell r="I2531" t="str">
            <v>CG</v>
          </cell>
          <cell r="K2531" t="str">
            <v>F</v>
          </cell>
          <cell r="M2531">
            <v>20.801867820671799</v>
          </cell>
          <cell r="N2531">
            <v>4</v>
          </cell>
        </row>
        <row r="2532">
          <cell r="E2532" t="str">
            <v>Arizona v California</v>
          </cell>
          <cell r="I2532" t="str">
            <v>CG</v>
          </cell>
          <cell r="K2532" t="str">
            <v>F</v>
          </cell>
          <cell r="M2532">
            <v>8.0223864535184202</v>
          </cell>
          <cell r="N2532">
            <v>4</v>
          </cell>
        </row>
        <row r="2533">
          <cell r="E2533" t="str">
            <v>Arizona v California</v>
          </cell>
          <cell r="I2533" t="str">
            <v>CG</v>
          </cell>
          <cell r="K2533" t="str">
            <v>F</v>
          </cell>
          <cell r="M2533">
            <v>0.79128437862510603</v>
          </cell>
          <cell r="N2533">
            <v>4</v>
          </cell>
        </row>
        <row r="2534">
          <cell r="E2534" t="str">
            <v>Arizona v California</v>
          </cell>
          <cell r="I2534" t="str">
            <v>CG</v>
          </cell>
          <cell r="K2534" t="str">
            <v>F</v>
          </cell>
          <cell r="M2534">
            <v>1.35737868274513</v>
          </cell>
          <cell r="N2534">
            <v>4</v>
          </cell>
        </row>
        <row r="2535">
          <cell r="E2535" t="str">
            <v>Arizona v California</v>
          </cell>
          <cell r="I2535" t="str">
            <v>CG</v>
          </cell>
          <cell r="K2535" t="str">
            <v>F</v>
          </cell>
          <cell r="M2535">
            <v>8.97483179710642</v>
          </cell>
          <cell r="N2535">
            <v>4</v>
          </cell>
        </row>
        <row r="2536">
          <cell r="E2536" t="str">
            <v>Arizona v California</v>
          </cell>
          <cell r="I2536" t="str">
            <v>CG</v>
          </cell>
          <cell r="K2536" t="str">
            <v>IPP</v>
          </cell>
          <cell r="M2536">
            <v>1.3286896779922099</v>
          </cell>
          <cell r="N2536">
            <v>1</v>
          </cell>
        </row>
        <row r="2537">
          <cell r="E2537" t="str">
            <v>Arizona v California</v>
          </cell>
          <cell r="I2537" t="str">
            <v>CG</v>
          </cell>
          <cell r="K2537" t="str">
            <v>NI</v>
          </cell>
          <cell r="M2537">
            <v>6.2012528168084202</v>
          </cell>
          <cell r="N2537">
            <v>4</v>
          </cell>
        </row>
        <row r="2538">
          <cell r="E2538" t="str">
            <v>Arizona v California</v>
          </cell>
          <cell r="I2538" t="str">
            <v>CG</v>
          </cell>
          <cell r="K2538" t="str">
            <v>F</v>
          </cell>
          <cell r="M2538">
            <v>3.0035921340916598</v>
          </cell>
          <cell r="N2538">
            <v>4</v>
          </cell>
        </row>
        <row r="2539">
          <cell r="E2539" t="str">
            <v>Arizona v California</v>
          </cell>
          <cell r="I2539" t="str">
            <v>CG</v>
          </cell>
          <cell r="K2539" t="str">
            <v>IPP</v>
          </cell>
          <cell r="M2539">
            <v>10.2049464097619</v>
          </cell>
          <cell r="N2539">
            <v>1</v>
          </cell>
        </row>
        <row r="2540">
          <cell r="E2540" t="str">
            <v>Arizona v California</v>
          </cell>
          <cell r="I2540" t="str">
            <v>CG</v>
          </cell>
          <cell r="K2540" t="str">
            <v>IPP</v>
          </cell>
          <cell r="M2540">
            <v>8.6851184798891694</v>
          </cell>
          <cell r="N2540">
            <v>1</v>
          </cell>
        </row>
        <row r="2541">
          <cell r="E2541" t="str">
            <v>Arizona v California</v>
          </cell>
          <cell r="I2541" t="str">
            <v>CG</v>
          </cell>
          <cell r="K2541" t="str">
            <v>DSL</v>
          </cell>
          <cell r="M2541">
            <v>0.66159032002046803</v>
          </cell>
          <cell r="N2541">
            <v>2</v>
          </cell>
        </row>
        <row r="2542">
          <cell r="E2542" t="str">
            <v>Arizona v California</v>
          </cell>
          <cell r="I2542" t="str">
            <v>CG</v>
          </cell>
          <cell r="K2542" t="str">
            <v>Res,W</v>
          </cell>
          <cell r="M2542">
            <v>6.6017218157109994E-2</v>
          </cell>
          <cell r="N2542">
            <v>4</v>
          </cell>
        </row>
        <row r="2543">
          <cell r="E2543" t="str">
            <v>Arizona v California</v>
          </cell>
          <cell r="I2543" t="str">
            <v>CG</v>
          </cell>
          <cell r="K2543" t="str">
            <v>Stk,D</v>
          </cell>
          <cell r="M2543">
            <v>0.103731152251325</v>
          </cell>
          <cell r="N2543">
            <v>4</v>
          </cell>
        </row>
        <row r="2544">
          <cell r="E2544" t="str">
            <v>Arizona v California</v>
          </cell>
          <cell r="I2544" t="str">
            <v>CG</v>
          </cell>
          <cell r="K2544" t="str">
            <v>F</v>
          </cell>
          <cell r="M2544">
            <v>1.0865091801156599</v>
          </cell>
          <cell r="N2544">
            <v>4</v>
          </cell>
        </row>
        <row r="2545">
          <cell r="E2545" t="str">
            <v>Arizona v California</v>
          </cell>
          <cell r="I2545" t="str">
            <v>CG</v>
          </cell>
          <cell r="K2545" t="str">
            <v>Res,W</v>
          </cell>
          <cell r="M2545">
            <v>0.14877324902970199</v>
          </cell>
          <cell r="N2545">
            <v>4</v>
          </cell>
        </row>
        <row r="2546">
          <cell r="E2546" t="str">
            <v>Arizona v California</v>
          </cell>
          <cell r="I2546" t="str">
            <v>CG</v>
          </cell>
          <cell r="K2546" t="str">
            <v>MV</v>
          </cell>
          <cell r="M2546">
            <v>0.682472902416001</v>
          </cell>
          <cell r="N2546">
            <v>1</v>
          </cell>
        </row>
        <row r="2547">
          <cell r="E2547" t="str">
            <v>Arizona v California</v>
          </cell>
          <cell r="I2547" t="str">
            <v>CG</v>
          </cell>
          <cell r="K2547" t="str">
            <v>Res,D</v>
          </cell>
          <cell r="M2547">
            <v>0.73605054314273999</v>
          </cell>
          <cell r="N2547">
            <v>4</v>
          </cell>
        </row>
        <row r="2548">
          <cell r="E2548" t="str">
            <v>Arizona v California</v>
          </cell>
          <cell r="I2548" t="str">
            <v>CG</v>
          </cell>
          <cell r="K2548" t="str">
            <v>A</v>
          </cell>
          <cell r="M2548">
            <v>24.795268127059199</v>
          </cell>
          <cell r="N2548">
            <v>2</v>
          </cell>
        </row>
        <row r="2549">
          <cell r="E2549" t="str">
            <v>Arizona v California</v>
          </cell>
          <cell r="I2549" t="str">
            <v>CG</v>
          </cell>
          <cell r="K2549" t="str">
            <v>DSL</v>
          </cell>
          <cell r="M2549">
            <v>1.0037557736564899</v>
          </cell>
          <cell r="N2549">
            <v>2</v>
          </cell>
        </row>
        <row r="2550">
          <cell r="E2550" t="str">
            <v>Arizona v California</v>
          </cell>
          <cell r="I2550" t="str">
            <v>CG</v>
          </cell>
          <cell r="K2550" t="str">
            <v>F</v>
          </cell>
          <cell r="M2550">
            <v>1.02323250755432</v>
          </cell>
          <cell r="N2550">
            <v>4</v>
          </cell>
        </row>
        <row r="2551">
          <cell r="E2551" t="str">
            <v>Arizona v California</v>
          </cell>
          <cell r="I2551" t="str">
            <v>CG</v>
          </cell>
          <cell r="K2551" t="str">
            <v>F</v>
          </cell>
          <cell r="M2551">
            <v>3.3046108389788902</v>
          </cell>
          <cell r="N2551">
            <v>4</v>
          </cell>
        </row>
        <row r="2552">
          <cell r="E2552" t="str">
            <v>Arizona v California</v>
          </cell>
          <cell r="I2552" t="str">
            <v>CG</v>
          </cell>
          <cell r="K2552" t="str">
            <v>F</v>
          </cell>
          <cell r="M2552">
            <v>0.62496377547027704</v>
          </cell>
          <cell r="N2552">
            <v>4</v>
          </cell>
        </row>
        <row r="2553">
          <cell r="E2553" t="str">
            <v>Arizona v California</v>
          </cell>
          <cell r="I2553" t="str">
            <v>CG</v>
          </cell>
          <cell r="K2553" t="str">
            <v>IPP</v>
          </cell>
          <cell r="M2553">
            <v>3.5960808561593902</v>
          </cell>
          <cell r="N2553">
            <v>1</v>
          </cell>
        </row>
        <row r="2554">
          <cell r="E2554" t="str">
            <v>Arizona v California</v>
          </cell>
          <cell r="I2554" t="str">
            <v>CG</v>
          </cell>
          <cell r="K2554" t="str">
            <v>IPP</v>
          </cell>
          <cell r="M2554">
            <v>8.0953208562671097</v>
          </cell>
          <cell r="N2554">
            <v>1</v>
          </cell>
        </row>
        <row r="2555">
          <cell r="E2555" t="str">
            <v>Arizona v California</v>
          </cell>
          <cell r="I2555" t="str">
            <v>CG</v>
          </cell>
          <cell r="K2555" t="str">
            <v>A</v>
          </cell>
          <cell r="M2555">
            <v>4.2505140413318703</v>
          </cell>
          <cell r="N2555">
            <v>1</v>
          </cell>
        </row>
        <row r="2556">
          <cell r="E2556" t="str">
            <v>Arizona v California</v>
          </cell>
          <cell r="I2556" t="str">
            <v>CG</v>
          </cell>
          <cell r="K2556" t="str">
            <v>F</v>
          </cell>
          <cell r="M2556">
            <v>2.0833257737759499</v>
          </cell>
          <cell r="N2556">
            <v>4</v>
          </cell>
        </row>
        <row r="2557">
          <cell r="E2557" t="str">
            <v>Arizona v California</v>
          </cell>
          <cell r="I2557" t="str">
            <v>CG</v>
          </cell>
          <cell r="K2557" t="str">
            <v>F</v>
          </cell>
          <cell r="M2557">
            <v>0.43767905061784101</v>
          </cell>
          <cell r="N2557">
            <v>4</v>
          </cell>
        </row>
        <row r="2558">
          <cell r="E2558" t="str">
            <v>Arizona v California</v>
          </cell>
          <cell r="I2558" t="str">
            <v>CG</v>
          </cell>
          <cell r="K2558" t="str">
            <v>F</v>
          </cell>
          <cell r="M2558">
            <v>1.2414182786897101</v>
          </cell>
          <cell r="N2558">
            <v>4</v>
          </cell>
        </row>
        <row r="2559">
          <cell r="E2559" t="str">
            <v>Arizona v California</v>
          </cell>
          <cell r="I2559" t="str">
            <v>CG</v>
          </cell>
          <cell r="K2559" t="str">
            <v>Res,D</v>
          </cell>
          <cell r="M2559">
            <v>0.34684558570687402</v>
          </cell>
          <cell r="N2559">
            <v>4</v>
          </cell>
        </row>
        <row r="2560">
          <cell r="E2560" t="str">
            <v>Arizona v California</v>
          </cell>
          <cell r="I2560" t="str">
            <v>CG</v>
          </cell>
          <cell r="K2560" t="str">
            <v>F</v>
          </cell>
          <cell r="M2560">
            <v>2.44219054791987</v>
          </cell>
          <cell r="N2560">
            <v>4</v>
          </cell>
        </row>
        <row r="2561">
          <cell r="E2561" t="str">
            <v>Arizona v California</v>
          </cell>
          <cell r="I2561" t="str">
            <v>CG</v>
          </cell>
          <cell r="K2561" t="str">
            <v>F</v>
          </cell>
          <cell r="M2561">
            <v>5.4450871050424903</v>
          </cell>
          <cell r="N2561">
            <v>4</v>
          </cell>
        </row>
        <row r="2562">
          <cell r="E2562" t="str">
            <v>Arizona v California</v>
          </cell>
          <cell r="I2562" t="str">
            <v>CG</v>
          </cell>
          <cell r="K2562" t="str">
            <v>F</v>
          </cell>
          <cell r="M2562">
            <v>5.4082847603619397</v>
          </cell>
          <cell r="N2562">
            <v>4</v>
          </cell>
        </row>
        <row r="2563">
          <cell r="E2563" t="str">
            <v>Arizona v California</v>
          </cell>
          <cell r="I2563" t="str">
            <v>CG</v>
          </cell>
          <cell r="K2563" t="str">
            <v>INP</v>
          </cell>
          <cell r="M2563">
            <v>8.5569224333248606</v>
          </cell>
          <cell r="N2563">
            <v>1</v>
          </cell>
        </row>
        <row r="2564">
          <cell r="E2564" t="str">
            <v>Arizona v California</v>
          </cell>
          <cell r="I2564" t="str">
            <v>CG</v>
          </cell>
          <cell r="K2564" t="str">
            <v>F</v>
          </cell>
          <cell r="M2564">
            <v>1.0923003651154799</v>
          </cell>
          <cell r="N2564">
            <v>4</v>
          </cell>
        </row>
        <row r="2565">
          <cell r="E2565" t="str">
            <v>Arizona v California</v>
          </cell>
          <cell r="I2565" t="str">
            <v>CG</v>
          </cell>
          <cell r="K2565" t="str">
            <v>S</v>
          </cell>
          <cell r="M2565">
            <v>4.4341355852664099</v>
          </cell>
          <cell r="N2565">
            <v>5</v>
          </cell>
        </row>
        <row r="2566">
          <cell r="E2566" t="str">
            <v>Arizona v California</v>
          </cell>
          <cell r="I2566" t="str">
            <v>CG</v>
          </cell>
          <cell r="K2566" t="str">
            <v>F</v>
          </cell>
          <cell r="M2566">
            <v>1.1131538449921601</v>
          </cell>
          <cell r="N2566">
            <v>4</v>
          </cell>
        </row>
        <row r="2567">
          <cell r="E2567" t="str">
            <v>Arizona v California</v>
          </cell>
          <cell r="I2567" t="str">
            <v>CG</v>
          </cell>
          <cell r="K2567" t="str">
            <v>S</v>
          </cell>
          <cell r="M2567">
            <v>9.9317109063595996</v>
          </cell>
          <cell r="N2567">
            <v>5</v>
          </cell>
        </row>
        <row r="2568">
          <cell r="E2568" t="str">
            <v>Arizona v California</v>
          </cell>
          <cell r="I2568" t="str">
            <v>CG</v>
          </cell>
          <cell r="K2568" t="str">
            <v>DSL</v>
          </cell>
          <cell r="M2568">
            <v>0.69261289830663897</v>
          </cell>
          <cell r="N2568">
            <v>1</v>
          </cell>
        </row>
        <row r="2569">
          <cell r="E2569" t="str">
            <v>Arizona v California</v>
          </cell>
          <cell r="I2569" t="str">
            <v>CG</v>
          </cell>
          <cell r="K2569" t="str">
            <v>INP</v>
          </cell>
          <cell r="M2569">
            <v>5.6344299365498003</v>
          </cell>
          <cell r="N2569">
            <v>1</v>
          </cell>
        </row>
        <row r="2570">
          <cell r="E2570" t="str">
            <v>Arizona v California</v>
          </cell>
          <cell r="I2570" t="str">
            <v>CG</v>
          </cell>
          <cell r="K2570" t="str">
            <v>INP</v>
          </cell>
          <cell r="M2570">
            <v>5.2418182977338201</v>
          </cell>
          <cell r="N2570">
            <v>1</v>
          </cell>
        </row>
        <row r="2571">
          <cell r="E2571" t="str">
            <v>Arizona v California</v>
          </cell>
          <cell r="I2571" t="str">
            <v>CG</v>
          </cell>
          <cell r="K2571" t="str">
            <v>INP</v>
          </cell>
          <cell r="M2571">
            <v>9.2930305281082095</v>
          </cell>
          <cell r="N2571">
            <v>1</v>
          </cell>
        </row>
        <row r="2572">
          <cell r="E2572" t="str">
            <v>Arizona v California</v>
          </cell>
          <cell r="I2572" t="str">
            <v>CG</v>
          </cell>
          <cell r="K2572" t="str">
            <v>INP</v>
          </cell>
          <cell r="M2572">
            <v>1.69033649030857</v>
          </cell>
          <cell r="N2572">
            <v>1</v>
          </cell>
        </row>
        <row r="2573">
          <cell r="E2573" t="str">
            <v>Arizona v California</v>
          </cell>
          <cell r="I2573" t="str">
            <v>CG</v>
          </cell>
          <cell r="K2573" t="str">
            <v>INP</v>
          </cell>
          <cell r="M2573">
            <v>0.25151869709031699</v>
          </cell>
          <cell r="N2573">
            <v>1</v>
          </cell>
        </row>
        <row r="2574">
          <cell r="E2574" t="str">
            <v>Arizona v California</v>
          </cell>
          <cell r="I2574" t="str">
            <v>CG</v>
          </cell>
          <cell r="K2574" t="str">
            <v>WSG</v>
          </cell>
          <cell r="M2574">
            <v>0.24479182833805799</v>
          </cell>
          <cell r="N2574">
            <v>1</v>
          </cell>
        </row>
        <row r="2575">
          <cell r="E2575" t="str">
            <v>Arizona v California</v>
          </cell>
          <cell r="I2575" t="str">
            <v>CG</v>
          </cell>
          <cell r="K2575" t="str">
            <v>WSG</v>
          </cell>
          <cell r="M2575">
            <v>9.2072085185185004E-2</v>
          </cell>
          <cell r="N2575">
            <v>1</v>
          </cell>
        </row>
        <row r="2576">
          <cell r="E2576" t="str">
            <v>Arizona v California</v>
          </cell>
          <cell r="I2576" t="str">
            <v>CG</v>
          </cell>
          <cell r="K2576" t="str">
            <v>WSG</v>
          </cell>
          <cell r="M2576">
            <v>0.452207022968939</v>
          </cell>
          <cell r="N2576">
            <v>1</v>
          </cell>
        </row>
        <row r="2577">
          <cell r="E2577" t="str">
            <v>Arizona v California</v>
          </cell>
          <cell r="I2577" t="str">
            <v>CG</v>
          </cell>
          <cell r="K2577" t="str">
            <v>INP</v>
          </cell>
          <cell r="M2577">
            <v>0.68802336464848302</v>
          </cell>
          <cell r="N2577">
            <v>1</v>
          </cell>
        </row>
        <row r="2578">
          <cell r="E2578" t="str">
            <v>Arizona v California</v>
          </cell>
          <cell r="I2578" t="str">
            <v>CG</v>
          </cell>
          <cell r="K2578" t="str">
            <v>INP</v>
          </cell>
          <cell r="M2578">
            <v>3.0304108110660999</v>
          </cell>
          <cell r="N2578">
            <v>1</v>
          </cell>
        </row>
        <row r="2579">
          <cell r="E2579" t="str">
            <v>Arizona v California</v>
          </cell>
          <cell r="I2579" t="str">
            <v>CG</v>
          </cell>
          <cell r="K2579" t="str">
            <v>INP</v>
          </cell>
          <cell r="M2579">
            <v>6.3034532451840803</v>
          </cell>
          <cell r="N2579">
            <v>1</v>
          </cell>
        </row>
        <row r="2580">
          <cell r="E2580" t="str">
            <v>Arizona v California</v>
          </cell>
          <cell r="I2580" t="str">
            <v>CG</v>
          </cell>
          <cell r="K2580" t="str">
            <v>INP</v>
          </cell>
          <cell r="M2580">
            <v>1.43850940157934</v>
          </cell>
          <cell r="N2580">
            <v>1</v>
          </cell>
        </row>
        <row r="2581">
          <cell r="E2581" t="str">
            <v>Arizona v California</v>
          </cell>
          <cell r="I2581" t="str">
            <v>CG</v>
          </cell>
          <cell r="K2581" t="str">
            <v>Res,W</v>
          </cell>
          <cell r="M2581">
            <v>0.35810799233282098</v>
          </cell>
          <cell r="N2581">
            <v>4</v>
          </cell>
        </row>
        <row r="2582">
          <cell r="E2582" t="str">
            <v>Arizona v California</v>
          </cell>
          <cell r="I2582" t="str">
            <v>CG</v>
          </cell>
          <cell r="K2582" t="str">
            <v>F</v>
          </cell>
          <cell r="M2582">
            <v>0.27404512950224902</v>
          </cell>
          <cell r="N2582">
            <v>4</v>
          </cell>
        </row>
        <row r="2583">
          <cell r="E2583" t="str">
            <v>Arizona v California</v>
          </cell>
          <cell r="I2583" t="str">
            <v>CG</v>
          </cell>
          <cell r="K2583" t="str">
            <v>F</v>
          </cell>
          <cell r="M2583">
            <v>6.3376439229911101</v>
          </cell>
          <cell r="N2583">
            <v>4</v>
          </cell>
        </row>
        <row r="2584">
          <cell r="E2584" t="str">
            <v>Arizona v California</v>
          </cell>
          <cell r="I2584" t="str">
            <v>CG</v>
          </cell>
          <cell r="K2584" t="str">
            <v>INP</v>
          </cell>
          <cell r="M2584">
            <v>1.2502769966484599</v>
          </cell>
          <cell r="N2584">
            <v>2</v>
          </cell>
        </row>
        <row r="2585">
          <cell r="E2585" t="str">
            <v>Arizona v California</v>
          </cell>
          <cell r="I2585" t="str">
            <v>CG</v>
          </cell>
          <cell r="K2585" t="str">
            <v>F</v>
          </cell>
          <cell r="M2585">
            <v>9.5222734755026401</v>
          </cell>
          <cell r="N2585">
            <v>4</v>
          </cell>
        </row>
        <row r="2586">
          <cell r="E2586" t="str">
            <v>Arizona v California</v>
          </cell>
          <cell r="I2586" t="str">
            <v>CG</v>
          </cell>
          <cell r="K2586" t="str">
            <v>F</v>
          </cell>
          <cell r="M2586">
            <v>7.4918461524194999E-2</v>
          </cell>
          <cell r="N2586">
            <v>4</v>
          </cell>
        </row>
        <row r="2587">
          <cell r="E2587" t="str">
            <v>Arizona v California</v>
          </cell>
          <cell r="I2587" t="str">
            <v>CG</v>
          </cell>
          <cell r="K2587" t="str">
            <v>INP</v>
          </cell>
          <cell r="M2587">
            <v>1.32358046752841</v>
          </cell>
          <cell r="N2587">
            <v>1</v>
          </cell>
        </row>
        <row r="2588">
          <cell r="E2588" t="str">
            <v>Arizona v California</v>
          </cell>
          <cell r="I2588" t="str">
            <v>CG</v>
          </cell>
          <cell r="K2588" t="str">
            <v>Tw</v>
          </cell>
          <cell r="M2588">
            <v>1.1427664722959101</v>
          </cell>
          <cell r="N2588">
            <v>1</v>
          </cell>
        </row>
        <row r="2589">
          <cell r="E2589" t="str">
            <v>Arizona v California</v>
          </cell>
          <cell r="I2589" t="str">
            <v>CG</v>
          </cell>
          <cell r="K2589" t="str">
            <v>Tw</v>
          </cell>
          <cell r="M2589">
            <v>4.4771481961395603</v>
          </cell>
          <cell r="N2589">
            <v>1</v>
          </cell>
        </row>
        <row r="2590">
          <cell r="E2590" t="str">
            <v>Arizona v California</v>
          </cell>
          <cell r="I2590" t="str">
            <v>CG</v>
          </cell>
          <cell r="K2590" t="str">
            <v>F</v>
          </cell>
          <cell r="M2590">
            <v>2.9853306951368799</v>
          </cell>
          <cell r="N2590">
            <v>4</v>
          </cell>
        </row>
        <row r="2591">
          <cell r="E2591" t="str">
            <v>Arizona v California</v>
          </cell>
          <cell r="I2591" t="str">
            <v>CG</v>
          </cell>
          <cell r="K2591" t="str">
            <v>F</v>
          </cell>
          <cell r="M2591">
            <v>0.69927110608462395</v>
          </cell>
          <cell r="N2591">
            <v>4</v>
          </cell>
        </row>
        <row r="2592">
          <cell r="E2592" t="str">
            <v>Arizona v California</v>
          </cell>
          <cell r="I2592" t="str">
            <v>CG</v>
          </cell>
          <cell r="K2592" t="str">
            <v>F</v>
          </cell>
          <cell r="M2592">
            <v>4.2483478135953501</v>
          </cell>
          <cell r="N2592">
            <v>4</v>
          </cell>
        </row>
        <row r="2593">
          <cell r="E2593" t="str">
            <v>Arizona v California</v>
          </cell>
          <cell r="I2593" t="str">
            <v>CG</v>
          </cell>
          <cell r="K2593" t="str">
            <v>INP</v>
          </cell>
          <cell r="M2593">
            <v>2.12721022510748</v>
          </cell>
          <cell r="N2593">
            <v>1</v>
          </cell>
        </row>
        <row r="2594">
          <cell r="E2594" t="str">
            <v>Arizona v California</v>
          </cell>
          <cell r="I2594" t="str">
            <v>CG</v>
          </cell>
          <cell r="K2594" t="str">
            <v>IPP</v>
          </cell>
          <cell r="M2594">
            <v>1.0072764459749699</v>
          </cell>
          <cell r="N2594">
            <v>1</v>
          </cell>
        </row>
        <row r="2595">
          <cell r="E2595" t="str">
            <v>Arizona v California</v>
          </cell>
          <cell r="I2595" t="str">
            <v>CG</v>
          </cell>
          <cell r="K2595" t="str">
            <v>IPP</v>
          </cell>
          <cell r="M2595">
            <v>0.69576759575598601</v>
          </cell>
          <cell r="N2595">
            <v>1</v>
          </cell>
        </row>
        <row r="2596">
          <cell r="E2596" t="str">
            <v>Arizona v California</v>
          </cell>
          <cell r="I2596" t="str">
            <v>CG</v>
          </cell>
          <cell r="K2596" t="str">
            <v>SSG</v>
          </cell>
          <cell r="M2596">
            <v>0.12906652748914699</v>
          </cell>
          <cell r="N2596">
            <v>1</v>
          </cell>
        </row>
        <row r="2597">
          <cell r="E2597" t="str">
            <v>Arizona v California</v>
          </cell>
          <cell r="I2597" t="str">
            <v>CG</v>
          </cell>
          <cell r="K2597" t="str">
            <v>H</v>
          </cell>
          <cell r="M2597">
            <v>1.6141343210412</v>
          </cell>
          <cell r="N2597">
            <v>1</v>
          </cell>
        </row>
        <row r="2598">
          <cell r="E2598" t="str">
            <v>Arizona v California</v>
          </cell>
          <cell r="I2598" t="str">
            <v>CG</v>
          </cell>
          <cell r="K2598" t="str">
            <v>F</v>
          </cell>
          <cell r="M2598">
            <v>0.24583653939804101</v>
          </cell>
          <cell r="N2598">
            <v>4</v>
          </cell>
        </row>
        <row r="2599">
          <cell r="E2599" t="str">
            <v>Arizona v California</v>
          </cell>
          <cell r="I2599" t="str">
            <v>CG</v>
          </cell>
          <cell r="K2599" t="str">
            <v>Res,W</v>
          </cell>
          <cell r="M2599">
            <v>0.179426674682924</v>
          </cell>
          <cell r="N2599">
            <v>4</v>
          </cell>
        </row>
        <row r="2600">
          <cell r="E2600" t="str">
            <v>Arizona v California</v>
          </cell>
          <cell r="I2600" t="str">
            <v>CG</v>
          </cell>
          <cell r="K2600" t="str">
            <v>INP</v>
          </cell>
          <cell r="M2600">
            <v>1.1821274221878899</v>
          </cell>
          <cell r="N2600">
            <v>1</v>
          </cell>
        </row>
        <row r="2601">
          <cell r="E2601" t="str">
            <v>Arizona v California</v>
          </cell>
          <cell r="I2601" t="str">
            <v>CG</v>
          </cell>
          <cell r="K2601" t="str">
            <v>IPP</v>
          </cell>
          <cell r="M2601">
            <v>2.3365499616863001</v>
          </cell>
          <cell r="N2601">
            <v>1</v>
          </cell>
        </row>
        <row r="2602">
          <cell r="E2602" t="str">
            <v>Arizona v California</v>
          </cell>
          <cell r="I2602" t="str">
            <v>CG</v>
          </cell>
          <cell r="K2602" t="str">
            <v>INP</v>
          </cell>
          <cell r="M2602">
            <v>4.8327374863844801</v>
          </cell>
          <cell r="N2602">
            <v>1</v>
          </cell>
        </row>
        <row r="2603">
          <cell r="E2603" t="str">
            <v>Arizona v California</v>
          </cell>
          <cell r="I2603" t="str">
            <v>CG</v>
          </cell>
          <cell r="K2603" t="str">
            <v>F</v>
          </cell>
          <cell r="M2603">
            <v>1.41078828470047</v>
          </cell>
          <cell r="N2603">
            <v>4</v>
          </cell>
        </row>
        <row r="2604">
          <cell r="E2604" t="str">
            <v>Arizona v California</v>
          </cell>
          <cell r="I2604" t="str">
            <v>CG</v>
          </cell>
          <cell r="K2604" t="str">
            <v>F</v>
          </cell>
          <cell r="M2604">
            <v>1.44711461963054</v>
          </cell>
          <cell r="N2604">
            <v>4</v>
          </cell>
        </row>
        <row r="2605">
          <cell r="E2605" t="str">
            <v>Arizona v California</v>
          </cell>
          <cell r="I2605" t="str">
            <v>CG</v>
          </cell>
          <cell r="K2605" t="str">
            <v>F</v>
          </cell>
          <cell r="M2605">
            <v>1.43992163679087</v>
          </cell>
          <cell r="N2605">
            <v>4</v>
          </cell>
        </row>
        <row r="2606">
          <cell r="E2606" t="str">
            <v>Arizona v California</v>
          </cell>
          <cell r="I2606" t="str">
            <v>CG</v>
          </cell>
          <cell r="K2606" t="str">
            <v>NI</v>
          </cell>
          <cell r="M2606">
            <v>0.68823482562164895</v>
          </cell>
          <cell r="N2606">
            <v>4</v>
          </cell>
        </row>
        <row r="2607">
          <cell r="E2607" t="str">
            <v>Arizona v California</v>
          </cell>
          <cell r="I2607" t="str">
            <v>CG</v>
          </cell>
          <cell r="K2607" t="str">
            <v>DSL</v>
          </cell>
          <cell r="M2607">
            <v>6.4128601567750004E-3</v>
          </cell>
          <cell r="N2607">
            <v>3</v>
          </cell>
        </row>
        <row r="2608">
          <cell r="E2608" t="str">
            <v>Arizona v California</v>
          </cell>
          <cell r="I2608" t="str">
            <v>CG</v>
          </cell>
          <cell r="K2608" t="str">
            <v>DSL</v>
          </cell>
          <cell r="M2608">
            <v>4.0714861844920999E-2</v>
          </cell>
          <cell r="N2608">
            <v>3</v>
          </cell>
        </row>
        <row r="2609">
          <cell r="E2609" t="str">
            <v>Arizona v California</v>
          </cell>
          <cell r="I2609" t="str">
            <v>CG</v>
          </cell>
          <cell r="K2609" t="str">
            <v>DSL</v>
          </cell>
          <cell r="M2609">
            <v>4.7203976416894999E-2</v>
          </cell>
          <cell r="N2609">
            <v>3</v>
          </cell>
        </row>
        <row r="2610">
          <cell r="E2610" t="str">
            <v>Arizona v California</v>
          </cell>
          <cell r="I2610" t="str">
            <v>CG</v>
          </cell>
          <cell r="K2610" t="str">
            <v>DSL</v>
          </cell>
          <cell r="M2610">
            <v>3.5371788995610001E-3</v>
          </cell>
          <cell r="N2610">
            <v>3</v>
          </cell>
        </row>
        <row r="2611">
          <cell r="E2611" t="str">
            <v>Arizona v California</v>
          </cell>
          <cell r="I2611" t="str">
            <v>CG</v>
          </cell>
          <cell r="K2611" t="str">
            <v>DSL</v>
          </cell>
          <cell r="M2611">
            <v>5.1944455462299996E-4</v>
          </cell>
          <cell r="N2611">
            <v>3</v>
          </cell>
        </row>
        <row r="2612">
          <cell r="E2612" t="str">
            <v>Arizona v California</v>
          </cell>
          <cell r="I2612" t="str">
            <v>CG</v>
          </cell>
          <cell r="K2612" t="str">
            <v>DSL</v>
          </cell>
          <cell r="M2612">
            <v>6.2260490920399997E-4</v>
          </cell>
          <cell r="N2612">
            <v>3</v>
          </cell>
        </row>
        <row r="2613">
          <cell r="E2613" t="str">
            <v>Arizona v California</v>
          </cell>
          <cell r="I2613" t="str">
            <v>CG</v>
          </cell>
          <cell r="K2613" t="str">
            <v>DSL</v>
          </cell>
          <cell r="M2613">
            <v>1.1912571576783999E-2</v>
          </cell>
          <cell r="N2613">
            <v>2</v>
          </cell>
        </row>
        <row r="2614">
          <cell r="E2614" t="str">
            <v>Arizona v California</v>
          </cell>
          <cell r="I2614" t="str">
            <v>CG</v>
          </cell>
          <cell r="K2614" t="str">
            <v>DSL</v>
          </cell>
          <cell r="M2614">
            <v>1.6622645204503999E-2</v>
          </cell>
          <cell r="N2614">
            <v>2</v>
          </cell>
        </row>
        <row r="2615">
          <cell r="E2615" t="str">
            <v>Arizona v California</v>
          </cell>
          <cell r="I2615" t="str">
            <v>CG</v>
          </cell>
          <cell r="K2615" t="str">
            <v>DSL</v>
          </cell>
          <cell r="M2615">
            <v>6.9778069028421999E-2</v>
          </cell>
          <cell r="N2615">
            <v>2</v>
          </cell>
        </row>
        <row r="2616">
          <cell r="E2616" t="str">
            <v>Arizona v California</v>
          </cell>
          <cell r="I2616" t="str">
            <v>CG</v>
          </cell>
          <cell r="K2616" t="str">
            <v>DSL</v>
          </cell>
          <cell r="M2616">
            <v>2.8208160942415E-2</v>
          </cell>
          <cell r="N2616">
            <v>2</v>
          </cell>
        </row>
        <row r="2617">
          <cell r="E2617" t="str">
            <v>Arizona v California</v>
          </cell>
          <cell r="I2617" t="str">
            <v>CG</v>
          </cell>
          <cell r="K2617" t="str">
            <v>DSL</v>
          </cell>
          <cell r="M2617">
            <v>0.62939793410105305</v>
          </cell>
          <cell r="N2617">
            <v>2</v>
          </cell>
        </row>
        <row r="2618">
          <cell r="E2618" t="str">
            <v>Arizona v California</v>
          </cell>
          <cell r="I2618" t="str">
            <v>CG</v>
          </cell>
          <cell r="K2618" t="str">
            <v>DSL</v>
          </cell>
          <cell r="M2618">
            <v>1.4318036487181E-2</v>
          </cell>
          <cell r="N2618">
            <v>2</v>
          </cell>
        </row>
        <row r="2619">
          <cell r="E2619" t="str">
            <v>Arizona v California</v>
          </cell>
          <cell r="I2619" t="str">
            <v>CG</v>
          </cell>
          <cell r="K2619" t="str">
            <v>DSL</v>
          </cell>
          <cell r="M2619">
            <v>5.0220880306221002E-2</v>
          </cell>
          <cell r="N2619">
            <v>2</v>
          </cell>
        </row>
        <row r="2620">
          <cell r="E2620" t="str">
            <v>Arizona v California</v>
          </cell>
          <cell r="I2620" t="str">
            <v>CG</v>
          </cell>
          <cell r="K2620" t="str">
            <v>DSL</v>
          </cell>
          <cell r="M2620">
            <v>2.5959122225641999E-2</v>
          </cell>
          <cell r="N2620">
            <v>2</v>
          </cell>
        </row>
        <row r="2621">
          <cell r="E2621" t="str">
            <v>Arizona v California</v>
          </cell>
          <cell r="I2621" t="str">
            <v>CG</v>
          </cell>
          <cell r="K2621" t="str">
            <v>DSL</v>
          </cell>
          <cell r="M2621">
            <v>2.3669955937678001E-2</v>
          </cell>
          <cell r="N2621">
            <v>3</v>
          </cell>
        </row>
        <row r="2622">
          <cell r="E2622" t="str">
            <v>Arizona v California</v>
          </cell>
          <cell r="I2622" t="str">
            <v>CG</v>
          </cell>
          <cell r="K2622" t="str">
            <v>DSL</v>
          </cell>
          <cell r="M2622">
            <v>4.2592214911570002E-3</v>
          </cell>
          <cell r="N2622">
            <v>3</v>
          </cell>
        </row>
        <row r="2623">
          <cell r="E2623" t="str">
            <v>Arizona v California</v>
          </cell>
          <cell r="I2623" t="str">
            <v>CG</v>
          </cell>
          <cell r="K2623" t="str">
            <v>DSL</v>
          </cell>
          <cell r="M2623">
            <v>1.8298028691559999E-3</v>
          </cell>
          <cell r="N2623">
            <v>3</v>
          </cell>
        </row>
        <row r="2624">
          <cell r="E2624" t="str">
            <v>Arizona v California</v>
          </cell>
          <cell r="I2624" t="str">
            <v>CG</v>
          </cell>
          <cell r="K2624" t="str">
            <v>DSL</v>
          </cell>
          <cell r="M2624">
            <v>4.4248442351640001E-3</v>
          </cell>
          <cell r="N2624">
            <v>3</v>
          </cell>
        </row>
        <row r="2625">
          <cell r="E2625" t="str">
            <v>Arizona v California</v>
          </cell>
          <cell r="I2625" t="str">
            <v>CG</v>
          </cell>
          <cell r="K2625" t="str">
            <v>DSL</v>
          </cell>
          <cell r="M2625">
            <v>1.6659652072889999E-3</v>
          </cell>
          <cell r="N2625">
            <v>3</v>
          </cell>
        </row>
        <row r="2626">
          <cell r="E2626" t="str">
            <v>Arizona v California</v>
          </cell>
          <cell r="I2626" t="str">
            <v>CG</v>
          </cell>
          <cell r="K2626" t="str">
            <v>DSL</v>
          </cell>
          <cell r="M2626">
            <v>3.9553831536293001E-2</v>
          </cell>
          <cell r="N2626">
            <v>3</v>
          </cell>
        </row>
        <row r="2627">
          <cell r="E2627" t="str">
            <v>Arizona v California</v>
          </cell>
          <cell r="I2627" t="str">
            <v>CG</v>
          </cell>
          <cell r="K2627" t="str">
            <v>DSL</v>
          </cell>
          <cell r="M2627">
            <v>2.7550376400373E-2</v>
          </cell>
          <cell r="N2627">
            <v>3</v>
          </cell>
        </row>
        <row r="2628">
          <cell r="E2628" t="str">
            <v>Arizona v California</v>
          </cell>
          <cell r="I2628" t="str">
            <v>CG</v>
          </cell>
          <cell r="K2628" t="str">
            <v>DSL</v>
          </cell>
          <cell r="M2628">
            <v>5.6727455342849998E-3</v>
          </cell>
          <cell r="N2628">
            <v>3</v>
          </cell>
        </row>
        <row r="2629">
          <cell r="E2629" t="str">
            <v>Arizona v California</v>
          </cell>
          <cell r="I2629" t="str">
            <v>CG</v>
          </cell>
          <cell r="K2629" t="str">
            <v>DSL</v>
          </cell>
          <cell r="M2629">
            <v>7.6226824349738001E-2</v>
          </cell>
          <cell r="N2629">
            <v>3</v>
          </cell>
        </row>
        <row r="2630">
          <cell r="E2630" t="str">
            <v>Arizona v California</v>
          </cell>
          <cell r="I2630" t="str">
            <v>CG</v>
          </cell>
          <cell r="K2630" t="str">
            <v>F</v>
          </cell>
          <cell r="M2630">
            <v>0.14336257179649001</v>
          </cell>
          <cell r="N2630">
            <v>4</v>
          </cell>
        </row>
        <row r="2631">
          <cell r="E2631" t="str">
            <v>Arizona v California</v>
          </cell>
          <cell r="I2631" t="str">
            <v>CG</v>
          </cell>
          <cell r="K2631" t="str">
            <v>F</v>
          </cell>
          <cell r="M2631">
            <v>0.50643347700939001</v>
          </cell>
          <cell r="N2631">
            <v>4</v>
          </cell>
        </row>
        <row r="2632">
          <cell r="E2632" t="str">
            <v>Arizona v California</v>
          </cell>
          <cell r="I2632" t="str">
            <v>CG</v>
          </cell>
          <cell r="K2632" t="str">
            <v>DSL</v>
          </cell>
          <cell r="M2632">
            <v>9.1871105711610005E-3</v>
          </cell>
          <cell r="N2632">
            <v>2</v>
          </cell>
        </row>
        <row r="2633">
          <cell r="E2633" t="str">
            <v>Arizona v California</v>
          </cell>
          <cell r="I2633" t="str">
            <v>CG</v>
          </cell>
          <cell r="K2633" t="str">
            <v>DSL</v>
          </cell>
          <cell r="M2633">
            <v>0.13473076128299599</v>
          </cell>
          <cell r="N2633">
            <v>2</v>
          </cell>
        </row>
        <row r="2634">
          <cell r="E2634" t="str">
            <v>Arizona v California</v>
          </cell>
          <cell r="I2634" t="str">
            <v>CG</v>
          </cell>
          <cell r="K2634" t="str">
            <v>DSL</v>
          </cell>
          <cell r="M2634">
            <v>6.7161629559744002E-2</v>
          </cell>
          <cell r="N2634">
            <v>2</v>
          </cell>
        </row>
        <row r="2635">
          <cell r="E2635" t="str">
            <v>Arizona v California</v>
          </cell>
          <cell r="I2635" t="str">
            <v>CG</v>
          </cell>
          <cell r="K2635" t="str">
            <v>DSL</v>
          </cell>
          <cell r="M2635">
            <v>0.26071592558346801</v>
          </cell>
          <cell r="N2635">
            <v>1</v>
          </cell>
        </row>
        <row r="2636">
          <cell r="E2636" t="str">
            <v>Arizona v California</v>
          </cell>
          <cell r="I2636" t="str">
            <v>CG</v>
          </cell>
          <cell r="K2636" t="str">
            <v>DSL</v>
          </cell>
          <cell r="M2636">
            <v>0.81141437921894999</v>
          </cell>
          <cell r="N2636">
            <v>1</v>
          </cell>
        </row>
        <row r="2637">
          <cell r="E2637" t="str">
            <v>Arizona v California</v>
          </cell>
          <cell r="I2637" t="str">
            <v>CG</v>
          </cell>
          <cell r="K2637" t="str">
            <v>DSL</v>
          </cell>
          <cell r="M2637">
            <v>1.9898777126829002E-2</v>
          </cell>
          <cell r="N2637">
            <v>2</v>
          </cell>
        </row>
        <row r="2638">
          <cell r="E2638" t="str">
            <v>Arizona v California</v>
          </cell>
          <cell r="I2638" t="str">
            <v>CG</v>
          </cell>
          <cell r="K2638" t="str">
            <v>DSL</v>
          </cell>
          <cell r="M2638">
            <v>9.9930969810094999E-2</v>
          </cell>
          <cell r="N2638">
            <v>2</v>
          </cell>
        </row>
        <row r="2639">
          <cell r="E2639" t="str">
            <v>Arizona v California</v>
          </cell>
          <cell r="I2639" t="str">
            <v>CG</v>
          </cell>
          <cell r="K2639" t="str">
            <v>DSL</v>
          </cell>
          <cell r="M2639">
            <v>8.5593114290944003E-2</v>
          </cell>
          <cell r="N2639">
            <v>2</v>
          </cell>
        </row>
        <row r="2640">
          <cell r="E2640" t="str">
            <v>Arizona v California</v>
          </cell>
          <cell r="I2640" t="str">
            <v>CG</v>
          </cell>
          <cell r="K2640" t="str">
            <v>DSL</v>
          </cell>
          <cell r="M2640">
            <v>7.2925296517950003E-2</v>
          </cell>
          <cell r="N2640">
            <v>2</v>
          </cell>
        </row>
        <row r="2641">
          <cell r="E2641" t="str">
            <v>Arizona v California</v>
          </cell>
          <cell r="I2641" t="str">
            <v>CG</v>
          </cell>
          <cell r="K2641" t="str">
            <v>H</v>
          </cell>
          <cell r="M2641">
            <v>43.429897370376999</v>
          </cell>
          <cell r="N2641">
            <v>2</v>
          </cell>
        </row>
        <row r="2642">
          <cell r="E2642" t="str">
            <v>Arizona v California</v>
          </cell>
          <cell r="I2642" t="str">
            <v>CG</v>
          </cell>
          <cell r="K2642" t="str">
            <v>F</v>
          </cell>
          <cell r="M2642">
            <v>4.0471596589671099</v>
          </cell>
          <cell r="N2642">
            <v>4</v>
          </cell>
        </row>
        <row r="2643">
          <cell r="E2643" t="str">
            <v>Arizona v California</v>
          </cell>
          <cell r="I2643" t="str">
            <v>CG</v>
          </cell>
          <cell r="K2643" t="str">
            <v>INP</v>
          </cell>
          <cell r="M2643">
            <v>1.1874818464739501</v>
          </cell>
          <cell r="N2643">
            <v>1</v>
          </cell>
        </row>
        <row r="2644">
          <cell r="E2644" t="str">
            <v>Arizona v California</v>
          </cell>
          <cell r="I2644" t="str">
            <v>CG</v>
          </cell>
          <cell r="K2644" t="str">
            <v>F</v>
          </cell>
          <cell r="M2644">
            <v>2.0020122305716899</v>
          </cell>
          <cell r="N2644">
            <v>4</v>
          </cell>
        </row>
        <row r="2645">
          <cell r="E2645" t="str">
            <v>Arizona v California</v>
          </cell>
          <cell r="I2645" t="str">
            <v>CG</v>
          </cell>
          <cell r="K2645" t="str">
            <v>IPP</v>
          </cell>
          <cell r="M2645">
            <v>2.98839245992334</v>
          </cell>
          <cell r="N2645">
            <v>2</v>
          </cell>
        </row>
        <row r="2646">
          <cell r="E2646" t="str">
            <v>Arizona v California</v>
          </cell>
          <cell r="I2646" t="str">
            <v>CG</v>
          </cell>
          <cell r="K2646" t="str">
            <v>IPP</v>
          </cell>
          <cell r="M2646">
            <v>3.5146030366365602</v>
          </cell>
          <cell r="N2646">
            <v>1</v>
          </cell>
        </row>
        <row r="2647">
          <cell r="E2647" t="str">
            <v>Arizona v California</v>
          </cell>
          <cell r="I2647" t="str">
            <v>CG</v>
          </cell>
          <cell r="K2647" t="str">
            <v>IPP</v>
          </cell>
          <cell r="M2647">
            <v>0.996230206551033</v>
          </cell>
          <cell r="N2647">
            <v>1</v>
          </cell>
        </row>
        <row r="2648">
          <cell r="E2648" t="str">
            <v>Arizona v California</v>
          </cell>
          <cell r="I2648" t="str">
            <v>CG</v>
          </cell>
          <cell r="K2648" t="str">
            <v>DSL</v>
          </cell>
          <cell r="M2648">
            <v>0.191463604675356</v>
          </cell>
          <cell r="N2648">
            <v>2</v>
          </cell>
        </row>
        <row r="2649">
          <cell r="E2649" t="str">
            <v>Arizona v California</v>
          </cell>
          <cell r="I2649" t="str">
            <v>CG</v>
          </cell>
          <cell r="K2649" t="str">
            <v>IPP</v>
          </cell>
          <cell r="M2649">
            <v>0.409566217668972</v>
          </cell>
          <cell r="N2649">
            <v>1</v>
          </cell>
        </row>
        <row r="2650">
          <cell r="E2650" t="str">
            <v>Arizona v California</v>
          </cell>
          <cell r="I2650" t="str">
            <v>CG</v>
          </cell>
          <cell r="K2650" t="str">
            <v>Fo</v>
          </cell>
          <cell r="M2650">
            <v>0.41381088608398597</v>
          </cell>
          <cell r="N2650">
            <v>2</v>
          </cell>
        </row>
        <row r="2651">
          <cell r="E2651" t="str">
            <v>Arizona v California</v>
          </cell>
          <cell r="I2651" t="str">
            <v>CG</v>
          </cell>
          <cell r="K2651" t="str">
            <v>DSL</v>
          </cell>
          <cell r="M2651">
            <v>4.0880348892521896</v>
          </cell>
          <cell r="N2651">
            <v>2</v>
          </cell>
        </row>
        <row r="2652">
          <cell r="E2652" t="str">
            <v>Arizona v California</v>
          </cell>
          <cell r="I2652" t="str">
            <v>CG</v>
          </cell>
          <cell r="K2652" t="str">
            <v>MV</v>
          </cell>
          <cell r="M2652">
            <v>0.71428311854467397</v>
          </cell>
          <cell r="N2652">
            <v>3</v>
          </cell>
        </row>
        <row r="2653">
          <cell r="E2653" t="str">
            <v>Arizona v California</v>
          </cell>
          <cell r="I2653" t="str">
            <v>CG</v>
          </cell>
          <cell r="K2653" t="str">
            <v>F</v>
          </cell>
          <cell r="M2653">
            <v>6.0896483256970004</v>
          </cell>
          <cell r="N2653">
            <v>4</v>
          </cell>
        </row>
        <row r="2654">
          <cell r="E2654" t="str">
            <v>Arizona v California</v>
          </cell>
          <cell r="I2654" t="str">
            <v>CG</v>
          </cell>
          <cell r="K2654" t="str">
            <v>DSL</v>
          </cell>
          <cell r="M2654">
            <v>0.96894545779891705</v>
          </cell>
          <cell r="N2654">
            <v>2</v>
          </cell>
        </row>
        <row r="2655">
          <cell r="E2655" t="str">
            <v>Arizona v California</v>
          </cell>
          <cell r="I2655" t="str">
            <v>CG</v>
          </cell>
          <cell r="K2655" t="str">
            <v>F</v>
          </cell>
          <cell r="M2655">
            <v>2.2503391335591201</v>
          </cell>
          <cell r="N2655">
            <v>4</v>
          </cell>
        </row>
        <row r="2656">
          <cell r="E2656" t="str">
            <v>Arizona v California</v>
          </cell>
          <cell r="I2656" t="str">
            <v>CG</v>
          </cell>
          <cell r="K2656" t="str">
            <v>F</v>
          </cell>
          <cell r="M2656">
            <v>2.8215405351506901</v>
          </cell>
          <cell r="N2656">
            <v>4</v>
          </cell>
        </row>
        <row r="2657">
          <cell r="E2657" t="str">
            <v>Arizona v California</v>
          </cell>
          <cell r="I2657" t="str">
            <v>CG</v>
          </cell>
          <cell r="K2657" t="str">
            <v>DSL</v>
          </cell>
          <cell r="M2657">
            <v>1.1714126674846099</v>
          </cell>
          <cell r="N2657">
            <v>2</v>
          </cell>
        </row>
        <row r="2658">
          <cell r="E2658" t="str">
            <v>Arizona v California</v>
          </cell>
          <cell r="I2658" t="str">
            <v>CG</v>
          </cell>
          <cell r="K2658" t="str">
            <v>MV</v>
          </cell>
          <cell r="M2658">
            <v>1.33485769471025</v>
          </cell>
          <cell r="N2658">
            <v>1</v>
          </cell>
        </row>
        <row r="2659">
          <cell r="E2659" t="str">
            <v>Arizona v California</v>
          </cell>
          <cell r="I2659" t="str">
            <v>CG</v>
          </cell>
          <cell r="K2659" t="str">
            <v>Res,W</v>
          </cell>
          <cell r="M2659">
            <v>0.23901991224542399</v>
          </cell>
          <cell r="N2659">
            <v>4</v>
          </cell>
        </row>
        <row r="2660">
          <cell r="E2660" t="str">
            <v>Arizona v California</v>
          </cell>
          <cell r="I2660" t="str">
            <v>CG</v>
          </cell>
          <cell r="K2660" t="str">
            <v>Res,D</v>
          </cell>
          <cell r="M2660">
            <v>1.1720951694155699</v>
          </cell>
          <cell r="N2660">
            <v>4</v>
          </cell>
        </row>
        <row r="2661">
          <cell r="E2661" t="str">
            <v>Arizona v California</v>
          </cell>
          <cell r="I2661" t="str">
            <v>CG</v>
          </cell>
          <cell r="K2661" t="str">
            <v>NI</v>
          </cell>
          <cell r="M2661">
            <v>0.41239807845531001</v>
          </cell>
          <cell r="N2661">
            <v>4</v>
          </cell>
        </row>
        <row r="2662">
          <cell r="E2662" t="str">
            <v>Arizona v California</v>
          </cell>
          <cell r="I2662" t="str">
            <v>CG</v>
          </cell>
          <cell r="K2662" t="str">
            <v>F</v>
          </cell>
          <cell r="M2662">
            <v>0.17935905070393399</v>
          </cell>
          <cell r="N2662">
            <v>4</v>
          </cell>
        </row>
        <row r="2663">
          <cell r="E2663" t="str">
            <v>Arizona v California</v>
          </cell>
          <cell r="I2663" t="str">
            <v>CG</v>
          </cell>
          <cell r="K2663" t="str">
            <v>F</v>
          </cell>
          <cell r="M2663">
            <v>4.2249945529062E-2</v>
          </cell>
          <cell r="N2663">
            <v>4</v>
          </cell>
        </row>
        <row r="2664">
          <cell r="E2664" t="str">
            <v>Arizona v California</v>
          </cell>
          <cell r="I2664" t="str">
            <v>CG</v>
          </cell>
          <cell r="K2664" t="str">
            <v>F</v>
          </cell>
          <cell r="M2664">
            <v>9.8360755161810004E-3</v>
          </cell>
          <cell r="N2664">
            <v>4</v>
          </cell>
        </row>
        <row r="2665">
          <cell r="E2665" t="str">
            <v>Arizona v California</v>
          </cell>
          <cell r="I2665" t="str">
            <v>CG</v>
          </cell>
          <cell r="K2665" t="str">
            <v>DSL</v>
          </cell>
          <cell r="M2665">
            <v>6.1735590299149996E-3</v>
          </cell>
          <cell r="N2665">
            <v>2</v>
          </cell>
        </row>
        <row r="2666">
          <cell r="E2666" t="str">
            <v>Arizona v California</v>
          </cell>
          <cell r="I2666" t="str">
            <v>CG</v>
          </cell>
          <cell r="K2666" t="str">
            <v>DSL</v>
          </cell>
          <cell r="M2666">
            <v>6.810737834319E-2</v>
          </cell>
          <cell r="N2666">
            <v>2</v>
          </cell>
        </row>
        <row r="2667">
          <cell r="E2667" t="str">
            <v>Arizona v California</v>
          </cell>
          <cell r="I2667" t="str">
            <v>CG</v>
          </cell>
          <cell r="K2667" t="str">
            <v>F</v>
          </cell>
          <cell r="M2667">
            <v>6.7681606700139996E-3</v>
          </cell>
          <cell r="N2667">
            <v>4</v>
          </cell>
        </row>
        <row r="2668">
          <cell r="E2668" t="str">
            <v>Arizona v California</v>
          </cell>
          <cell r="I2668" t="str">
            <v>CG</v>
          </cell>
          <cell r="K2668" t="str">
            <v>DSL</v>
          </cell>
          <cell r="M2668">
            <v>6.0033554198668002E-2</v>
          </cell>
          <cell r="N2668">
            <v>2</v>
          </cell>
        </row>
        <row r="2669">
          <cell r="E2669" t="str">
            <v>Arizona v California</v>
          </cell>
          <cell r="I2669" t="str">
            <v>CG</v>
          </cell>
          <cell r="K2669" t="str">
            <v>INP</v>
          </cell>
          <cell r="M2669">
            <v>1.6958582712814001</v>
          </cell>
          <cell r="N2669">
            <v>1</v>
          </cell>
        </row>
        <row r="2670">
          <cell r="E2670" t="str">
            <v>Arizona v California</v>
          </cell>
          <cell r="I2670" t="str">
            <v>CG</v>
          </cell>
          <cell r="K2670" t="str">
            <v>DSL</v>
          </cell>
          <cell r="M2670">
            <v>2.8200015687204E-2</v>
          </cell>
          <cell r="N2670">
            <v>2</v>
          </cell>
        </row>
        <row r="2671">
          <cell r="E2671" t="str">
            <v>Arizona v California</v>
          </cell>
          <cell r="I2671" t="str">
            <v>CG</v>
          </cell>
          <cell r="K2671" t="str">
            <v>DSL</v>
          </cell>
          <cell r="M2671">
            <v>0.133911026589526</v>
          </cell>
          <cell r="N2671">
            <v>2</v>
          </cell>
        </row>
        <row r="2672">
          <cell r="E2672" t="str">
            <v>Arizona v California</v>
          </cell>
          <cell r="I2672" t="str">
            <v>CG</v>
          </cell>
          <cell r="K2672" t="str">
            <v>DSL</v>
          </cell>
          <cell r="M2672">
            <v>0.121620552764996</v>
          </cell>
          <cell r="N2672">
            <v>2</v>
          </cell>
        </row>
        <row r="2673">
          <cell r="E2673" t="str">
            <v>Arizona v California</v>
          </cell>
          <cell r="I2673" t="str">
            <v>CG</v>
          </cell>
          <cell r="K2673" t="str">
            <v>DSL</v>
          </cell>
          <cell r="M2673">
            <v>1.5413703611015E-2</v>
          </cell>
          <cell r="N2673">
            <v>3</v>
          </cell>
        </row>
        <row r="2674">
          <cell r="E2674" t="str">
            <v>Arizona v California</v>
          </cell>
          <cell r="I2674" t="str">
            <v>CG</v>
          </cell>
          <cell r="K2674" t="str">
            <v>DSL</v>
          </cell>
          <cell r="M2674">
            <v>2.2882600811629998E-3</v>
          </cell>
          <cell r="N2674">
            <v>3</v>
          </cell>
        </row>
        <row r="2675">
          <cell r="E2675" t="str">
            <v>Arizona v California</v>
          </cell>
          <cell r="I2675" t="str">
            <v>CG</v>
          </cell>
          <cell r="K2675" t="str">
            <v>DSL</v>
          </cell>
          <cell r="M2675">
            <v>1.394269139281E-3</v>
          </cell>
          <cell r="N2675">
            <v>3</v>
          </cell>
        </row>
        <row r="2676">
          <cell r="E2676" t="str">
            <v>Arizona v California</v>
          </cell>
          <cell r="I2676" t="str">
            <v>CG</v>
          </cell>
          <cell r="K2676" t="str">
            <v>DSL</v>
          </cell>
          <cell r="M2676">
            <v>1.2573851502720001E-3</v>
          </cell>
          <cell r="N2676">
            <v>3</v>
          </cell>
        </row>
        <row r="2677">
          <cell r="E2677" t="str">
            <v>Arizona v California</v>
          </cell>
          <cell r="I2677" t="str">
            <v>CG</v>
          </cell>
          <cell r="K2677" t="str">
            <v>DSL</v>
          </cell>
          <cell r="M2677">
            <v>8.6062477172699995E-4</v>
          </cell>
          <cell r="N2677">
            <v>3</v>
          </cell>
        </row>
        <row r="2678">
          <cell r="E2678" t="str">
            <v>Arizona v California</v>
          </cell>
          <cell r="I2678" t="str">
            <v>CG</v>
          </cell>
          <cell r="K2678" t="str">
            <v>DSL</v>
          </cell>
          <cell r="M2678">
            <v>4.7723835364605997E-2</v>
          </cell>
          <cell r="N2678">
            <v>3</v>
          </cell>
        </row>
        <row r="2679">
          <cell r="E2679" t="str">
            <v>Arizona v California</v>
          </cell>
          <cell r="I2679" t="str">
            <v>CG</v>
          </cell>
          <cell r="K2679" t="str">
            <v>DSL</v>
          </cell>
          <cell r="M2679">
            <v>2.1612865901069998E-3</v>
          </cell>
          <cell r="N2679">
            <v>3</v>
          </cell>
        </row>
        <row r="2680">
          <cell r="E2680" t="str">
            <v>Arizona v California</v>
          </cell>
          <cell r="I2680" t="str">
            <v>CG</v>
          </cell>
          <cell r="K2680" t="str">
            <v>IPP</v>
          </cell>
          <cell r="M2680">
            <v>3.4606190329788702</v>
          </cell>
          <cell r="N2680">
            <v>1</v>
          </cell>
        </row>
        <row r="2681">
          <cell r="E2681" t="str">
            <v>Arizona v California</v>
          </cell>
          <cell r="I2681" t="str">
            <v>CG</v>
          </cell>
          <cell r="K2681" t="str">
            <v>DSL</v>
          </cell>
          <cell r="M2681">
            <v>1.690782297501E-3</v>
          </cell>
          <cell r="N2681">
            <v>2</v>
          </cell>
        </row>
        <row r="2682">
          <cell r="E2682" t="str">
            <v>Arizona v California</v>
          </cell>
          <cell r="I2682" t="str">
            <v>CG</v>
          </cell>
          <cell r="K2682" t="str">
            <v>DSL</v>
          </cell>
          <cell r="M2682">
            <v>1.7608283097876001E-2</v>
          </cell>
          <cell r="N2682">
            <v>2</v>
          </cell>
        </row>
        <row r="2683">
          <cell r="E2683" t="str">
            <v>Arizona v California</v>
          </cell>
          <cell r="I2683" t="str">
            <v>CG</v>
          </cell>
          <cell r="K2683" t="str">
            <v>DSL</v>
          </cell>
          <cell r="M2683">
            <v>8.8439894257860002E-3</v>
          </cell>
          <cell r="N2683">
            <v>2</v>
          </cell>
        </row>
        <row r="2684">
          <cell r="E2684" t="str">
            <v>Arizona v California</v>
          </cell>
          <cell r="I2684" t="str">
            <v>CG</v>
          </cell>
          <cell r="K2684" t="str">
            <v>DSL</v>
          </cell>
          <cell r="M2684">
            <v>3.8405794495746E-2</v>
          </cell>
          <cell r="N2684">
            <v>2</v>
          </cell>
        </row>
        <row r="2685">
          <cell r="E2685" t="str">
            <v>Arizona v California</v>
          </cell>
          <cell r="I2685" t="str">
            <v>CG</v>
          </cell>
          <cell r="K2685" t="str">
            <v>DSL</v>
          </cell>
          <cell r="M2685">
            <v>2.4896955685319998E-3</v>
          </cell>
          <cell r="N2685">
            <v>2</v>
          </cell>
        </row>
        <row r="2686">
          <cell r="E2686" t="str">
            <v>Arizona v California</v>
          </cell>
          <cell r="I2686" t="str">
            <v>CG</v>
          </cell>
          <cell r="K2686" t="str">
            <v>DSL</v>
          </cell>
          <cell r="M2686">
            <v>1.0414815206047E-2</v>
          </cell>
          <cell r="N2686">
            <v>2</v>
          </cell>
        </row>
        <row r="2687">
          <cell r="E2687" t="str">
            <v>Arizona v California</v>
          </cell>
          <cell r="I2687" t="str">
            <v>CG</v>
          </cell>
          <cell r="K2687" t="str">
            <v>F</v>
          </cell>
          <cell r="M2687">
            <v>0.123717884977702</v>
          </cell>
          <cell r="N2687">
            <v>4</v>
          </cell>
        </row>
        <row r="2688">
          <cell r="E2688" t="str">
            <v>Arizona v California</v>
          </cell>
          <cell r="I2688" t="str">
            <v>CG</v>
          </cell>
          <cell r="K2688" t="str">
            <v>DSL</v>
          </cell>
          <cell r="M2688">
            <v>8.3040989450446995E-2</v>
          </cell>
          <cell r="N2688">
            <v>2</v>
          </cell>
        </row>
        <row r="2689">
          <cell r="E2689" t="str">
            <v>Arizona v California</v>
          </cell>
          <cell r="I2689" t="str">
            <v>CG</v>
          </cell>
          <cell r="K2689" t="str">
            <v>DSL</v>
          </cell>
          <cell r="M2689">
            <v>4.2095279281024002E-2</v>
          </cell>
          <cell r="N2689">
            <v>2</v>
          </cell>
        </row>
        <row r="2690">
          <cell r="E2690" t="str">
            <v>Arizona v California</v>
          </cell>
          <cell r="I2690" t="str">
            <v>CG</v>
          </cell>
          <cell r="K2690" t="str">
            <v>DSL</v>
          </cell>
          <cell r="M2690">
            <v>0.27028359050561201</v>
          </cell>
          <cell r="N2690">
            <v>2</v>
          </cell>
        </row>
        <row r="2691">
          <cell r="E2691" t="str">
            <v>Arizona v California</v>
          </cell>
          <cell r="I2691" t="str">
            <v>CG</v>
          </cell>
          <cell r="K2691" t="str">
            <v>DSL</v>
          </cell>
          <cell r="M2691">
            <v>1.1136014679805999</v>
          </cell>
          <cell r="N2691">
            <v>2</v>
          </cell>
        </row>
        <row r="2692">
          <cell r="E2692" t="str">
            <v>Arizona v California</v>
          </cell>
          <cell r="I2692" t="str">
            <v>CG</v>
          </cell>
          <cell r="K2692" t="str">
            <v>DSL</v>
          </cell>
          <cell r="M2692">
            <v>0.29464707250343097</v>
          </cell>
          <cell r="N2692">
            <v>2</v>
          </cell>
        </row>
        <row r="2693">
          <cell r="E2693" t="str">
            <v>Arizona v California</v>
          </cell>
          <cell r="I2693" t="str">
            <v>CG</v>
          </cell>
          <cell r="K2693" t="str">
            <v>H</v>
          </cell>
          <cell r="M2693">
            <v>3.5084111079354998</v>
          </cell>
          <cell r="N2693">
            <v>2</v>
          </cell>
        </row>
        <row r="2694">
          <cell r="E2694" t="str">
            <v>Arizona v California</v>
          </cell>
          <cell r="I2694" t="str">
            <v>CG</v>
          </cell>
          <cell r="K2694" t="str">
            <v>DSL</v>
          </cell>
          <cell r="M2694">
            <v>0.14169769610465099</v>
          </cell>
          <cell r="N2694">
            <v>2</v>
          </cell>
        </row>
        <row r="2695">
          <cell r="E2695" t="str">
            <v>Arizona v California</v>
          </cell>
          <cell r="I2695" t="str">
            <v>CG</v>
          </cell>
          <cell r="K2695" t="str">
            <v>DSL</v>
          </cell>
          <cell r="M2695">
            <v>1.7291000046888001E-2</v>
          </cell>
          <cell r="N2695">
            <v>2</v>
          </cell>
        </row>
        <row r="2696">
          <cell r="E2696" t="str">
            <v>Arizona v California</v>
          </cell>
          <cell r="I2696" t="str">
            <v>CG</v>
          </cell>
          <cell r="K2696" t="str">
            <v>F</v>
          </cell>
          <cell r="M2696">
            <v>7.8803692141815498</v>
          </cell>
          <cell r="N2696">
            <v>4</v>
          </cell>
        </row>
        <row r="2697">
          <cell r="E2697" t="str">
            <v>Arizona v California</v>
          </cell>
          <cell r="I2697" t="str">
            <v>CG</v>
          </cell>
          <cell r="K2697" t="str">
            <v>F</v>
          </cell>
          <cell r="M2697">
            <v>5.3410635297166502</v>
          </cell>
          <cell r="N2697">
            <v>4</v>
          </cell>
        </row>
        <row r="2698">
          <cell r="E2698" t="str">
            <v>Arizona v California</v>
          </cell>
          <cell r="I2698" t="str">
            <v>CG</v>
          </cell>
          <cell r="K2698" t="str">
            <v>Tw</v>
          </cell>
          <cell r="M2698">
            <v>2.3757651309035599</v>
          </cell>
          <cell r="N2698">
            <v>2</v>
          </cell>
        </row>
        <row r="2699">
          <cell r="E2699" t="str">
            <v>Arizona v California</v>
          </cell>
          <cell r="I2699" t="str">
            <v>CG</v>
          </cell>
          <cell r="K2699" t="str">
            <v>DSL</v>
          </cell>
          <cell r="M2699">
            <v>5.9327680937994003E-2</v>
          </cell>
          <cell r="N2699">
            <v>3</v>
          </cell>
        </row>
        <row r="2700">
          <cell r="E2700" t="str">
            <v>Arizona v California</v>
          </cell>
          <cell r="I2700" t="str">
            <v>CG</v>
          </cell>
          <cell r="K2700" t="str">
            <v>DSL</v>
          </cell>
          <cell r="M2700">
            <v>2.5466192080740999E-2</v>
          </cell>
          <cell r="N2700">
            <v>3</v>
          </cell>
        </row>
        <row r="2701">
          <cell r="E2701" t="str">
            <v>Arizona v California</v>
          </cell>
          <cell r="I2701" t="str">
            <v>CG</v>
          </cell>
          <cell r="K2701" t="str">
            <v>DSL</v>
          </cell>
          <cell r="M2701">
            <v>1.5319791650532001E-2</v>
          </cell>
          <cell r="N2701">
            <v>3</v>
          </cell>
        </row>
        <row r="2702">
          <cell r="E2702" t="str">
            <v>Arizona v California</v>
          </cell>
          <cell r="I2702" t="str">
            <v>CG</v>
          </cell>
          <cell r="K2702" t="str">
            <v>DSL</v>
          </cell>
          <cell r="M2702">
            <v>1.949472891418E-3</v>
          </cell>
          <cell r="N2702">
            <v>3</v>
          </cell>
        </row>
        <row r="2703">
          <cell r="E2703" t="str">
            <v>Arizona v California</v>
          </cell>
          <cell r="I2703" t="str">
            <v>CG</v>
          </cell>
          <cell r="K2703" t="str">
            <v>DSL</v>
          </cell>
          <cell r="M2703">
            <v>2.2050496977601999E-2</v>
          </cell>
          <cell r="N2703">
            <v>2</v>
          </cell>
        </row>
        <row r="2704">
          <cell r="E2704" t="str">
            <v>Arizona v California</v>
          </cell>
          <cell r="I2704" t="str">
            <v>CG</v>
          </cell>
          <cell r="K2704" t="str">
            <v>DSL</v>
          </cell>
          <cell r="M2704">
            <v>4.8613258713779001E-2</v>
          </cell>
          <cell r="N2704">
            <v>2</v>
          </cell>
        </row>
        <row r="2705">
          <cell r="E2705" t="str">
            <v>Arizona v California</v>
          </cell>
          <cell r="I2705" t="str">
            <v>CG</v>
          </cell>
          <cell r="K2705" t="str">
            <v>DSL</v>
          </cell>
          <cell r="M2705">
            <v>5.4343217645114003E-2</v>
          </cell>
          <cell r="N2705">
            <v>2</v>
          </cell>
        </row>
        <row r="2706">
          <cell r="E2706" t="str">
            <v>Arizona v California</v>
          </cell>
          <cell r="I2706" t="str">
            <v>CG</v>
          </cell>
          <cell r="K2706" t="str">
            <v>DSL</v>
          </cell>
          <cell r="M2706">
            <v>0.17463989236161101</v>
          </cell>
          <cell r="N2706">
            <v>2</v>
          </cell>
        </row>
        <row r="2707">
          <cell r="E2707" t="str">
            <v>Arizona v California</v>
          </cell>
          <cell r="I2707" t="str">
            <v>CG</v>
          </cell>
          <cell r="K2707" t="str">
            <v>NI</v>
          </cell>
          <cell r="M2707">
            <v>1.0369988097045499</v>
          </cell>
          <cell r="N2707">
            <v>4</v>
          </cell>
        </row>
        <row r="2708">
          <cell r="E2708" t="str">
            <v>Arizona v California</v>
          </cell>
          <cell r="I2708" t="str">
            <v>CG</v>
          </cell>
          <cell r="K2708" t="str">
            <v>DSL</v>
          </cell>
          <cell r="M2708">
            <v>0.15163820931283101</v>
          </cell>
          <cell r="N2708">
            <v>2</v>
          </cell>
        </row>
        <row r="2709">
          <cell r="E2709" t="str">
            <v>Arizona v California</v>
          </cell>
          <cell r="I2709" t="str">
            <v>CG</v>
          </cell>
          <cell r="K2709" t="str">
            <v>DSL</v>
          </cell>
          <cell r="M2709">
            <v>0.13712183191559599</v>
          </cell>
          <cell r="N2709">
            <v>2</v>
          </cell>
        </row>
        <row r="2710">
          <cell r="E2710" t="str">
            <v>Arizona v California</v>
          </cell>
          <cell r="I2710" t="str">
            <v>CG</v>
          </cell>
          <cell r="K2710" t="str">
            <v>DSL</v>
          </cell>
          <cell r="M2710">
            <v>8.0148459087357002E-2</v>
          </cell>
          <cell r="N2710">
            <v>2</v>
          </cell>
        </row>
        <row r="2711">
          <cell r="E2711" t="str">
            <v>Arizona v California</v>
          </cell>
          <cell r="I2711" t="str">
            <v>CG</v>
          </cell>
          <cell r="K2711" t="str">
            <v>NI</v>
          </cell>
          <cell r="M2711">
            <v>0.18762514254073201</v>
          </cell>
          <cell r="N2711">
            <v>4</v>
          </cell>
        </row>
        <row r="2712">
          <cell r="E2712" t="str">
            <v>Arizona v California</v>
          </cell>
          <cell r="I2712" t="str">
            <v>CG</v>
          </cell>
          <cell r="K2712" t="str">
            <v>DSL</v>
          </cell>
          <cell r="M2712">
            <v>0.33931578813117103</v>
          </cell>
          <cell r="N2712">
            <v>3</v>
          </cell>
        </row>
        <row r="2713">
          <cell r="E2713" t="str">
            <v>Arizona v California</v>
          </cell>
          <cell r="I2713" t="str">
            <v>CG</v>
          </cell>
          <cell r="K2713" t="str">
            <v>DSL</v>
          </cell>
          <cell r="M2713">
            <v>2.1883263848855901</v>
          </cell>
          <cell r="N2713">
            <v>2</v>
          </cell>
        </row>
        <row r="2714">
          <cell r="E2714" t="str">
            <v>Arizona v California</v>
          </cell>
          <cell r="I2714" t="str">
            <v>CG</v>
          </cell>
          <cell r="K2714" t="str">
            <v>DSL</v>
          </cell>
          <cell r="M2714">
            <v>0.76193861879535796</v>
          </cell>
          <cell r="N2714">
            <v>2</v>
          </cell>
        </row>
        <row r="2715">
          <cell r="E2715" t="str">
            <v>Arizona v California</v>
          </cell>
          <cell r="I2715" t="str">
            <v>CG</v>
          </cell>
          <cell r="K2715" t="str">
            <v>DSL</v>
          </cell>
          <cell r="M2715">
            <v>0.150964677487647</v>
          </cell>
          <cell r="N2715">
            <v>2</v>
          </cell>
        </row>
        <row r="2716">
          <cell r="E2716" t="str">
            <v>Arizona v California</v>
          </cell>
          <cell r="I2716" t="str">
            <v>CG</v>
          </cell>
          <cell r="K2716" t="str">
            <v>NI</v>
          </cell>
          <cell r="M2716">
            <v>0.44796739826605497</v>
          </cell>
          <cell r="N2716">
            <v>4</v>
          </cell>
        </row>
        <row r="2717">
          <cell r="E2717" t="str">
            <v>Arizona v California</v>
          </cell>
          <cell r="I2717" t="str">
            <v>CG</v>
          </cell>
          <cell r="K2717" t="str">
            <v>F</v>
          </cell>
          <cell r="M2717">
            <v>0.117418421330207</v>
          </cell>
          <cell r="N2717">
            <v>4</v>
          </cell>
        </row>
        <row r="2718">
          <cell r="E2718" t="str">
            <v>Arizona v California</v>
          </cell>
          <cell r="I2718" t="str">
            <v>CG</v>
          </cell>
          <cell r="K2718" t="str">
            <v>DSL</v>
          </cell>
          <cell r="M2718">
            <v>0.49157086573931602</v>
          </cell>
          <cell r="N2718">
            <v>4</v>
          </cell>
        </row>
        <row r="2719">
          <cell r="E2719" t="str">
            <v>Arizona v California</v>
          </cell>
          <cell r="I2719" t="str">
            <v>CG</v>
          </cell>
          <cell r="K2719" t="str">
            <v>DSL</v>
          </cell>
          <cell r="M2719">
            <v>7.2191891559349006E-2</v>
          </cell>
          <cell r="N2719">
            <v>2</v>
          </cell>
        </row>
        <row r="2720">
          <cell r="E2720" t="str">
            <v>Arizona v California</v>
          </cell>
          <cell r="I2720" t="str">
            <v>CG</v>
          </cell>
          <cell r="K2720" t="str">
            <v>F</v>
          </cell>
          <cell r="M2720">
            <v>1.4905489504010001</v>
          </cell>
          <cell r="N2720">
            <v>4</v>
          </cell>
        </row>
        <row r="2721">
          <cell r="E2721" t="str">
            <v>Arizona v California</v>
          </cell>
          <cell r="I2721" t="str">
            <v>CG</v>
          </cell>
          <cell r="K2721" t="str">
            <v>Fo</v>
          </cell>
          <cell r="M2721">
            <v>0.20048832686139101</v>
          </cell>
          <cell r="N2721">
            <v>2</v>
          </cell>
        </row>
        <row r="2722">
          <cell r="E2722" t="str">
            <v>Arizona v California</v>
          </cell>
          <cell r="I2722" t="str">
            <v>CG</v>
          </cell>
          <cell r="K2722" t="str">
            <v>DSL</v>
          </cell>
          <cell r="M2722">
            <v>0.55856197706782595</v>
          </cell>
          <cell r="N2722">
            <v>2</v>
          </cell>
        </row>
        <row r="2723">
          <cell r="E2723" t="str">
            <v>Arizona v California</v>
          </cell>
          <cell r="I2723" t="str">
            <v>CG</v>
          </cell>
          <cell r="K2723" t="str">
            <v>DSL</v>
          </cell>
          <cell r="M2723">
            <v>0.24867947369080301</v>
          </cell>
          <cell r="N2723">
            <v>2</v>
          </cell>
        </row>
        <row r="2724">
          <cell r="E2724" t="str">
            <v>Arizona v California</v>
          </cell>
          <cell r="I2724" t="str">
            <v>CG</v>
          </cell>
          <cell r="K2724" t="str">
            <v>DSL</v>
          </cell>
          <cell r="M2724">
            <v>0.365148088607536</v>
          </cell>
          <cell r="N2724">
            <v>2</v>
          </cell>
        </row>
        <row r="2725">
          <cell r="E2725" t="str">
            <v>Arizona v California</v>
          </cell>
          <cell r="I2725" t="str">
            <v>CG</v>
          </cell>
          <cell r="K2725" t="str">
            <v>F</v>
          </cell>
          <cell r="M2725">
            <v>1.4047158648014799</v>
          </cell>
          <cell r="N2725">
            <v>4</v>
          </cell>
        </row>
        <row r="2726">
          <cell r="E2726" t="str">
            <v>Arizona v California</v>
          </cell>
          <cell r="I2726" t="str">
            <v>CG</v>
          </cell>
          <cell r="K2726" t="str">
            <v>INP</v>
          </cell>
          <cell r="M2726">
            <v>10.821424720218101</v>
          </cell>
          <cell r="N2726">
            <v>1</v>
          </cell>
        </row>
        <row r="2727">
          <cell r="E2727" t="str">
            <v>Arizona v California</v>
          </cell>
          <cell r="I2727" t="str">
            <v>CG</v>
          </cell>
          <cell r="K2727" t="str">
            <v>F</v>
          </cell>
          <cell r="M2727">
            <v>1.9720025560647301</v>
          </cell>
          <cell r="N2727">
            <v>4</v>
          </cell>
        </row>
        <row r="2728">
          <cell r="E2728" t="str">
            <v>Arizona v California</v>
          </cell>
          <cell r="I2728" t="str">
            <v>CG</v>
          </cell>
          <cell r="K2728" t="str">
            <v>F</v>
          </cell>
          <cell r="M2728">
            <v>0.95359982993443604</v>
          </cell>
          <cell r="N2728">
            <v>4</v>
          </cell>
        </row>
        <row r="2729">
          <cell r="E2729" t="str">
            <v>Arizona v California</v>
          </cell>
          <cell r="I2729" t="str">
            <v>CG</v>
          </cell>
          <cell r="K2729" t="str">
            <v>MV</v>
          </cell>
          <cell r="M2729">
            <v>0.57827095363209502</v>
          </cell>
          <cell r="N2729">
            <v>1</v>
          </cell>
        </row>
        <row r="2730">
          <cell r="E2730" t="str">
            <v>Arizona v California</v>
          </cell>
          <cell r="I2730" t="str">
            <v>CG</v>
          </cell>
          <cell r="K2730" t="str">
            <v>MV</v>
          </cell>
          <cell r="M2730">
            <v>9.6253868648373E-2</v>
          </cell>
          <cell r="N2730">
            <v>1</v>
          </cell>
        </row>
        <row r="2731">
          <cell r="E2731" t="str">
            <v>Arizona v California</v>
          </cell>
          <cell r="I2731" t="str">
            <v>CG</v>
          </cell>
          <cell r="K2731" t="str">
            <v>MV</v>
          </cell>
          <cell r="M2731">
            <v>1.0084760417693699</v>
          </cell>
          <cell r="N2731">
            <v>1</v>
          </cell>
        </row>
        <row r="2732">
          <cell r="E2732" t="str">
            <v>Arizona v California</v>
          </cell>
          <cell r="I2732" t="str">
            <v>CG</v>
          </cell>
          <cell r="K2732" t="str">
            <v>F</v>
          </cell>
          <cell r="M2732">
            <v>6.2840508970233994E-2</v>
          </cell>
          <cell r="N2732">
            <v>4</v>
          </cell>
        </row>
        <row r="2733">
          <cell r="E2733" t="str">
            <v>Arizona v California</v>
          </cell>
          <cell r="I2733" t="str">
            <v>CG</v>
          </cell>
          <cell r="K2733" t="str">
            <v>F</v>
          </cell>
          <cell r="M2733">
            <v>0.621539571798848</v>
          </cell>
          <cell r="N2733">
            <v>4</v>
          </cell>
        </row>
        <row r="2734">
          <cell r="E2734" t="str">
            <v>Arizona v California</v>
          </cell>
          <cell r="I2734" t="str">
            <v>CG</v>
          </cell>
          <cell r="K2734" t="str">
            <v>F</v>
          </cell>
          <cell r="M2734">
            <v>0.687820292616518</v>
          </cell>
          <cell r="N2734">
            <v>4</v>
          </cell>
        </row>
        <row r="2735">
          <cell r="E2735" t="str">
            <v>Arizona v California</v>
          </cell>
          <cell r="I2735" t="str">
            <v>CG</v>
          </cell>
          <cell r="K2735" t="str">
            <v>DSL</v>
          </cell>
          <cell r="M2735">
            <v>0.12551404545420899</v>
          </cell>
          <cell r="N2735">
            <v>2</v>
          </cell>
        </row>
        <row r="2736">
          <cell r="E2736" t="str">
            <v>Arizona v California</v>
          </cell>
          <cell r="I2736" t="str">
            <v>CG</v>
          </cell>
          <cell r="K2736" t="str">
            <v>INP</v>
          </cell>
          <cell r="M2736">
            <v>1.0732418321455599</v>
          </cell>
          <cell r="N2736">
            <v>1</v>
          </cell>
        </row>
        <row r="2737">
          <cell r="E2737" t="str">
            <v>Arizona v California</v>
          </cell>
          <cell r="I2737" t="str">
            <v>CG</v>
          </cell>
          <cell r="K2737" t="str">
            <v>INP</v>
          </cell>
          <cell r="M2737">
            <v>0.71531399697259401</v>
          </cell>
          <cell r="N2737">
            <v>1</v>
          </cell>
        </row>
        <row r="2738">
          <cell r="E2738" t="str">
            <v>Arizona v California</v>
          </cell>
          <cell r="I2738" t="str">
            <v>CG</v>
          </cell>
          <cell r="K2738" t="str">
            <v>Res,W</v>
          </cell>
          <cell r="M2738">
            <v>4.3952243213082998E-2</v>
          </cell>
          <cell r="N2738">
            <v>4</v>
          </cell>
        </row>
        <row r="2739">
          <cell r="E2739" t="str">
            <v>Arizona v California</v>
          </cell>
          <cell r="I2739" t="str">
            <v>CG</v>
          </cell>
          <cell r="K2739" t="str">
            <v>DSL</v>
          </cell>
          <cell r="M2739">
            <v>2.4686682911348101</v>
          </cell>
          <cell r="N2739">
            <v>2</v>
          </cell>
        </row>
        <row r="2740">
          <cell r="E2740" t="str">
            <v>Arizona v California</v>
          </cell>
          <cell r="I2740" t="str">
            <v>CG</v>
          </cell>
          <cell r="K2740" t="str">
            <v>F</v>
          </cell>
          <cell r="M2740">
            <v>2.9303735574354399</v>
          </cell>
          <cell r="N2740">
            <v>4</v>
          </cell>
        </row>
        <row r="2741">
          <cell r="E2741" t="str">
            <v>Arizona v California</v>
          </cell>
          <cell r="I2741" t="str">
            <v>CG</v>
          </cell>
          <cell r="K2741" t="str">
            <v>F</v>
          </cell>
          <cell r="M2741">
            <v>3.6923851206535199</v>
          </cell>
          <cell r="N2741">
            <v>4</v>
          </cell>
        </row>
        <row r="2742">
          <cell r="E2742" t="str">
            <v>Arizona v California</v>
          </cell>
          <cell r="I2742" t="str">
            <v>CG</v>
          </cell>
          <cell r="K2742" t="str">
            <v>H</v>
          </cell>
          <cell r="M2742">
            <v>14.08055756557</v>
          </cell>
          <cell r="N2742">
            <v>1</v>
          </cell>
        </row>
        <row r="2743">
          <cell r="E2743" t="str">
            <v>Arizona v California</v>
          </cell>
          <cell r="I2743" t="str">
            <v>CG</v>
          </cell>
          <cell r="K2743" t="str">
            <v>F</v>
          </cell>
          <cell r="M2743">
            <v>0.16612984993881499</v>
          </cell>
          <cell r="N2743">
            <v>4</v>
          </cell>
        </row>
        <row r="2744">
          <cell r="E2744" t="str">
            <v>Arizona v California</v>
          </cell>
          <cell r="I2744" t="str">
            <v>CG</v>
          </cell>
          <cell r="K2744" t="str">
            <v>DSL</v>
          </cell>
          <cell r="M2744">
            <v>0.12014132500412</v>
          </cell>
          <cell r="N2744">
            <v>2</v>
          </cell>
        </row>
        <row r="2745">
          <cell r="E2745" t="str">
            <v>Arizona v California</v>
          </cell>
          <cell r="I2745" t="str">
            <v>CG</v>
          </cell>
          <cell r="K2745" t="str">
            <v>IPP</v>
          </cell>
          <cell r="M2745">
            <v>2.1595878594406299</v>
          </cell>
          <cell r="N2745">
            <v>1</v>
          </cell>
        </row>
        <row r="2746">
          <cell r="E2746" t="str">
            <v>Arizona v California</v>
          </cell>
          <cell r="I2746" t="str">
            <v>CG</v>
          </cell>
          <cell r="K2746" t="str">
            <v>IPP</v>
          </cell>
          <cell r="M2746">
            <v>2.2167151639172098</v>
          </cell>
          <cell r="N2746">
            <v>1</v>
          </cell>
        </row>
        <row r="2747">
          <cell r="E2747" t="str">
            <v>Arizona v California</v>
          </cell>
          <cell r="I2747" t="str">
            <v>CG</v>
          </cell>
          <cell r="K2747" t="str">
            <v>IPP</v>
          </cell>
          <cell r="M2747">
            <v>1.58497203558046</v>
          </cell>
          <cell r="N2747">
            <v>1</v>
          </cell>
        </row>
        <row r="2748">
          <cell r="E2748" t="str">
            <v>Arizona v California</v>
          </cell>
          <cell r="I2748" t="str">
            <v>CG</v>
          </cell>
          <cell r="K2748" t="str">
            <v>IPP</v>
          </cell>
          <cell r="M2748">
            <v>0.89178975115167303</v>
          </cell>
          <cell r="N2748">
            <v>1</v>
          </cell>
        </row>
        <row r="2749">
          <cell r="E2749" t="str">
            <v>Arizona v California</v>
          </cell>
          <cell r="I2749" t="str">
            <v>CG</v>
          </cell>
          <cell r="K2749" t="str">
            <v>IPP</v>
          </cell>
          <cell r="M2749">
            <v>3.3861170273191301</v>
          </cell>
          <cell r="N2749">
            <v>1</v>
          </cell>
        </row>
        <row r="2750">
          <cell r="E2750" t="str">
            <v>Arizona v California</v>
          </cell>
          <cell r="I2750" t="str">
            <v>CG</v>
          </cell>
          <cell r="K2750" t="str">
            <v>IPP</v>
          </cell>
          <cell r="M2750">
            <v>4.2463214078110996</v>
          </cell>
          <cell r="N2750">
            <v>1</v>
          </cell>
        </row>
        <row r="2751">
          <cell r="E2751" t="str">
            <v>Arizona v California</v>
          </cell>
          <cell r="I2751" t="str">
            <v>CG</v>
          </cell>
          <cell r="K2751" t="str">
            <v>F</v>
          </cell>
          <cell r="M2751">
            <v>5.1906380057880003E-3</v>
          </cell>
          <cell r="N2751">
            <v>4</v>
          </cell>
        </row>
        <row r="2752">
          <cell r="E2752" t="str">
            <v>Arizona v California</v>
          </cell>
          <cell r="I2752" t="str">
            <v>CG</v>
          </cell>
          <cell r="K2752" t="str">
            <v>DSL</v>
          </cell>
          <cell r="M2752">
            <v>1.3342782731543901</v>
          </cell>
          <cell r="N2752">
            <v>2</v>
          </cell>
        </row>
        <row r="2753">
          <cell r="E2753" t="str">
            <v>Arizona v California</v>
          </cell>
          <cell r="I2753" t="str">
            <v>CG</v>
          </cell>
          <cell r="K2753" t="str">
            <v>MV</v>
          </cell>
          <cell r="M2753">
            <v>6.1973450510799E-2</v>
          </cell>
          <cell r="N2753">
            <v>1</v>
          </cell>
        </row>
        <row r="2754">
          <cell r="E2754" t="str">
            <v>Arizona v California</v>
          </cell>
          <cell r="I2754" t="str">
            <v>CG</v>
          </cell>
          <cell r="K2754" t="str">
            <v>IPP</v>
          </cell>
          <cell r="M2754">
            <v>2.67934622821637</v>
          </cell>
          <cell r="N2754">
            <v>1</v>
          </cell>
        </row>
        <row r="2755">
          <cell r="E2755" t="str">
            <v>Arizona v California</v>
          </cell>
          <cell r="I2755" t="str">
            <v>CG</v>
          </cell>
          <cell r="K2755" t="str">
            <v>IPP</v>
          </cell>
          <cell r="M2755">
            <v>1.64947774321513</v>
          </cell>
          <cell r="N2755">
            <v>1</v>
          </cell>
        </row>
        <row r="2756">
          <cell r="E2756" t="str">
            <v>Arizona v California</v>
          </cell>
          <cell r="I2756" t="str">
            <v>CG</v>
          </cell>
          <cell r="K2756" t="str">
            <v>INP</v>
          </cell>
          <cell r="M2756">
            <v>0.67944366876987095</v>
          </cell>
          <cell r="N2756">
            <v>1</v>
          </cell>
        </row>
        <row r="2757">
          <cell r="E2757" t="str">
            <v>Arizona v California</v>
          </cell>
          <cell r="I2757" t="str">
            <v>CG</v>
          </cell>
          <cell r="K2757" t="str">
            <v>A</v>
          </cell>
          <cell r="M2757">
            <v>4.8598908340649203</v>
          </cell>
          <cell r="N2757">
            <v>1</v>
          </cell>
        </row>
        <row r="2758">
          <cell r="E2758" t="str">
            <v>Arizona v California</v>
          </cell>
          <cell r="I2758" t="str">
            <v>CG</v>
          </cell>
          <cell r="K2758" t="str">
            <v>A</v>
          </cell>
          <cell r="M2758">
            <v>4.8351442838661898</v>
          </cell>
          <cell r="N2758">
            <v>1</v>
          </cell>
        </row>
        <row r="2759">
          <cell r="E2759" t="str">
            <v>Arizona v California</v>
          </cell>
          <cell r="I2759" t="str">
            <v>CG</v>
          </cell>
          <cell r="K2759" t="str">
            <v>IPP</v>
          </cell>
          <cell r="M2759">
            <v>1.3575498485673301</v>
          </cell>
          <cell r="N2759">
            <v>1</v>
          </cell>
        </row>
        <row r="2760">
          <cell r="E2760" t="str">
            <v>Arizona v California</v>
          </cell>
          <cell r="I2760" t="str">
            <v>CG</v>
          </cell>
          <cell r="K2760" t="str">
            <v>IPP</v>
          </cell>
          <cell r="M2760">
            <v>7.4586831459884504</v>
          </cell>
          <cell r="N2760">
            <v>1</v>
          </cell>
        </row>
        <row r="2761">
          <cell r="E2761" t="str">
            <v>Arizona v California</v>
          </cell>
          <cell r="I2761" t="str">
            <v>CG</v>
          </cell>
          <cell r="K2761" t="str">
            <v>IPP</v>
          </cell>
          <cell r="M2761">
            <v>5.1265551147584603</v>
          </cell>
          <cell r="N2761">
            <v>1</v>
          </cell>
        </row>
        <row r="2762">
          <cell r="E2762" t="str">
            <v>Arizona v California</v>
          </cell>
          <cell r="I2762" t="str">
            <v>CG</v>
          </cell>
          <cell r="K2762" t="str">
            <v>H</v>
          </cell>
          <cell r="M2762">
            <v>3.7279634017061198</v>
          </cell>
          <cell r="N2762">
            <v>1</v>
          </cell>
        </row>
        <row r="2763">
          <cell r="E2763" t="str">
            <v>Arizona v California</v>
          </cell>
          <cell r="I2763" t="str">
            <v>CG</v>
          </cell>
          <cell r="K2763" t="str">
            <v>IPP</v>
          </cell>
          <cell r="M2763">
            <v>1.03025675141093</v>
          </cell>
          <cell r="N2763">
            <v>1</v>
          </cell>
        </row>
        <row r="2764">
          <cell r="E2764" t="str">
            <v>Arizona v California</v>
          </cell>
          <cell r="I2764" t="str">
            <v>CG</v>
          </cell>
          <cell r="K2764" t="str">
            <v>F</v>
          </cell>
          <cell r="M2764">
            <v>3.66584319495044</v>
          </cell>
          <cell r="N2764">
            <v>4</v>
          </cell>
        </row>
        <row r="2765">
          <cell r="E2765" t="str">
            <v>Arizona v California</v>
          </cell>
          <cell r="I2765" t="str">
            <v>CG</v>
          </cell>
          <cell r="K2765" t="str">
            <v>F</v>
          </cell>
          <cell r="M2765">
            <v>0.27218214057276002</v>
          </cell>
          <cell r="N2765">
            <v>4</v>
          </cell>
        </row>
        <row r="2766">
          <cell r="E2766" t="str">
            <v>Arizona v California</v>
          </cell>
          <cell r="I2766" t="str">
            <v>CG</v>
          </cell>
          <cell r="K2766" t="str">
            <v>MV</v>
          </cell>
          <cell r="M2766">
            <v>0.45507504220835399</v>
          </cell>
          <cell r="N2766">
            <v>1</v>
          </cell>
        </row>
        <row r="2767">
          <cell r="E2767" t="str">
            <v>Arizona v California</v>
          </cell>
          <cell r="I2767" t="str">
            <v>CG</v>
          </cell>
          <cell r="K2767" t="str">
            <v>MV</v>
          </cell>
          <cell r="M2767">
            <v>3.0611415914856999E-2</v>
          </cell>
          <cell r="N2767">
            <v>1</v>
          </cell>
        </row>
        <row r="2768">
          <cell r="E2768" t="str">
            <v>Arizona v California</v>
          </cell>
          <cell r="I2768" t="str">
            <v>CG</v>
          </cell>
          <cell r="K2768" t="str">
            <v>MV</v>
          </cell>
          <cell r="M2768">
            <v>0.21734951469876501</v>
          </cell>
          <cell r="N2768">
            <v>1</v>
          </cell>
        </row>
        <row r="2769">
          <cell r="E2769" t="str">
            <v>Arizona v California</v>
          </cell>
          <cell r="I2769" t="str">
            <v>CG</v>
          </cell>
          <cell r="K2769" t="str">
            <v>MV</v>
          </cell>
          <cell r="M2769">
            <v>0.206224739380718</v>
          </cell>
          <cell r="N2769">
            <v>1</v>
          </cell>
        </row>
        <row r="2770">
          <cell r="E2770" t="str">
            <v>Arizona v California</v>
          </cell>
          <cell r="I2770" t="str">
            <v>CG</v>
          </cell>
          <cell r="K2770" t="str">
            <v>INP</v>
          </cell>
          <cell r="M2770">
            <v>6.7985320956519502</v>
          </cell>
          <cell r="N2770">
            <v>1</v>
          </cell>
        </row>
        <row r="2771">
          <cell r="E2771" t="str">
            <v>Arizona v California</v>
          </cell>
          <cell r="I2771" t="str">
            <v>CG</v>
          </cell>
          <cell r="K2771" t="str">
            <v>INP</v>
          </cell>
          <cell r="M2771">
            <v>2.0175043572229501</v>
          </cell>
          <cell r="N2771">
            <v>1</v>
          </cell>
        </row>
        <row r="2772">
          <cell r="E2772" t="str">
            <v>Arizona v California</v>
          </cell>
          <cell r="I2772" t="str">
            <v>CG</v>
          </cell>
          <cell r="K2772" t="str">
            <v>DSL</v>
          </cell>
          <cell r="M2772">
            <v>0.26093355864304302</v>
          </cell>
          <cell r="N2772">
            <v>2</v>
          </cell>
        </row>
        <row r="2773">
          <cell r="E2773" t="str">
            <v>Arizona v California</v>
          </cell>
          <cell r="I2773" t="str">
            <v>CG</v>
          </cell>
          <cell r="K2773" t="str">
            <v>INP</v>
          </cell>
          <cell r="M2773">
            <v>2.7321811109719998</v>
          </cell>
          <cell r="N2773">
            <v>2</v>
          </cell>
        </row>
        <row r="2774">
          <cell r="E2774" t="str">
            <v>Arizona v California</v>
          </cell>
          <cell r="I2774" t="str">
            <v>CG</v>
          </cell>
          <cell r="K2774" t="str">
            <v>F</v>
          </cell>
          <cell r="M2774">
            <v>0.79613914983941303</v>
          </cell>
          <cell r="N2774">
            <v>4</v>
          </cell>
        </row>
        <row r="2775">
          <cell r="E2775" t="str">
            <v>Arizona v California</v>
          </cell>
          <cell r="I2775" t="str">
            <v>CG</v>
          </cell>
          <cell r="K2775" t="str">
            <v>F</v>
          </cell>
          <cell r="M2775">
            <v>1.1458419582941799</v>
          </cell>
          <cell r="N2775">
            <v>4</v>
          </cell>
        </row>
        <row r="2776">
          <cell r="E2776" t="str">
            <v>Arizona v California</v>
          </cell>
          <cell r="I2776" t="str">
            <v>CG</v>
          </cell>
          <cell r="K2776" t="str">
            <v>Res,D</v>
          </cell>
          <cell r="M2776">
            <v>0.14490072180427599</v>
          </cell>
          <cell r="N2776">
            <v>4</v>
          </cell>
        </row>
        <row r="2777">
          <cell r="E2777" t="str">
            <v>Arizona v California</v>
          </cell>
          <cell r="I2777" t="str">
            <v>CG</v>
          </cell>
          <cell r="K2777" t="str">
            <v>DSL</v>
          </cell>
          <cell r="M2777">
            <v>0.61277078310729705</v>
          </cell>
          <cell r="N2777">
            <v>2</v>
          </cell>
        </row>
        <row r="2778">
          <cell r="E2778" t="str">
            <v>Arizona v California</v>
          </cell>
          <cell r="I2778" t="str">
            <v>CG</v>
          </cell>
          <cell r="K2778" t="str">
            <v>DSL</v>
          </cell>
          <cell r="M2778">
            <v>0.228834306830174</v>
          </cell>
          <cell r="N2778">
            <v>2</v>
          </cell>
        </row>
        <row r="2779">
          <cell r="E2779" t="str">
            <v>Arizona v California</v>
          </cell>
          <cell r="I2779" t="str">
            <v>CG</v>
          </cell>
          <cell r="K2779" t="str">
            <v>H</v>
          </cell>
          <cell r="M2779">
            <v>2.1920605954024799</v>
          </cell>
          <cell r="N2779">
            <v>2</v>
          </cell>
        </row>
        <row r="2780">
          <cell r="E2780" t="str">
            <v>Arizona v California</v>
          </cell>
          <cell r="I2780" t="str">
            <v>CG</v>
          </cell>
          <cell r="K2780" t="str">
            <v>Res,W</v>
          </cell>
          <cell r="M2780">
            <v>0.13537459487630499</v>
          </cell>
          <cell r="N2780">
            <v>4</v>
          </cell>
        </row>
        <row r="2781">
          <cell r="E2781" t="str">
            <v>Arizona v California</v>
          </cell>
          <cell r="I2781" t="str">
            <v>CG</v>
          </cell>
          <cell r="K2781" t="str">
            <v>DSL</v>
          </cell>
          <cell r="M2781">
            <v>0.292536179593398</v>
          </cell>
          <cell r="N2781">
            <v>2</v>
          </cell>
        </row>
        <row r="2782">
          <cell r="E2782" t="str">
            <v>Arizona v California</v>
          </cell>
          <cell r="I2782" t="str">
            <v>CG</v>
          </cell>
          <cell r="K2782" t="str">
            <v>F</v>
          </cell>
          <cell r="M2782">
            <v>0.68218055636482799</v>
          </cell>
          <cell r="N2782">
            <v>4</v>
          </cell>
        </row>
        <row r="2783">
          <cell r="E2783" t="str">
            <v>Arizona v California</v>
          </cell>
          <cell r="I2783" t="str">
            <v>CG</v>
          </cell>
          <cell r="K2783" t="str">
            <v>DSL</v>
          </cell>
          <cell r="M2783">
            <v>8.6686357412788004E-2</v>
          </cell>
          <cell r="N2783">
            <v>2</v>
          </cell>
        </row>
        <row r="2784">
          <cell r="E2784" t="str">
            <v>Arizona v California</v>
          </cell>
          <cell r="I2784" t="str">
            <v>CG</v>
          </cell>
          <cell r="K2784" t="str">
            <v>DSL</v>
          </cell>
          <cell r="M2784">
            <v>0.242985307203719</v>
          </cell>
          <cell r="N2784">
            <v>2</v>
          </cell>
        </row>
        <row r="2785">
          <cell r="E2785" t="str">
            <v>Arizona v California</v>
          </cell>
          <cell r="I2785" t="str">
            <v>CG</v>
          </cell>
          <cell r="K2785" t="str">
            <v>MV</v>
          </cell>
          <cell r="M2785">
            <v>6.2831435141650002E-2</v>
          </cell>
          <cell r="N2785">
            <v>2</v>
          </cell>
        </row>
        <row r="2786">
          <cell r="E2786" t="str">
            <v>Arizona v California</v>
          </cell>
          <cell r="I2786" t="str">
            <v>CG</v>
          </cell>
          <cell r="K2786" t="str">
            <v>DSL</v>
          </cell>
          <cell r="M2786">
            <v>0.20743307998146099</v>
          </cell>
          <cell r="N2786">
            <v>2</v>
          </cell>
        </row>
        <row r="2787">
          <cell r="E2787" t="str">
            <v>Arizona v California</v>
          </cell>
          <cell r="I2787" t="str">
            <v>CG</v>
          </cell>
          <cell r="K2787" t="str">
            <v>DSL</v>
          </cell>
          <cell r="M2787">
            <v>0.33934729607633302</v>
          </cell>
          <cell r="N2787">
            <v>2</v>
          </cell>
        </row>
        <row r="2788">
          <cell r="E2788" t="str">
            <v>Arizona v California</v>
          </cell>
          <cell r="I2788" t="str">
            <v>CG</v>
          </cell>
          <cell r="K2788" t="str">
            <v>DSL</v>
          </cell>
          <cell r="M2788">
            <v>0.28485669809439501</v>
          </cell>
          <cell r="N2788">
            <v>3</v>
          </cell>
        </row>
        <row r="2789">
          <cell r="E2789" t="str">
            <v>Arizona v California</v>
          </cell>
          <cell r="I2789" t="str">
            <v>CG</v>
          </cell>
          <cell r="K2789" t="str">
            <v>DSL</v>
          </cell>
          <cell r="M2789">
            <v>6.7940042196895006E-2</v>
          </cell>
          <cell r="N2789">
            <v>2</v>
          </cell>
        </row>
        <row r="2790">
          <cell r="E2790" t="str">
            <v>Arizona v California</v>
          </cell>
          <cell r="I2790" t="str">
            <v>CG</v>
          </cell>
          <cell r="K2790" t="str">
            <v>DSL</v>
          </cell>
          <cell r="M2790">
            <v>7.1355764004899999E-2</v>
          </cell>
          <cell r="N2790">
            <v>2</v>
          </cell>
        </row>
        <row r="2791">
          <cell r="E2791" t="str">
            <v>Arizona v California</v>
          </cell>
          <cell r="I2791" t="str">
            <v>CG</v>
          </cell>
          <cell r="K2791" t="str">
            <v>DSL</v>
          </cell>
          <cell r="M2791">
            <v>0.231784546066756</v>
          </cell>
          <cell r="N2791">
            <v>3</v>
          </cell>
        </row>
        <row r="2792">
          <cell r="E2792" t="str">
            <v>Arizona v California</v>
          </cell>
          <cell r="I2792" t="str">
            <v>CG</v>
          </cell>
          <cell r="K2792" t="str">
            <v>DSL</v>
          </cell>
          <cell r="M2792">
            <v>0.39678442804609698</v>
          </cell>
          <cell r="N2792">
            <v>3</v>
          </cell>
        </row>
        <row r="2793">
          <cell r="E2793" t="str">
            <v>Arizona v California</v>
          </cell>
          <cell r="I2793" t="str">
            <v>CG</v>
          </cell>
          <cell r="K2793" t="str">
            <v>DSL</v>
          </cell>
          <cell r="M2793">
            <v>0.14707163746875901</v>
          </cell>
          <cell r="N2793">
            <v>3</v>
          </cell>
        </row>
        <row r="2794">
          <cell r="E2794" t="str">
            <v>Arizona v California</v>
          </cell>
          <cell r="I2794" t="str">
            <v>CG</v>
          </cell>
          <cell r="K2794" t="str">
            <v>A</v>
          </cell>
          <cell r="M2794">
            <v>3.9894810531721898</v>
          </cell>
          <cell r="N2794">
            <v>1</v>
          </cell>
        </row>
        <row r="2795">
          <cell r="E2795" t="str">
            <v>Arizona v California</v>
          </cell>
          <cell r="I2795" t="str">
            <v>CG</v>
          </cell>
          <cell r="K2795" t="str">
            <v>Cs</v>
          </cell>
          <cell r="M2795">
            <v>2.5301276787642601</v>
          </cell>
          <cell r="N2795">
            <v>1</v>
          </cell>
        </row>
        <row r="2796">
          <cell r="E2796" t="str">
            <v>Arizona v California</v>
          </cell>
          <cell r="I2796" t="str">
            <v>CG</v>
          </cell>
          <cell r="K2796" t="str">
            <v>IPP</v>
          </cell>
          <cell r="M2796">
            <v>1.7287926990311899</v>
          </cell>
          <cell r="N2796">
            <v>1</v>
          </cell>
        </row>
        <row r="2797">
          <cell r="E2797" t="str">
            <v>Arizona v California</v>
          </cell>
          <cell r="I2797" t="str">
            <v>CG</v>
          </cell>
          <cell r="K2797" t="str">
            <v>F</v>
          </cell>
          <cell r="M2797">
            <v>0.218669702472155</v>
          </cell>
          <cell r="N2797">
            <v>4</v>
          </cell>
        </row>
        <row r="2798">
          <cell r="E2798" t="str">
            <v>Arizona v California</v>
          </cell>
          <cell r="I2798" t="str">
            <v>CG</v>
          </cell>
          <cell r="K2798" t="str">
            <v>SSG</v>
          </cell>
          <cell r="M2798">
            <v>0.22731209023270299</v>
          </cell>
          <cell r="N2798">
            <v>1</v>
          </cell>
        </row>
        <row r="2799">
          <cell r="E2799" t="str">
            <v>Arizona v California</v>
          </cell>
          <cell r="I2799" t="str">
            <v>CG</v>
          </cell>
          <cell r="K2799" t="str">
            <v>Out</v>
          </cell>
          <cell r="M2799">
            <v>1.1117518844591701</v>
          </cell>
          <cell r="N2799">
            <v>4</v>
          </cell>
        </row>
        <row r="2800">
          <cell r="E2800" t="str">
            <v>Arizona v California</v>
          </cell>
          <cell r="I2800" t="str">
            <v>CG</v>
          </cell>
          <cell r="K2800" t="str">
            <v>INP</v>
          </cell>
          <cell r="M2800">
            <v>5.3938671785645704</v>
          </cell>
          <cell r="N2800">
            <v>1</v>
          </cell>
        </row>
        <row r="2801">
          <cell r="E2801" t="str">
            <v>Arizona v California</v>
          </cell>
          <cell r="I2801" t="str">
            <v>CG</v>
          </cell>
          <cell r="K2801" t="str">
            <v>F</v>
          </cell>
          <cell r="M2801">
            <v>4.4214872248891703</v>
          </cell>
          <cell r="N2801">
            <v>4</v>
          </cell>
        </row>
        <row r="2802">
          <cell r="E2802" t="str">
            <v>Arizona v California</v>
          </cell>
          <cell r="I2802" t="str">
            <v>CG</v>
          </cell>
          <cell r="K2802" t="str">
            <v>INP</v>
          </cell>
          <cell r="M2802">
            <v>8.1344146201720005</v>
          </cell>
          <cell r="N2802">
            <v>1</v>
          </cell>
        </row>
        <row r="2803">
          <cell r="E2803" t="str">
            <v>Arizona v California</v>
          </cell>
          <cell r="I2803" t="str">
            <v>CG</v>
          </cell>
          <cell r="K2803" t="str">
            <v>INP</v>
          </cell>
          <cell r="M2803">
            <v>1.4527634459868599</v>
          </cell>
          <cell r="N2803">
            <v>1</v>
          </cell>
        </row>
        <row r="2804">
          <cell r="E2804" t="str">
            <v>Arizona v California</v>
          </cell>
          <cell r="I2804" t="str">
            <v>CG</v>
          </cell>
          <cell r="K2804" t="str">
            <v>MV</v>
          </cell>
          <cell r="M2804">
            <v>0.157987422032173</v>
          </cell>
          <cell r="N2804">
            <v>2</v>
          </cell>
        </row>
        <row r="2805">
          <cell r="E2805" t="str">
            <v>Arizona v California</v>
          </cell>
          <cell r="I2805" t="str">
            <v>CG</v>
          </cell>
          <cell r="K2805" t="str">
            <v>Hs</v>
          </cell>
          <cell r="M2805">
            <v>0.114186053851543</v>
          </cell>
          <cell r="N2805">
            <v>3</v>
          </cell>
        </row>
        <row r="2806">
          <cell r="E2806" t="str">
            <v>Arizona v California</v>
          </cell>
          <cell r="I2806" t="str">
            <v>CG</v>
          </cell>
          <cell r="K2806" t="str">
            <v>F</v>
          </cell>
          <cell r="M2806">
            <v>2.4450912542666798</v>
          </cell>
          <cell r="N2806">
            <v>4</v>
          </cell>
        </row>
        <row r="2807">
          <cell r="E2807" t="str">
            <v>Arizona v California</v>
          </cell>
          <cell r="I2807" t="str">
            <v>CG</v>
          </cell>
          <cell r="K2807" t="str">
            <v>F</v>
          </cell>
          <cell r="M2807">
            <v>0.60811616622994602</v>
          </cell>
          <cell r="N2807">
            <v>4</v>
          </cell>
        </row>
        <row r="2808">
          <cell r="E2808" t="str">
            <v>Arizona v California</v>
          </cell>
          <cell r="I2808" t="str">
            <v>CG</v>
          </cell>
          <cell r="K2808" t="str">
            <v>IPP</v>
          </cell>
          <cell r="M2808">
            <v>0.52808745495763298</v>
          </cell>
          <cell r="N2808">
            <v>2</v>
          </cell>
        </row>
        <row r="2809">
          <cell r="E2809" t="str">
            <v>Arizona v California</v>
          </cell>
          <cell r="I2809" t="str">
            <v>CG</v>
          </cell>
          <cell r="K2809" t="str">
            <v>IPP</v>
          </cell>
          <cell r="M2809">
            <v>1.78119241127221</v>
          </cell>
          <cell r="N2809">
            <v>1</v>
          </cell>
        </row>
        <row r="2810">
          <cell r="E2810" t="str">
            <v>Arizona v California</v>
          </cell>
          <cell r="I2810" t="str">
            <v>CG</v>
          </cell>
          <cell r="K2810" t="str">
            <v>DSL</v>
          </cell>
          <cell r="M2810">
            <v>0.36706701398955099</v>
          </cell>
          <cell r="N2810">
            <v>1</v>
          </cell>
        </row>
        <row r="2811">
          <cell r="E2811" t="str">
            <v>Arizona v California</v>
          </cell>
          <cell r="I2811" t="str">
            <v>CG</v>
          </cell>
          <cell r="K2811" t="str">
            <v>DSL</v>
          </cell>
          <cell r="M2811">
            <v>0.48444292833354102</v>
          </cell>
          <cell r="N2811">
            <v>1</v>
          </cell>
        </row>
        <row r="2812">
          <cell r="E2812" t="str">
            <v>Arizona v California</v>
          </cell>
          <cell r="I2812" t="str">
            <v>CG</v>
          </cell>
          <cell r="K2812" t="str">
            <v>A</v>
          </cell>
          <cell r="M2812">
            <v>1.35925775070096</v>
          </cell>
          <cell r="N2812">
            <v>1</v>
          </cell>
        </row>
        <row r="2813">
          <cell r="E2813" t="str">
            <v>Arizona v California</v>
          </cell>
          <cell r="I2813" t="str">
            <v>CG</v>
          </cell>
          <cell r="K2813" t="str">
            <v>IPP</v>
          </cell>
          <cell r="M2813">
            <v>1.4863290012662</v>
          </cell>
          <cell r="N2813">
            <v>1</v>
          </cell>
        </row>
        <row r="2814">
          <cell r="E2814" t="str">
            <v>Arizona v California</v>
          </cell>
          <cell r="I2814" t="str">
            <v>AA</v>
          </cell>
          <cell r="K2814" t="str">
            <v>DSL</v>
          </cell>
          <cell r="M2814">
            <v>4.0764316430379997E-3</v>
          </cell>
          <cell r="N2814">
            <v>2</v>
          </cell>
        </row>
        <row r="2815">
          <cell r="E2815" t="str">
            <v>Arizona v California</v>
          </cell>
          <cell r="I2815" t="str">
            <v>AA</v>
          </cell>
          <cell r="K2815" t="str">
            <v>MV</v>
          </cell>
          <cell r="M2815">
            <v>4.9940343488109997E-3</v>
          </cell>
          <cell r="N2815">
            <v>2</v>
          </cell>
        </row>
        <row r="2816">
          <cell r="E2816" t="str">
            <v>Arizona v California</v>
          </cell>
          <cell r="I2816" t="str">
            <v>AA</v>
          </cell>
          <cell r="K2816" t="str">
            <v>DSL</v>
          </cell>
          <cell r="M2816">
            <v>6.3335940791740004E-3</v>
          </cell>
          <cell r="N2816">
            <v>2</v>
          </cell>
        </row>
        <row r="2817">
          <cell r="E2817" t="str">
            <v>Arizona v California</v>
          </cell>
          <cell r="I2817" t="str">
            <v>AA</v>
          </cell>
          <cell r="K2817" t="str">
            <v>DSL</v>
          </cell>
          <cell r="M2817">
            <v>8.0331586813909995E-3</v>
          </cell>
          <cell r="N2817">
            <v>2</v>
          </cell>
        </row>
        <row r="2818">
          <cell r="E2818" t="str">
            <v>Arizona v California</v>
          </cell>
          <cell r="I2818" t="str">
            <v>AA</v>
          </cell>
          <cell r="K2818" t="str">
            <v>DSL</v>
          </cell>
          <cell r="M2818">
            <v>1.1027034082226E-2</v>
          </cell>
          <cell r="N2818">
            <v>2</v>
          </cell>
        </row>
        <row r="2819">
          <cell r="E2819" t="str">
            <v>Arizona v California</v>
          </cell>
          <cell r="I2819" t="str">
            <v>AA</v>
          </cell>
          <cell r="K2819" t="str">
            <v>DSL</v>
          </cell>
          <cell r="M2819">
            <v>1.198483401773E-2</v>
          </cell>
          <cell r="N2819">
            <v>2</v>
          </cell>
        </row>
        <row r="2820">
          <cell r="E2820" t="str">
            <v>Arizona v California</v>
          </cell>
          <cell r="I2820" t="str">
            <v>AA</v>
          </cell>
          <cell r="K2820" t="str">
            <v>DSL</v>
          </cell>
          <cell r="M2820">
            <v>1.198483401773E-2</v>
          </cell>
          <cell r="N2820">
            <v>2</v>
          </cell>
        </row>
        <row r="2821">
          <cell r="E2821" t="str">
            <v>Arizona v California</v>
          </cell>
          <cell r="I2821" t="str">
            <v>AA</v>
          </cell>
          <cell r="K2821" t="str">
            <v>MV</v>
          </cell>
          <cell r="M2821">
            <v>1.4332060905984E-2</v>
          </cell>
          <cell r="N2821">
            <v>2</v>
          </cell>
        </row>
        <row r="2822">
          <cell r="E2822" t="str">
            <v>Arizona v California</v>
          </cell>
          <cell r="I2822" t="str">
            <v>AA</v>
          </cell>
          <cell r="K2822" t="str">
            <v>DSL</v>
          </cell>
          <cell r="M2822">
            <v>1.4358356961702E-2</v>
          </cell>
          <cell r="N2822">
            <v>2</v>
          </cell>
        </row>
        <row r="2823">
          <cell r="E2823" t="str">
            <v>Arizona v California</v>
          </cell>
          <cell r="I2823" t="str">
            <v>AA</v>
          </cell>
          <cell r="K2823" t="str">
            <v>DSL</v>
          </cell>
          <cell r="M2823">
            <v>1.5049331922603E-2</v>
          </cell>
          <cell r="N2823">
            <v>2</v>
          </cell>
        </row>
        <row r="2824">
          <cell r="E2824" t="str">
            <v>Arizona v California</v>
          </cell>
          <cell r="I2824" t="str">
            <v>AA</v>
          </cell>
          <cell r="K2824" t="str">
            <v>DSL</v>
          </cell>
          <cell r="M2824">
            <v>1.7085040570580998E-2</v>
          </cell>
          <cell r="N2824">
            <v>2</v>
          </cell>
        </row>
        <row r="2825">
          <cell r="E2825" t="str">
            <v>Arizona v California</v>
          </cell>
          <cell r="I2825" t="str">
            <v>AA</v>
          </cell>
          <cell r="K2825" t="str">
            <v>DSL</v>
          </cell>
          <cell r="M2825">
            <v>2.3306898274138999E-2</v>
          </cell>
          <cell r="N2825">
            <v>2</v>
          </cell>
        </row>
        <row r="2826">
          <cell r="E2826" t="str">
            <v>Arizona v California</v>
          </cell>
          <cell r="I2826" t="str">
            <v>AA</v>
          </cell>
          <cell r="K2826" t="str">
            <v>DSL</v>
          </cell>
          <cell r="M2826">
            <v>3.3734159821583003E-2</v>
          </cell>
          <cell r="N2826">
            <v>2</v>
          </cell>
        </row>
        <row r="2827">
          <cell r="E2827" t="str">
            <v>Arizona v California</v>
          </cell>
          <cell r="I2827" t="str">
            <v>AA</v>
          </cell>
          <cell r="K2827" t="str">
            <v>MV</v>
          </cell>
          <cell r="M2827">
            <v>3.7703653973098002E-2</v>
          </cell>
          <cell r="N2827">
            <v>2</v>
          </cell>
        </row>
        <row r="2828">
          <cell r="E2828" t="str">
            <v>Arizona v California</v>
          </cell>
          <cell r="I2828" t="str">
            <v>AA</v>
          </cell>
          <cell r="K2828" t="str">
            <v>DSL</v>
          </cell>
          <cell r="M2828">
            <v>3.8760855285777003E-2</v>
          </cell>
          <cell r="N2828">
            <v>2</v>
          </cell>
        </row>
        <row r="2829">
          <cell r="E2829" t="str">
            <v>Arizona v California</v>
          </cell>
          <cell r="I2829" t="str">
            <v>AA</v>
          </cell>
          <cell r="K2829" t="str">
            <v>DSL</v>
          </cell>
          <cell r="M2829">
            <v>4.0959163995972998E-2</v>
          </cell>
          <cell r="N2829">
            <v>2</v>
          </cell>
        </row>
        <row r="2830">
          <cell r="E2830" t="str">
            <v>Arizona v California</v>
          </cell>
          <cell r="I2830" t="str">
            <v>AA</v>
          </cell>
          <cell r="K2830" t="str">
            <v>Out</v>
          </cell>
          <cell r="M2830">
            <v>8.6294103455128002E-2</v>
          </cell>
          <cell r="N2830">
            <v>4</v>
          </cell>
        </row>
        <row r="2831">
          <cell r="E2831" t="str">
            <v>Arizona v California</v>
          </cell>
          <cell r="I2831" t="str">
            <v>AA</v>
          </cell>
          <cell r="K2831" t="str">
            <v>Res,D</v>
          </cell>
          <cell r="M2831">
            <v>9.0467771456069004E-2</v>
          </cell>
          <cell r="N2831">
            <v>4</v>
          </cell>
        </row>
        <row r="2832">
          <cell r="E2832" t="str">
            <v>Arizona v California</v>
          </cell>
          <cell r="I2832" t="str">
            <v>AA</v>
          </cell>
          <cell r="K2832" t="str">
            <v>F</v>
          </cell>
          <cell r="M2832">
            <v>9.1184392362488001E-2</v>
          </cell>
          <cell r="N2832">
            <v>4</v>
          </cell>
        </row>
        <row r="2833">
          <cell r="E2833" t="str">
            <v>Arizona v California</v>
          </cell>
          <cell r="I2833" t="str">
            <v>AA</v>
          </cell>
          <cell r="K2833" t="str">
            <v>DSL</v>
          </cell>
          <cell r="M2833">
            <v>0.105283988039495</v>
          </cell>
          <cell r="N2833">
            <v>2</v>
          </cell>
        </row>
        <row r="2834">
          <cell r="E2834" t="str">
            <v>Arizona v California</v>
          </cell>
          <cell r="I2834" t="str">
            <v>AA</v>
          </cell>
          <cell r="K2834" t="str">
            <v>DSL</v>
          </cell>
          <cell r="M2834">
            <v>0.110690004258915</v>
          </cell>
          <cell r="N2834">
            <v>2</v>
          </cell>
        </row>
        <row r="2835">
          <cell r="E2835" t="str">
            <v>Arizona v California</v>
          </cell>
          <cell r="I2835" t="str">
            <v>AA</v>
          </cell>
          <cell r="K2835" t="str">
            <v>DSL</v>
          </cell>
          <cell r="M2835">
            <v>0.115521238433954</v>
          </cell>
          <cell r="N2835">
            <v>2</v>
          </cell>
        </row>
        <row r="2836">
          <cell r="E2836" t="str">
            <v>Arizona v California</v>
          </cell>
          <cell r="I2836" t="str">
            <v>AA</v>
          </cell>
          <cell r="K2836" t="str">
            <v>INP</v>
          </cell>
          <cell r="M2836">
            <v>0.1174782417132</v>
          </cell>
          <cell r="N2836">
            <v>1</v>
          </cell>
        </row>
        <row r="2837">
          <cell r="E2837" t="str">
            <v>Arizona v California</v>
          </cell>
          <cell r="I2837" t="str">
            <v>AA</v>
          </cell>
          <cell r="K2837" t="str">
            <v>DSL</v>
          </cell>
          <cell r="M2837">
            <v>0.12147827188584701</v>
          </cell>
          <cell r="N2837">
            <v>2</v>
          </cell>
        </row>
        <row r="2838">
          <cell r="E2838" t="str">
            <v>Arizona v California</v>
          </cell>
          <cell r="I2838" t="str">
            <v>AA</v>
          </cell>
          <cell r="K2838" t="str">
            <v>DSL</v>
          </cell>
          <cell r="M2838">
            <v>0.144474880116501</v>
          </cell>
          <cell r="N2838">
            <v>2</v>
          </cell>
        </row>
        <row r="2839">
          <cell r="E2839" t="str">
            <v>Arizona v California</v>
          </cell>
          <cell r="I2839" t="str">
            <v>AA</v>
          </cell>
          <cell r="K2839" t="str">
            <v>Res,D</v>
          </cell>
          <cell r="M2839">
            <v>0.170389444489109</v>
          </cell>
          <cell r="N2839">
            <v>4</v>
          </cell>
        </row>
        <row r="2840">
          <cell r="E2840" t="str">
            <v>Arizona v California</v>
          </cell>
          <cell r="I2840" t="str">
            <v>AA</v>
          </cell>
          <cell r="K2840" t="str">
            <v>DSL</v>
          </cell>
          <cell r="M2840">
            <v>0.17081114037639999</v>
          </cell>
          <cell r="N2840">
            <v>2</v>
          </cell>
        </row>
        <row r="2841">
          <cell r="E2841" t="str">
            <v>Arizona v California</v>
          </cell>
          <cell r="I2841" t="str">
            <v>AA</v>
          </cell>
          <cell r="K2841" t="str">
            <v>Res,D</v>
          </cell>
          <cell r="M2841">
            <v>0.1792795623109</v>
          </cell>
          <cell r="N2841">
            <v>4</v>
          </cell>
        </row>
        <row r="2842">
          <cell r="E2842" t="str">
            <v>Arizona v California</v>
          </cell>
          <cell r="I2842" t="str">
            <v>AA</v>
          </cell>
          <cell r="K2842" t="str">
            <v>INP</v>
          </cell>
          <cell r="M2842">
            <v>0.18124558554680301</v>
          </cell>
          <cell r="N2842">
            <v>1</v>
          </cell>
        </row>
        <row r="2843">
          <cell r="E2843" t="str">
            <v>Arizona v California</v>
          </cell>
          <cell r="I2843" t="str">
            <v>AA</v>
          </cell>
          <cell r="K2843" t="str">
            <v>Stk,D</v>
          </cell>
          <cell r="M2843">
            <v>0.18176641312903499</v>
          </cell>
          <cell r="N2843">
            <v>4</v>
          </cell>
        </row>
        <row r="2844">
          <cell r="E2844" t="str">
            <v>Arizona v California</v>
          </cell>
          <cell r="I2844" t="str">
            <v>AA</v>
          </cell>
          <cell r="K2844" t="str">
            <v>Res,D</v>
          </cell>
          <cell r="M2844">
            <v>0.18484405715168201</v>
          </cell>
          <cell r="N2844">
            <v>4</v>
          </cell>
        </row>
        <row r="2845">
          <cell r="E2845" t="str">
            <v>Arizona v California</v>
          </cell>
          <cell r="I2845" t="str">
            <v>AA</v>
          </cell>
          <cell r="K2845" t="str">
            <v>MV</v>
          </cell>
          <cell r="M2845">
            <v>0.187996917963381</v>
          </cell>
          <cell r="N2845">
            <v>3</v>
          </cell>
        </row>
        <row r="2846">
          <cell r="E2846" t="str">
            <v>Arizona v California</v>
          </cell>
          <cell r="I2846" t="str">
            <v>AA</v>
          </cell>
          <cell r="K2846" t="str">
            <v>MV</v>
          </cell>
          <cell r="M2846">
            <v>0.188654547119287</v>
          </cell>
          <cell r="N2846">
            <v>2</v>
          </cell>
        </row>
        <row r="2847">
          <cell r="E2847" t="str">
            <v>Arizona v California</v>
          </cell>
          <cell r="I2847" t="str">
            <v>AA</v>
          </cell>
          <cell r="K2847" t="str">
            <v>DSL</v>
          </cell>
          <cell r="M2847">
            <v>0.18938376621231701</v>
          </cell>
          <cell r="N2847">
            <v>2</v>
          </cell>
        </row>
        <row r="2848">
          <cell r="E2848" t="str">
            <v>Arizona v California</v>
          </cell>
          <cell r="I2848" t="str">
            <v>AA</v>
          </cell>
          <cell r="K2848" t="str">
            <v>Stk,W</v>
          </cell>
          <cell r="M2848">
            <v>0.200499406934252</v>
          </cell>
          <cell r="N2848">
            <v>4</v>
          </cell>
        </row>
        <row r="2849">
          <cell r="E2849" t="str">
            <v>Arizona v California</v>
          </cell>
          <cell r="I2849" t="str">
            <v>AA</v>
          </cell>
          <cell r="K2849" t="str">
            <v>Res,D</v>
          </cell>
          <cell r="M2849">
            <v>0.20364417576520399</v>
          </cell>
          <cell r="N2849">
            <v>4</v>
          </cell>
        </row>
        <row r="2850">
          <cell r="E2850" t="str">
            <v>Arizona v California</v>
          </cell>
          <cell r="I2850" t="str">
            <v>AA</v>
          </cell>
          <cell r="K2850" t="str">
            <v>Res,D</v>
          </cell>
          <cell r="M2850">
            <v>0.20404170488631501</v>
          </cell>
          <cell r="N2850">
            <v>4</v>
          </cell>
        </row>
        <row r="2851">
          <cell r="E2851" t="str">
            <v>Arizona v California</v>
          </cell>
          <cell r="I2851" t="str">
            <v>AA</v>
          </cell>
          <cell r="K2851" t="str">
            <v>F</v>
          </cell>
          <cell r="M2851">
            <v>0.215568191060764</v>
          </cell>
          <cell r="N2851">
            <v>4</v>
          </cell>
        </row>
        <row r="2852">
          <cell r="E2852" t="str">
            <v>Arizona v California</v>
          </cell>
          <cell r="I2852" t="str">
            <v>AA</v>
          </cell>
          <cell r="K2852" t="str">
            <v>DSL</v>
          </cell>
          <cell r="M2852">
            <v>0.21766287692032299</v>
          </cell>
          <cell r="N2852">
            <v>2</v>
          </cell>
        </row>
        <row r="2853">
          <cell r="E2853" t="str">
            <v>Arizona v California</v>
          </cell>
          <cell r="I2853" t="str">
            <v>AA</v>
          </cell>
          <cell r="K2853" t="str">
            <v>DSL</v>
          </cell>
          <cell r="M2853">
            <v>0.21833546062277401</v>
          </cell>
          <cell r="N2853">
            <v>2</v>
          </cell>
        </row>
        <row r="2854">
          <cell r="E2854" t="str">
            <v>Arizona v California</v>
          </cell>
          <cell r="I2854" t="str">
            <v>AA</v>
          </cell>
          <cell r="K2854" t="str">
            <v>INP</v>
          </cell>
          <cell r="M2854">
            <v>0.223303782917503</v>
          </cell>
          <cell r="N2854">
            <v>1</v>
          </cell>
        </row>
        <row r="2855">
          <cell r="E2855" t="str">
            <v>Arizona v California</v>
          </cell>
          <cell r="I2855" t="str">
            <v>AA</v>
          </cell>
          <cell r="K2855" t="str">
            <v>DSL</v>
          </cell>
          <cell r="M2855">
            <v>0.236097553987968</v>
          </cell>
          <cell r="N2855">
            <v>2</v>
          </cell>
        </row>
        <row r="2856">
          <cell r="E2856" t="str">
            <v>Arizona v California</v>
          </cell>
          <cell r="I2856" t="str">
            <v>AA</v>
          </cell>
          <cell r="K2856" t="str">
            <v>DSL</v>
          </cell>
          <cell r="M2856">
            <v>0.23828318704741999</v>
          </cell>
          <cell r="N2856">
            <v>2</v>
          </cell>
        </row>
        <row r="2857">
          <cell r="E2857" t="str">
            <v>Arizona v California</v>
          </cell>
          <cell r="I2857" t="str">
            <v>AA</v>
          </cell>
          <cell r="K2857" t="str">
            <v>INP</v>
          </cell>
          <cell r="M2857">
            <v>0.23902058816376401</v>
          </cell>
          <cell r="N2857">
            <v>1</v>
          </cell>
        </row>
        <row r="2858">
          <cell r="E2858" t="str">
            <v>Arizona v California</v>
          </cell>
          <cell r="I2858" t="str">
            <v>AA</v>
          </cell>
          <cell r="K2858" t="str">
            <v>DSL</v>
          </cell>
          <cell r="M2858">
            <v>0.23984745605736699</v>
          </cell>
          <cell r="N2858">
            <v>2</v>
          </cell>
        </row>
        <row r="2859">
          <cell r="E2859" t="str">
            <v>Arizona v California</v>
          </cell>
          <cell r="I2859" t="str">
            <v>AA</v>
          </cell>
          <cell r="K2859" t="str">
            <v>Res,D</v>
          </cell>
          <cell r="M2859">
            <v>0.24306513602245999</v>
          </cell>
          <cell r="N2859">
            <v>4</v>
          </cell>
        </row>
        <row r="2860">
          <cell r="E2860" t="str">
            <v>Arizona v California</v>
          </cell>
          <cell r="I2860" t="str">
            <v>AA</v>
          </cell>
          <cell r="K2860" t="str">
            <v>DSL</v>
          </cell>
          <cell r="M2860">
            <v>0.24447960429999699</v>
          </cell>
          <cell r="N2860">
            <v>2</v>
          </cell>
        </row>
        <row r="2861">
          <cell r="E2861" t="str">
            <v>Arizona v California</v>
          </cell>
          <cell r="I2861" t="str">
            <v>AA</v>
          </cell>
          <cell r="K2861" t="str">
            <v>F</v>
          </cell>
          <cell r="M2861">
            <v>0.25431891375170301</v>
          </cell>
          <cell r="N2861">
            <v>4</v>
          </cell>
        </row>
        <row r="2862">
          <cell r="E2862" t="str">
            <v>Arizona v California</v>
          </cell>
          <cell r="I2862" t="str">
            <v>AA</v>
          </cell>
          <cell r="K2862" t="str">
            <v>INP</v>
          </cell>
          <cell r="M2862">
            <v>0.25826663543792799</v>
          </cell>
          <cell r="N2862">
            <v>1</v>
          </cell>
        </row>
        <row r="2863">
          <cell r="E2863" t="str">
            <v>Arizona v California</v>
          </cell>
          <cell r="I2863" t="str">
            <v>AA</v>
          </cell>
          <cell r="K2863" t="str">
            <v>Res,D</v>
          </cell>
          <cell r="M2863">
            <v>0.27886331627004202</v>
          </cell>
          <cell r="N2863">
            <v>4</v>
          </cell>
        </row>
        <row r="2864">
          <cell r="E2864" t="str">
            <v>Arizona v California</v>
          </cell>
          <cell r="I2864" t="str">
            <v>AA</v>
          </cell>
          <cell r="K2864" t="str">
            <v>NI</v>
          </cell>
          <cell r="M2864">
            <v>0.30628087090199302</v>
          </cell>
          <cell r="N2864">
            <v>4</v>
          </cell>
        </row>
        <row r="2865">
          <cell r="E2865" t="str">
            <v>Arizona v California</v>
          </cell>
          <cell r="I2865" t="str">
            <v>AA</v>
          </cell>
          <cell r="K2865" t="str">
            <v>DSL</v>
          </cell>
          <cell r="M2865">
            <v>0.315656516163209</v>
          </cell>
          <cell r="N2865">
            <v>2</v>
          </cell>
        </row>
        <row r="2866">
          <cell r="E2866" t="str">
            <v>Arizona v California</v>
          </cell>
          <cell r="I2866" t="str">
            <v>AA</v>
          </cell>
          <cell r="K2866" t="str">
            <v>INP</v>
          </cell>
          <cell r="M2866">
            <v>0.318381013015334</v>
          </cell>
          <cell r="N2866">
            <v>1</v>
          </cell>
        </row>
        <row r="2867">
          <cell r="E2867" t="str">
            <v>Arizona v California</v>
          </cell>
          <cell r="I2867" t="str">
            <v>AA</v>
          </cell>
          <cell r="K2867" t="str">
            <v>Out</v>
          </cell>
          <cell r="M2867">
            <v>0.33367140113251798</v>
          </cell>
          <cell r="N2867">
            <v>4</v>
          </cell>
        </row>
        <row r="2868">
          <cell r="E2868" t="str">
            <v>Arizona v California</v>
          </cell>
          <cell r="I2868" t="str">
            <v>AA</v>
          </cell>
          <cell r="K2868" t="str">
            <v>NI</v>
          </cell>
          <cell r="M2868">
            <v>0.33886756516837901</v>
          </cell>
          <cell r="N2868">
            <v>4</v>
          </cell>
        </row>
        <row r="2869">
          <cell r="E2869" t="str">
            <v>Arizona v California</v>
          </cell>
          <cell r="I2869" t="str">
            <v>AA</v>
          </cell>
          <cell r="K2869" t="str">
            <v>DSL</v>
          </cell>
          <cell r="M2869">
            <v>0.35424386462177498</v>
          </cell>
          <cell r="N2869">
            <v>2</v>
          </cell>
        </row>
        <row r="2870">
          <cell r="E2870" t="str">
            <v>Arizona v California</v>
          </cell>
          <cell r="I2870" t="str">
            <v>AA</v>
          </cell>
          <cell r="K2870" t="str">
            <v>DSL</v>
          </cell>
          <cell r="M2870">
            <v>0.37717646631715301</v>
          </cell>
          <cell r="N2870">
            <v>2</v>
          </cell>
        </row>
        <row r="2871">
          <cell r="E2871" t="str">
            <v>Arizona v California</v>
          </cell>
          <cell r="I2871" t="str">
            <v>AA</v>
          </cell>
          <cell r="K2871" t="str">
            <v>Res,D</v>
          </cell>
          <cell r="M2871">
            <v>0.40700059947932798</v>
          </cell>
          <cell r="N2871">
            <v>4</v>
          </cell>
        </row>
        <row r="2872">
          <cell r="E2872" t="str">
            <v>Arizona v California</v>
          </cell>
          <cell r="I2872" t="str">
            <v>AA</v>
          </cell>
          <cell r="K2872" t="str">
            <v>NI</v>
          </cell>
          <cell r="M2872">
            <v>0.43574033750725499</v>
          </cell>
          <cell r="N2872">
            <v>4</v>
          </cell>
        </row>
        <row r="2873">
          <cell r="E2873" t="str">
            <v>Arizona v California</v>
          </cell>
          <cell r="I2873" t="str">
            <v>AA</v>
          </cell>
          <cell r="K2873" t="str">
            <v>Res,D</v>
          </cell>
          <cell r="M2873">
            <v>0.44208071568506002</v>
          </cell>
          <cell r="N2873">
            <v>4</v>
          </cell>
        </row>
        <row r="2874">
          <cell r="E2874" t="str">
            <v>Arizona v California</v>
          </cell>
          <cell r="I2874" t="str">
            <v>AA</v>
          </cell>
          <cell r="K2874" t="str">
            <v>INP</v>
          </cell>
          <cell r="M2874">
            <v>0.45122519542249401</v>
          </cell>
          <cell r="N2874">
            <v>1</v>
          </cell>
        </row>
        <row r="2875">
          <cell r="E2875" t="str">
            <v>Arizona v California</v>
          </cell>
          <cell r="I2875" t="str">
            <v>AA</v>
          </cell>
          <cell r="K2875" t="str">
            <v>INP</v>
          </cell>
          <cell r="M2875">
            <v>0.452897788758714</v>
          </cell>
          <cell r="N2875">
            <v>1</v>
          </cell>
        </row>
        <row r="2876">
          <cell r="E2876" t="str">
            <v>Arizona v California</v>
          </cell>
          <cell r="I2876" t="str">
            <v>AA</v>
          </cell>
          <cell r="K2876" t="str">
            <v>F</v>
          </cell>
          <cell r="M2876">
            <v>0.48404973086918202</v>
          </cell>
          <cell r="N2876">
            <v>4</v>
          </cell>
        </row>
        <row r="2877">
          <cell r="E2877" t="str">
            <v>Arizona v California</v>
          </cell>
          <cell r="I2877" t="str">
            <v>AA</v>
          </cell>
          <cell r="K2877" t="str">
            <v>Out</v>
          </cell>
          <cell r="M2877">
            <v>0.48953486553075698</v>
          </cell>
          <cell r="N2877">
            <v>4</v>
          </cell>
        </row>
        <row r="2878">
          <cell r="E2878" t="str">
            <v>Arizona v California</v>
          </cell>
          <cell r="I2878" t="str">
            <v>AA</v>
          </cell>
          <cell r="K2878" t="str">
            <v>F</v>
          </cell>
          <cell r="M2878">
            <v>0.50105006693561005</v>
          </cell>
          <cell r="N2878">
            <v>4</v>
          </cell>
        </row>
        <row r="2879">
          <cell r="E2879" t="str">
            <v>Arizona v California</v>
          </cell>
          <cell r="I2879" t="str">
            <v>AA</v>
          </cell>
          <cell r="K2879" t="str">
            <v>DSL</v>
          </cell>
          <cell r="M2879">
            <v>0.51038542892558403</v>
          </cell>
          <cell r="N2879">
            <v>2</v>
          </cell>
        </row>
        <row r="2880">
          <cell r="E2880" t="str">
            <v>Arizona v California</v>
          </cell>
          <cell r="I2880" t="str">
            <v>AA</v>
          </cell>
          <cell r="K2880" t="str">
            <v>Fo</v>
          </cell>
          <cell r="M2880">
            <v>0.51395658421577395</v>
          </cell>
          <cell r="N2880">
            <v>1</v>
          </cell>
        </row>
        <row r="2881">
          <cell r="E2881" t="str">
            <v>Arizona v California</v>
          </cell>
          <cell r="I2881" t="str">
            <v>AA</v>
          </cell>
          <cell r="K2881" t="str">
            <v>INP</v>
          </cell>
          <cell r="M2881">
            <v>0.53290247667246404</v>
          </cell>
          <cell r="N2881">
            <v>1</v>
          </cell>
        </row>
        <row r="2882">
          <cell r="E2882" t="str">
            <v>Arizona v California</v>
          </cell>
          <cell r="I2882" t="str">
            <v>AA</v>
          </cell>
          <cell r="K2882" t="str">
            <v>INP</v>
          </cell>
          <cell r="M2882">
            <v>0.53579226782619904</v>
          </cell>
          <cell r="N2882">
            <v>1</v>
          </cell>
        </row>
        <row r="2883">
          <cell r="E2883" t="str">
            <v>Arizona v California</v>
          </cell>
          <cell r="I2883" t="str">
            <v>AA</v>
          </cell>
          <cell r="K2883" t="str">
            <v>INP</v>
          </cell>
          <cell r="M2883">
            <v>0.58208653818492295</v>
          </cell>
          <cell r="N2883">
            <v>1</v>
          </cell>
        </row>
        <row r="2884">
          <cell r="E2884" t="str">
            <v>Arizona v California</v>
          </cell>
          <cell r="I2884" t="str">
            <v>AA</v>
          </cell>
          <cell r="K2884" t="str">
            <v>F</v>
          </cell>
          <cell r="M2884">
            <v>0.58761801450650997</v>
          </cell>
          <cell r="N2884">
            <v>4</v>
          </cell>
        </row>
        <row r="2885">
          <cell r="E2885" t="str">
            <v>Arizona v California</v>
          </cell>
          <cell r="I2885" t="str">
            <v>AA</v>
          </cell>
          <cell r="K2885" t="str">
            <v>Out</v>
          </cell>
          <cell r="M2885">
            <v>0.59064579420617902</v>
          </cell>
          <cell r="N2885">
            <v>4</v>
          </cell>
        </row>
        <row r="2886">
          <cell r="E2886" t="str">
            <v>Arizona v California</v>
          </cell>
          <cell r="I2886" t="str">
            <v>AA</v>
          </cell>
          <cell r="K2886" t="str">
            <v>INP</v>
          </cell>
          <cell r="M2886">
            <v>0.60855661617292101</v>
          </cell>
          <cell r="N2886">
            <v>1</v>
          </cell>
        </row>
        <row r="2887">
          <cell r="E2887" t="str">
            <v>Arizona v California</v>
          </cell>
          <cell r="I2887" t="str">
            <v>AA</v>
          </cell>
          <cell r="K2887" t="str">
            <v>DSL</v>
          </cell>
          <cell r="M2887">
            <v>0.62478700267862197</v>
          </cell>
          <cell r="N2887">
            <v>2</v>
          </cell>
        </row>
        <row r="2888">
          <cell r="E2888" t="str">
            <v>Arizona v California</v>
          </cell>
          <cell r="I2888" t="str">
            <v>AA</v>
          </cell>
          <cell r="K2888" t="str">
            <v>Res,W</v>
          </cell>
          <cell r="M2888">
            <v>0.635803824840808</v>
          </cell>
          <cell r="N2888">
            <v>4</v>
          </cell>
        </row>
        <row r="2889">
          <cell r="E2889" t="str">
            <v>Arizona v California</v>
          </cell>
          <cell r="I2889" t="str">
            <v>AA</v>
          </cell>
          <cell r="K2889" t="str">
            <v>F</v>
          </cell>
          <cell r="M2889">
            <v>0.66300724828052504</v>
          </cell>
          <cell r="N2889">
            <v>4</v>
          </cell>
        </row>
        <row r="2890">
          <cell r="E2890" t="str">
            <v>Arizona v California</v>
          </cell>
          <cell r="I2890" t="str">
            <v>AA</v>
          </cell>
          <cell r="K2890" t="str">
            <v>F</v>
          </cell>
          <cell r="M2890">
            <v>0.66359055239044895</v>
          </cell>
          <cell r="N2890">
            <v>4</v>
          </cell>
        </row>
        <row r="2891">
          <cell r="E2891" t="str">
            <v>Arizona v California</v>
          </cell>
          <cell r="I2891" t="str">
            <v>AA</v>
          </cell>
          <cell r="K2891" t="str">
            <v>INP</v>
          </cell>
          <cell r="M2891">
            <v>0.66721938731641295</v>
          </cell>
          <cell r="N2891">
            <v>1</v>
          </cell>
        </row>
        <row r="2892">
          <cell r="E2892" t="str">
            <v>Arizona v California</v>
          </cell>
          <cell r="I2892" t="str">
            <v>AA</v>
          </cell>
          <cell r="K2892" t="str">
            <v>F</v>
          </cell>
          <cell r="M2892">
            <v>0.71693312315969604</v>
          </cell>
          <cell r="N2892">
            <v>4</v>
          </cell>
        </row>
        <row r="2893">
          <cell r="E2893" t="str">
            <v>Arizona v California</v>
          </cell>
          <cell r="I2893" t="str">
            <v>AA</v>
          </cell>
          <cell r="K2893" t="str">
            <v>Res,D</v>
          </cell>
          <cell r="M2893">
            <v>0.72655281559285301</v>
          </cell>
          <cell r="N2893">
            <v>4</v>
          </cell>
        </row>
        <row r="2894">
          <cell r="E2894" t="str">
            <v>Arizona v California</v>
          </cell>
          <cell r="I2894" t="str">
            <v>AA</v>
          </cell>
          <cell r="K2894" t="str">
            <v>F</v>
          </cell>
          <cell r="M2894">
            <v>0.76383168249790601</v>
          </cell>
          <cell r="N2894">
            <v>4</v>
          </cell>
        </row>
        <row r="2895">
          <cell r="E2895" t="str">
            <v>Arizona v California</v>
          </cell>
          <cell r="I2895" t="str">
            <v>AA</v>
          </cell>
          <cell r="K2895" t="str">
            <v>DSL</v>
          </cell>
          <cell r="M2895">
            <v>0.79592205246076997</v>
          </cell>
          <cell r="N2895">
            <v>2</v>
          </cell>
        </row>
        <row r="2896">
          <cell r="E2896" t="str">
            <v>Arizona v California</v>
          </cell>
          <cell r="I2896" t="str">
            <v>AA</v>
          </cell>
          <cell r="K2896" t="str">
            <v>F</v>
          </cell>
          <cell r="M2896">
            <v>0.88796610438943302</v>
          </cell>
          <cell r="N2896">
            <v>4</v>
          </cell>
        </row>
        <row r="2897">
          <cell r="E2897" t="str">
            <v>Arizona v California</v>
          </cell>
          <cell r="I2897" t="str">
            <v>AA</v>
          </cell>
          <cell r="K2897" t="str">
            <v>INP</v>
          </cell>
          <cell r="M2897">
            <v>0.92436111660617404</v>
          </cell>
          <cell r="N2897">
            <v>1</v>
          </cell>
        </row>
        <row r="2898">
          <cell r="E2898" t="str">
            <v>Arizona v California</v>
          </cell>
          <cell r="I2898" t="str">
            <v>AA</v>
          </cell>
          <cell r="K2898" t="str">
            <v>INP</v>
          </cell>
          <cell r="M2898">
            <v>0.92489704030091702</v>
          </cell>
          <cell r="N2898">
            <v>1</v>
          </cell>
        </row>
        <row r="2899">
          <cell r="E2899" t="str">
            <v>Arizona v California</v>
          </cell>
          <cell r="I2899" t="str">
            <v>AA</v>
          </cell>
          <cell r="K2899" t="str">
            <v>F</v>
          </cell>
          <cell r="M2899">
            <v>0.97906797933772904</v>
          </cell>
          <cell r="N2899">
            <v>4</v>
          </cell>
        </row>
        <row r="2900">
          <cell r="E2900" t="str">
            <v>Arizona v California</v>
          </cell>
          <cell r="I2900" t="str">
            <v>AA</v>
          </cell>
          <cell r="K2900" t="str">
            <v>DSL</v>
          </cell>
          <cell r="M2900">
            <v>0.99127358339125404</v>
          </cell>
          <cell r="N2900">
            <v>2</v>
          </cell>
        </row>
        <row r="2901">
          <cell r="E2901" t="str">
            <v>Arizona v California</v>
          </cell>
          <cell r="I2901" t="str">
            <v>AA</v>
          </cell>
          <cell r="K2901" t="str">
            <v>F</v>
          </cell>
          <cell r="M2901">
            <v>1.0039887269783401</v>
          </cell>
          <cell r="N2901">
            <v>4</v>
          </cell>
        </row>
        <row r="2902">
          <cell r="E2902" t="str">
            <v>Arizona v California</v>
          </cell>
          <cell r="I2902" t="str">
            <v>AA</v>
          </cell>
          <cell r="K2902" t="str">
            <v>INP</v>
          </cell>
          <cell r="M2902">
            <v>1.0060537972030601</v>
          </cell>
          <cell r="N2902">
            <v>1</v>
          </cell>
        </row>
        <row r="2903">
          <cell r="E2903" t="str">
            <v>Arizona v California</v>
          </cell>
          <cell r="I2903" t="str">
            <v>AA</v>
          </cell>
          <cell r="K2903" t="str">
            <v>F</v>
          </cell>
          <cell r="M2903">
            <v>1.0294205981734099</v>
          </cell>
          <cell r="N2903">
            <v>4</v>
          </cell>
        </row>
        <row r="2904">
          <cell r="E2904" t="str">
            <v>Arizona v California</v>
          </cell>
          <cell r="I2904" t="str">
            <v>AA</v>
          </cell>
          <cell r="K2904" t="str">
            <v>F</v>
          </cell>
          <cell r="M2904">
            <v>1.11390562143558</v>
          </cell>
          <cell r="N2904">
            <v>4</v>
          </cell>
        </row>
        <row r="2905">
          <cell r="E2905" t="str">
            <v>Arizona v California</v>
          </cell>
          <cell r="I2905" t="str">
            <v>AA</v>
          </cell>
          <cell r="K2905" t="str">
            <v>F</v>
          </cell>
          <cell r="M2905">
            <v>1.1537170366604499</v>
          </cell>
          <cell r="N2905">
            <v>4</v>
          </cell>
        </row>
        <row r="2906">
          <cell r="E2906" t="str">
            <v>Arizona v California</v>
          </cell>
          <cell r="I2906" t="str">
            <v>AA</v>
          </cell>
          <cell r="K2906" t="str">
            <v>F</v>
          </cell>
          <cell r="M2906">
            <v>1.1537170366604499</v>
          </cell>
          <cell r="N2906">
            <v>4</v>
          </cell>
        </row>
        <row r="2907">
          <cell r="E2907" t="str">
            <v>Arizona v California</v>
          </cell>
          <cell r="I2907" t="str">
            <v>AA</v>
          </cell>
          <cell r="K2907" t="str">
            <v>INP</v>
          </cell>
          <cell r="M2907">
            <v>1.2275965031610301</v>
          </cell>
          <cell r="N2907">
            <v>1</v>
          </cell>
        </row>
        <row r="2908">
          <cell r="E2908" t="str">
            <v>Arizona v California</v>
          </cell>
          <cell r="I2908" t="str">
            <v>AA</v>
          </cell>
          <cell r="K2908" t="str">
            <v>Stk,W</v>
          </cell>
          <cell r="M2908">
            <v>1.24043086316951</v>
          </cell>
          <cell r="N2908">
            <v>4</v>
          </cell>
        </row>
        <row r="2909">
          <cell r="E2909" t="str">
            <v>Arizona v California</v>
          </cell>
          <cell r="I2909" t="str">
            <v>AA</v>
          </cell>
          <cell r="K2909" t="str">
            <v>INP</v>
          </cell>
          <cell r="M2909">
            <v>1.30207829042294</v>
          </cell>
          <cell r="N2909">
            <v>1</v>
          </cell>
        </row>
        <row r="2910">
          <cell r="E2910" t="str">
            <v>Arizona v California</v>
          </cell>
          <cell r="I2910" t="str">
            <v>AA</v>
          </cell>
          <cell r="K2910" t="str">
            <v>Stk,W</v>
          </cell>
          <cell r="M2910">
            <v>1.3129961143518001</v>
          </cell>
          <cell r="N2910">
            <v>4</v>
          </cell>
        </row>
        <row r="2911">
          <cell r="E2911" t="str">
            <v>Arizona v California</v>
          </cell>
          <cell r="I2911" t="str">
            <v>AA</v>
          </cell>
          <cell r="K2911" t="str">
            <v>INP</v>
          </cell>
          <cell r="M2911">
            <v>1.3615967786857099</v>
          </cell>
          <cell r="N2911">
            <v>1</v>
          </cell>
        </row>
        <row r="2912">
          <cell r="E2912" t="str">
            <v>Arizona v California</v>
          </cell>
          <cell r="I2912" t="str">
            <v>AA</v>
          </cell>
          <cell r="K2912" t="str">
            <v>INP</v>
          </cell>
          <cell r="M2912">
            <v>1.5686710720582799</v>
          </cell>
          <cell r="N2912">
            <v>1</v>
          </cell>
        </row>
        <row r="2913">
          <cell r="E2913" t="str">
            <v>Arizona v California</v>
          </cell>
          <cell r="I2913" t="str">
            <v>AA</v>
          </cell>
          <cell r="K2913" t="str">
            <v>F</v>
          </cell>
          <cell r="M2913">
            <v>1.6304240865005499</v>
          </cell>
          <cell r="N2913">
            <v>4</v>
          </cell>
        </row>
        <row r="2914">
          <cell r="E2914" t="str">
            <v>Arizona v California</v>
          </cell>
          <cell r="I2914" t="str">
            <v>AA</v>
          </cell>
          <cell r="K2914" t="str">
            <v>F</v>
          </cell>
          <cell r="M2914">
            <v>1.66741602758341</v>
          </cell>
          <cell r="N2914">
            <v>4</v>
          </cell>
        </row>
        <row r="2915">
          <cell r="E2915" t="str">
            <v>Arizona v California</v>
          </cell>
          <cell r="I2915" t="str">
            <v>AA</v>
          </cell>
          <cell r="K2915" t="str">
            <v>Stk,W</v>
          </cell>
          <cell r="M2915">
            <v>1.67669877682401</v>
          </cell>
          <cell r="N2915">
            <v>4</v>
          </cell>
        </row>
        <row r="2916">
          <cell r="E2916" t="str">
            <v>Arizona v California</v>
          </cell>
          <cell r="I2916" t="str">
            <v>AA</v>
          </cell>
          <cell r="K2916" t="str">
            <v>INP</v>
          </cell>
          <cell r="M2916">
            <v>1.85422958696458</v>
          </cell>
          <cell r="N2916">
            <v>1</v>
          </cell>
        </row>
        <row r="2917">
          <cell r="E2917" t="str">
            <v>Arizona v California</v>
          </cell>
          <cell r="I2917" t="str">
            <v>AA</v>
          </cell>
          <cell r="K2917" t="str">
            <v>INP</v>
          </cell>
          <cell r="M2917">
            <v>1.85829416474107</v>
          </cell>
          <cell r="N2917">
            <v>1</v>
          </cell>
        </row>
        <row r="2918">
          <cell r="E2918" t="str">
            <v>Arizona v California</v>
          </cell>
          <cell r="I2918" t="str">
            <v>AA</v>
          </cell>
          <cell r="K2918" t="str">
            <v>INP</v>
          </cell>
          <cell r="M2918">
            <v>1.9187460549475499</v>
          </cell>
          <cell r="N2918">
            <v>1</v>
          </cell>
        </row>
        <row r="2919">
          <cell r="E2919" t="str">
            <v>Arizona v California</v>
          </cell>
          <cell r="I2919" t="str">
            <v>AA</v>
          </cell>
          <cell r="K2919" t="str">
            <v>F</v>
          </cell>
          <cell r="M2919">
            <v>2.0488135394422899</v>
          </cell>
          <cell r="N2919">
            <v>4</v>
          </cell>
        </row>
        <row r="2920">
          <cell r="E2920" t="str">
            <v>Arizona v California</v>
          </cell>
          <cell r="I2920" t="str">
            <v>AA</v>
          </cell>
          <cell r="K2920" t="str">
            <v>F</v>
          </cell>
          <cell r="M2920">
            <v>2.1441971052156998</v>
          </cell>
          <cell r="N2920">
            <v>4</v>
          </cell>
        </row>
        <row r="2921">
          <cell r="E2921" t="str">
            <v>Arizona v California</v>
          </cell>
          <cell r="I2921" t="str">
            <v>AA</v>
          </cell>
          <cell r="K2921" t="str">
            <v>S</v>
          </cell>
          <cell r="M2921">
            <v>2.2022425515489799</v>
          </cell>
          <cell r="N2921">
            <v>5</v>
          </cell>
        </row>
        <row r="2922">
          <cell r="E2922" t="str">
            <v>Arizona v California</v>
          </cell>
          <cell r="I2922" t="str">
            <v>AA</v>
          </cell>
          <cell r="K2922" t="str">
            <v>F</v>
          </cell>
          <cell r="M2922">
            <v>2.2146457886981601</v>
          </cell>
          <cell r="N2922">
            <v>4</v>
          </cell>
        </row>
        <row r="2923">
          <cell r="E2923" t="str">
            <v>Arizona v California</v>
          </cell>
          <cell r="I2923" t="str">
            <v>AA</v>
          </cell>
          <cell r="K2923" t="str">
            <v>F</v>
          </cell>
          <cell r="M2923">
            <v>2.2200812431525199</v>
          </cell>
          <cell r="N2923">
            <v>4</v>
          </cell>
        </row>
        <row r="2924">
          <cell r="E2924" t="str">
            <v>Arizona v California</v>
          </cell>
          <cell r="I2924" t="str">
            <v>AA</v>
          </cell>
          <cell r="K2924" t="str">
            <v>Out</v>
          </cell>
          <cell r="M2924">
            <v>2.43538355149715</v>
          </cell>
          <cell r="N2924">
            <v>4</v>
          </cell>
        </row>
        <row r="2925">
          <cell r="E2925" t="str">
            <v>Arizona v California</v>
          </cell>
          <cell r="I2925" t="str">
            <v>AA</v>
          </cell>
          <cell r="K2925" t="str">
            <v>INP</v>
          </cell>
          <cell r="M2925">
            <v>2.47307515649142</v>
          </cell>
          <cell r="N2925">
            <v>1</v>
          </cell>
        </row>
        <row r="2926">
          <cell r="E2926" t="str">
            <v>Arizona v California</v>
          </cell>
          <cell r="I2926" t="str">
            <v>AA</v>
          </cell>
          <cell r="K2926" t="str">
            <v>F</v>
          </cell>
          <cell r="M2926">
            <v>2.47358110740003</v>
          </cell>
          <cell r="N2926">
            <v>4</v>
          </cell>
        </row>
        <row r="2927">
          <cell r="E2927" t="str">
            <v>Arizona v California</v>
          </cell>
          <cell r="I2927" t="str">
            <v>AA</v>
          </cell>
          <cell r="K2927" t="str">
            <v>INP</v>
          </cell>
          <cell r="M2927">
            <v>2.4966741112300999</v>
          </cell>
          <cell r="N2927">
            <v>1</v>
          </cell>
        </row>
        <row r="2928">
          <cell r="E2928" t="str">
            <v>Arizona v California</v>
          </cell>
          <cell r="I2928" t="str">
            <v>AA</v>
          </cell>
          <cell r="K2928" t="str">
            <v>INP</v>
          </cell>
          <cell r="M2928">
            <v>2.5883411409261998</v>
          </cell>
          <cell r="N2928">
            <v>1</v>
          </cell>
        </row>
        <row r="2929">
          <cell r="E2929" t="str">
            <v>Arizona v California</v>
          </cell>
          <cell r="I2929" t="str">
            <v>AA</v>
          </cell>
          <cell r="K2929" t="str">
            <v>INP</v>
          </cell>
          <cell r="M2929">
            <v>2.74454690745352</v>
          </cell>
          <cell r="N2929">
            <v>1</v>
          </cell>
        </row>
        <row r="2930">
          <cell r="E2930" t="str">
            <v>Arizona v California</v>
          </cell>
          <cell r="I2930" t="str">
            <v>AA</v>
          </cell>
          <cell r="K2930" t="str">
            <v>INP</v>
          </cell>
          <cell r="M2930">
            <v>2.7715478769942798</v>
          </cell>
          <cell r="N2930">
            <v>1</v>
          </cell>
        </row>
        <row r="2931">
          <cell r="E2931" t="str">
            <v>Arizona v California</v>
          </cell>
          <cell r="I2931" t="str">
            <v>AA</v>
          </cell>
          <cell r="K2931" t="str">
            <v>F</v>
          </cell>
          <cell r="M2931">
            <v>2.8847630065065801</v>
          </cell>
          <cell r="N2931">
            <v>4</v>
          </cell>
        </row>
        <row r="2932">
          <cell r="E2932" t="str">
            <v>Arizona v California</v>
          </cell>
          <cell r="I2932" t="str">
            <v>AA</v>
          </cell>
          <cell r="K2932" t="str">
            <v>INP</v>
          </cell>
          <cell r="M2932">
            <v>2.8866385631009699</v>
          </cell>
          <cell r="N2932">
            <v>1</v>
          </cell>
        </row>
        <row r="2933">
          <cell r="E2933" t="str">
            <v>Arizona v California</v>
          </cell>
          <cell r="I2933" t="str">
            <v>AA</v>
          </cell>
          <cell r="K2933" t="str">
            <v>INP</v>
          </cell>
          <cell r="M2933">
            <v>2.9433818429229102</v>
          </cell>
          <cell r="N2933">
            <v>2</v>
          </cell>
        </row>
        <row r="2934">
          <cell r="E2934" t="str">
            <v>Arizona v California</v>
          </cell>
          <cell r="I2934" t="str">
            <v>AA</v>
          </cell>
          <cell r="K2934" t="str">
            <v>INP</v>
          </cell>
          <cell r="M2934">
            <v>2.9965422218894999</v>
          </cell>
          <cell r="N2934">
            <v>1</v>
          </cell>
        </row>
        <row r="2935">
          <cell r="E2935" t="str">
            <v>Arizona v California</v>
          </cell>
          <cell r="I2935" t="str">
            <v>AA</v>
          </cell>
          <cell r="K2935" t="str">
            <v>Out</v>
          </cell>
          <cell r="M2935">
            <v>3.02364582474104</v>
          </cell>
          <cell r="N2935">
            <v>4</v>
          </cell>
        </row>
        <row r="2936">
          <cell r="E2936" t="str">
            <v>Arizona v California</v>
          </cell>
          <cell r="I2936" t="str">
            <v>AA</v>
          </cell>
          <cell r="K2936" t="str">
            <v>Dry</v>
          </cell>
          <cell r="M2936">
            <v>3.0493345506664302</v>
          </cell>
          <cell r="N2936">
            <v>4</v>
          </cell>
        </row>
        <row r="2937">
          <cell r="E2937" t="str">
            <v>Arizona v California</v>
          </cell>
          <cell r="I2937" t="str">
            <v>AA</v>
          </cell>
          <cell r="K2937" t="str">
            <v>F</v>
          </cell>
          <cell r="M2937">
            <v>3.1141258864940302</v>
          </cell>
          <cell r="N2937">
            <v>4</v>
          </cell>
        </row>
        <row r="2938">
          <cell r="E2938" t="str">
            <v>Arizona v California</v>
          </cell>
          <cell r="I2938" t="str">
            <v>AA</v>
          </cell>
          <cell r="K2938" t="str">
            <v>F</v>
          </cell>
          <cell r="M2938">
            <v>3.1631490444115902</v>
          </cell>
          <cell r="N2938">
            <v>4</v>
          </cell>
        </row>
        <row r="2939">
          <cell r="E2939" t="str">
            <v>Arizona v California</v>
          </cell>
          <cell r="I2939" t="str">
            <v>AA</v>
          </cell>
          <cell r="K2939" t="str">
            <v>Out</v>
          </cell>
          <cell r="M2939">
            <v>3.19059867353389</v>
          </cell>
          <cell r="N2939">
            <v>4</v>
          </cell>
        </row>
        <row r="2940">
          <cell r="E2940" t="str">
            <v>Arizona v California</v>
          </cell>
          <cell r="I2940" t="str">
            <v>AA</v>
          </cell>
          <cell r="K2940" t="str">
            <v>Out</v>
          </cell>
          <cell r="M2940">
            <v>3.2136736283887699</v>
          </cell>
          <cell r="N2940">
            <v>4</v>
          </cell>
        </row>
        <row r="2941">
          <cell r="E2941" t="str">
            <v>Arizona v California</v>
          </cell>
          <cell r="I2941" t="str">
            <v>AA</v>
          </cell>
          <cell r="K2941" t="str">
            <v>INP</v>
          </cell>
          <cell r="M2941">
            <v>3.21445852945963</v>
          </cell>
          <cell r="N2941">
            <v>1</v>
          </cell>
        </row>
        <row r="2942">
          <cell r="E2942" t="str">
            <v>Arizona v California</v>
          </cell>
          <cell r="I2942" t="str">
            <v>AA</v>
          </cell>
          <cell r="K2942" t="str">
            <v>Out</v>
          </cell>
          <cell r="M2942">
            <v>3.2222410739264702</v>
          </cell>
          <cell r="N2942">
            <v>4</v>
          </cell>
        </row>
        <row r="2943">
          <cell r="E2943" t="str">
            <v>Arizona v California</v>
          </cell>
          <cell r="I2943" t="str">
            <v>AA</v>
          </cell>
          <cell r="K2943" t="str">
            <v>INP</v>
          </cell>
          <cell r="M2943">
            <v>3.3557467920067099</v>
          </cell>
          <cell r="N2943">
            <v>1</v>
          </cell>
        </row>
        <row r="2944">
          <cell r="E2944" t="str">
            <v>Arizona v California</v>
          </cell>
          <cell r="I2944" t="str">
            <v>AA</v>
          </cell>
          <cell r="K2944" t="str">
            <v>S</v>
          </cell>
          <cell r="M2944">
            <v>3.4234663019531899</v>
          </cell>
          <cell r="N2944">
            <v>5</v>
          </cell>
        </row>
        <row r="2945">
          <cell r="E2945" t="str">
            <v>Arizona v California</v>
          </cell>
          <cell r="I2945" t="str">
            <v>AA</v>
          </cell>
          <cell r="K2945" t="str">
            <v>F</v>
          </cell>
          <cell r="M2945">
            <v>3.6112420701272798</v>
          </cell>
          <cell r="N2945">
            <v>4</v>
          </cell>
        </row>
        <row r="2946">
          <cell r="E2946" t="str">
            <v>Arizona v California</v>
          </cell>
          <cell r="I2946" t="str">
            <v>AA</v>
          </cell>
          <cell r="K2946" t="str">
            <v>F</v>
          </cell>
          <cell r="M2946">
            <v>3.6705800765650198</v>
          </cell>
          <cell r="N2946">
            <v>4</v>
          </cell>
        </row>
        <row r="2947">
          <cell r="E2947" t="str">
            <v>Arizona v California</v>
          </cell>
          <cell r="I2947" t="str">
            <v>AA</v>
          </cell>
          <cell r="K2947" t="str">
            <v>INP</v>
          </cell>
          <cell r="M2947">
            <v>3.7036558286413701</v>
          </cell>
          <cell r="N2947">
            <v>1</v>
          </cell>
        </row>
        <row r="2948">
          <cell r="E2948" t="str">
            <v>Arizona v California</v>
          </cell>
          <cell r="I2948" t="str">
            <v>AA</v>
          </cell>
          <cell r="K2948" t="str">
            <v>F</v>
          </cell>
          <cell r="M2948">
            <v>3.7584225715780701</v>
          </cell>
          <cell r="N2948">
            <v>4</v>
          </cell>
        </row>
        <row r="2949">
          <cell r="E2949" t="str">
            <v>Arizona v California</v>
          </cell>
          <cell r="I2949" t="str">
            <v>AA</v>
          </cell>
          <cell r="K2949" t="str">
            <v>F</v>
          </cell>
          <cell r="M2949">
            <v>3.7972199193656202</v>
          </cell>
          <cell r="N2949">
            <v>4</v>
          </cell>
        </row>
        <row r="2950">
          <cell r="E2950" t="str">
            <v>Arizona v California</v>
          </cell>
          <cell r="I2950" t="str">
            <v>AA</v>
          </cell>
          <cell r="K2950" t="str">
            <v>S</v>
          </cell>
          <cell r="M2950">
            <v>4.2777569162498503</v>
          </cell>
          <cell r="N2950">
            <v>5</v>
          </cell>
        </row>
        <row r="2951">
          <cell r="E2951" t="str">
            <v>Arizona v California</v>
          </cell>
          <cell r="I2951" t="str">
            <v>AA</v>
          </cell>
          <cell r="K2951" t="str">
            <v>S</v>
          </cell>
          <cell r="M2951">
            <v>4.51726634322364</v>
          </cell>
          <cell r="N2951">
            <v>5</v>
          </cell>
        </row>
        <row r="2952">
          <cell r="E2952" t="str">
            <v>Arizona v California</v>
          </cell>
          <cell r="I2952" t="str">
            <v>AA</v>
          </cell>
          <cell r="K2952" t="str">
            <v>INP</v>
          </cell>
          <cell r="M2952">
            <v>4.9761206765064898</v>
          </cell>
          <cell r="N2952">
            <v>1</v>
          </cell>
        </row>
        <row r="2953">
          <cell r="E2953" t="str">
            <v>Arizona v California</v>
          </cell>
          <cell r="I2953" t="str">
            <v>AA</v>
          </cell>
          <cell r="K2953" t="str">
            <v>INP</v>
          </cell>
          <cell r="M2953">
            <v>5.0225785234259304</v>
          </cell>
          <cell r="N2953">
            <v>1</v>
          </cell>
        </row>
        <row r="2954">
          <cell r="E2954" t="str">
            <v>Arizona v California</v>
          </cell>
          <cell r="I2954" t="str">
            <v>AA</v>
          </cell>
          <cell r="K2954" t="str">
            <v>Out</v>
          </cell>
          <cell r="M2954">
            <v>5.1231462050631</v>
          </cell>
          <cell r="N2954">
            <v>4</v>
          </cell>
        </row>
        <row r="2955">
          <cell r="E2955" t="str">
            <v>Arizona v California</v>
          </cell>
          <cell r="I2955" t="str">
            <v>AA</v>
          </cell>
          <cell r="K2955" t="str">
            <v>INP</v>
          </cell>
          <cell r="M2955">
            <v>5.2821969791005303</v>
          </cell>
          <cell r="N2955">
            <v>1</v>
          </cell>
        </row>
        <row r="2956">
          <cell r="E2956" t="str">
            <v>Arizona v California</v>
          </cell>
          <cell r="I2956" t="str">
            <v>AA</v>
          </cell>
          <cell r="K2956" t="str">
            <v>INP</v>
          </cell>
          <cell r="M2956">
            <v>5.3074515020949198</v>
          </cell>
          <cell r="N2956">
            <v>1</v>
          </cell>
        </row>
        <row r="2957">
          <cell r="E2957" t="str">
            <v>Arizona v California</v>
          </cell>
          <cell r="I2957" t="str">
            <v>AA</v>
          </cell>
          <cell r="K2957" t="str">
            <v>INP</v>
          </cell>
          <cell r="M2957">
            <v>5.32172122812496</v>
          </cell>
          <cell r="N2957">
            <v>1</v>
          </cell>
        </row>
        <row r="2958">
          <cell r="E2958" t="str">
            <v>Arizona v California</v>
          </cell>
          <cell r="I2958" t="str">
            <v>AA</v>
          </cell>
          <cell r="K2958" t="str">
            <v>Tw</v>
          </cell>
          <cell r="M2958">
            <v>5.5213272588400697</v>
          </cell>
          <cell r="N2958">
            <v>2</v>
          </cell>
        </row>
        <row r="2959">
          <cell r="E2959" t="str">
            <v>Arizona v California</v>
          </cell>
          <cell r="I2959" t="str">
            <v>AA</v>
          </cell>
          <cell r="K2959" t="str">
            <v>Out</v>
          </cell>
          <cell r="M2959">
            <v>5.5242750573769301</v>
          </cell>
          <cell r="N2959">
            <v>4</v>
          </cell>
        </row>
        <row r="2960">
          <cell r="E2960" t="str">
            <v>Arizona v California</v>
          </cell>
          <cell r="I2960" t="str">
            <v>AA</v>
          </cell>
          <cell r="K2960" t="str">
            <v>F</v>
          </cell>
          <cell r="M2960">
            <v>5.5265557908452099</v>
          </cell>
          <cell r="N2960">
            <v>4</v>
          </cell>
        </row>
        <row r="2961">
          <cell r="E2961" t="str">
            <v>Arizona v California</v>
          </cell>
          <cell r="I2961" t="str">
            <v>AA</v>
          </cell>
          <cell r="K2961" t="str">
            <v>INP</v>
          </cell>
          <cell r="M2961">
            <v>5.6182381975351099</v>
          </cell>
          <cell r="N2961">
            <v>1</v>
          </cell>
        </row>
        <row r="2962">
          <cell r="E2962" t="str">
            <v>Arizona v California</v>
          </cell>
          <cell r="I2962" t="str">
            <v>AA</v>
          </cell>
          <cell r="K2962" t="str">
            <v>F</v>
          </cell>
          <cell r="M2962">
            <v>5.7023763283579401</v>
          </cell>
          <cell r="N2962">
            <v>4</v>
          </cell>
        </row>
        <row r="2963">
          <cell r="E2963" t="str">
            <v>Arizona v California</v>
          </cell>
          <cell r="I2963" t="str">
            <v>AA</v>
          </cell>
          <cell r="K2963" t="str">
            <v>INP</v>
          </cell>
          <cell r="M2963">
            <v>5.7927811909854796</v>
          </cell>
          <cell r="N2963">
            <v>1</v>
          </cell>
        </row>
        <row r="2964">
          <cell r="E2964" t="str">
            <v>Arizona v California</v>
          </cell>
          <cell r="I2964" t="str">
            <v>AA</v>
          </cell>
          <cell r="K2964" t="str">
            <v>S</v>
          </cell>
          <cell r="M2964">
            <v>6.3644631281312396</v>
          </cell>
          <cell r="N2964">
            <v>5</v>
          </cell>
        </row>
        <row r="2965">
          <cell r="E2965" t="str">
            <v>Arizona v California</v>
          </cell>
          <cell r="I2965" t="str">
            <v>AA</v>
          </cell>
          <cell r="K2965" t="str">
            <v>INP</v>
          </cell>
          <cell r="M2965">
            <v>6.4728928214245798</v>
          </cell>
          <cell r="N2965">
            <v>1</v>
          </cell>
        </row>
        <row r="2966">
          <cell r="E2966" t="str">
            <v>Arizona v California</v>
          </cell>
          <cell r="I2966" t="str">
            <v>AA</v>
          </cell>
          <cell r="K2966" t="str">
            <v>INP</v>
          </cell>
          <cell r="M2966">
            <v>6.6873867689080697</v>
          </cell>
          <cell r="N2966">
            <v>1</v>
          </cell>
        </row>
        <row r="2967">
          <cell r="E2967" t="str">
            <v>Arizona v California</v>
          </cell>
          <cell r="I2967" t="str">
            <v>AA</v>
          </cell>
          <cell r="K2967" t="str">
            <v>INP</v>
          </cell>
          <cell r="M2967">
            <v>7.0393371464929801</v>
          </cell>
          <cell r="N2967">
            <v>1</v>
          </cell>
        </row>
        <row r="2968">
          <cell r="E2968" t="str">
            <v>Arizona v California</v>
          </cell>
          <cell r="I2968" t="str">
            <v>AA</v>
          </cell>
          <cell r="K2968" t="str">
            <v>F</v>
          </cell>
          <cell r="M2968">
            <v>7.0520413184616704</v>
          </cell>
          <cell r="N2968">
            <v>4</v>
          </cell>
        </row>
        <row r="2969">
          <cell r="E2969" t="str">
            <v>Arizona v California</v>
          </cell>
          <cell r="I2969" t="str">
            <v>AA</v>
          </cell>
          <cell r="K2969" t="str">
            <v>S</v>
          </cell>
          <cell r="M2969">
            <v>7.1780719686614098</v>
          </cell>
          <cell r="N2969">
            <v>5</v>
          </cell>
        </row>
        <row r="2970">
          <cell r="E2970" t="str">
            <v>Arizona v California</v>
          </cell>
          <cell r="I2970" t="str">
            <v>AA</v>
          </cell>
          <cell r="K2970" t="str">
            <v>F</v>
          </cell>
          <cell r="M2970">
            <v>7.2820242446157399</v>
          </cell>
          <cell r="N2970">
            <v>4</v>
          </cell>
        </row>
        <row r="2971">
          <cell r="E2971" t="str">
            <v>Arizona v California</v>
          </cell>
          <cell r="I2971" t="str">
            <v>AA</v>
          </cell>
          <cell r="K2971" t="str">
            <v>F</v>
          </cell>
          <cell r="M2971">
            <v>8.2020701167501393</v>
          </cell>
          <cell r="N2971">
            <v>4</v>
          </cell>
        </row>
        <row r="2972">
          <cell r="E2972" t="str">
            <v>Arizona v California</v>
          </cell>
          <cell r="I2972" t="str">
            <v>AA</v>
          </cell>
          <cell r="K2972" t="str">
            <v>S</v>
          </cell>
          <cell r="M2972">
            <v>8.3668860279278903</v>
          </cell>
          <cell r="N2972">
            <v>5</v>
          </cell>
        </row>
        <row r="2973">
          <cell r="E2973" t="str">
            <v>Arizona v California</v>
          </cell>
          <cell r="I2973" t="str">
            <v>AA</v>
          </cell>
          <cell r="K2973" t="str">
            <v>F</v>
          </cell>
          <cell r="M2973">
            <v>8.7661022233427701</v>
          </cell>
          <cell r="N2973">
            <v>4</v>
          </cell>
        </row>
        <row r="2974">
          <cell r="E2974" t="str">
            <v>Arizona v California</v>
          </cell>
          <cell r="I2974" t="str">
            <v>AA</v>
          </cell>
          <cell r="K2974" t="str">
            <v>Out</v>
          </cell>
          <cell r="M2974">
            <v>8.8460932419211797</v>
          </cell>
          <cell r="N2974">
            <v>4</v>
          </cell>
        </row>
        <row r="2975">
          <cell r="E2975" t="str">
            <v>Arizona v California</v>
          </cell>
          <cell r="I2975" t="str">
            <v>AA</v>
          </cell>
          <cell r="K2975" t="str">
            <v>S</v>
          </cell>
          <cell r="M2975">
            <v>10.1629209665512</v>
          </cell>
          <cell r="N2975">
            <v>5</v>
          </cell>
        </row>
        <row r="2976">
          <cell r="E2976" t="str">
            <v>Arizona v California</v>
          </cell>
          <cell r="I2976" t="str">
            <v>AA</v>
          </cell>
          <cell r="K2976" t="str">
            <v>Out</v>
          </cell>
          <cell r="M2976">
            <v>10.7238212386657</v>
          </cell>
          <cell r="N2976">
            <v>4</v>
          </cell>
        </row>
        <row r="2977">
          <cell r="E2977" t="str">
            <v>Arizona v California</v>
          </cell>
          <cell r="I2977" t="str">
            <v>AA</v>
          </cell>
          <cell r="K2977" t="str">
            <v>INP</v>
          </cell>
          <cell r="M2977">
            <v>10.906796422881699</v>
          </cell>
          <cell r="N2977">
            <v>1</v>
          </cell>
        </row>
        <row r="2978">
          <cell r="E2978" t="str">
            <v>Arizona v California</v>
          </cell>
          <cell r="I2978" t="str">
            <v>AA</v>
          </cell>
          <cell r="K2978" t="str">
            <v>INP</v>
          </cell>
          <cell r="M2978">
            <v>11.432008462105401</v>
          </cell>
          <cell r="N2978">
            <v>1</v>
          </cell>
        </row>
        <row r="2979">
          <cell r="E2979" t="str">
            <v>Arizona v California</v>
          </cell>
          <cell r="I2979" t="str">
            <v>AA</v>
          </cell>
          <cell r="K2979" t="str">
            <v>INP</v>
          </cell>
          <cell r="M2979">
            <v>12.842328914397701</v>
          </cell>
          <cell r="N2979">
            <v>1</v>
          </cell>
        </row>
        <row r="2980">
          <cell r="E2980" t="str">
            <v>Arizona v California</v>
          </cell>
          <cell r="I2980" t="str">
            <v>AA</v>
          </cell>
          <cell r="K2980" t="str">
            <v>F</v>
          </cell>
          <cell r="M2980">
            <v>13.3876315410568</v>
          </cell>
          <cell r="N2980">
            <v>4</v>
          </cell>
        </row>
        <row r="2981">
          <cell r="E2981" t="str">
            <v>Arizona v California</v>
          </cell>
          <cell r="I2981" t="str">
            <v>AA</v>
          </cell>
          <cell r="K2981" t="str">
            <v>F</v>
          </cell>
          <cell r="M2981">
            <v>16.073647488497301</v>
          </cell>
          <cell r="N2981">
            <v>4</v>
          </cell>
        </row>
        <row r="2982">
          <cell r="E2982" t="str">
            <v>Arizona v California</v>
          </cell>
          <cell r="I2982" t="str">
            <v>AA</v>
          </cell>
          <cell r="K2982" t="str">
            <v>F</v>
          </cell>
          <cell r="M2982">
            <v>21.369058133432599</v>
          </cell>
          <cell r="N2982">
            <v>4</v>
          </cell>
        </row>
        <row r="2983">
          <cell r="E2983" t="str">
            <v>Arizona v California</v>
          </cell>
          <cell r="I2983" t="str">
            <v>AA</v>
          </cell>
          <cell r="K2983" t="str">
            <v>S</v>
          </cell>
          <cell r="M2983">
            <v>23.297760730121698</v>
          </cell>
          <cell r="N2983">
            <v>5</v>
          </cell>
        </row>
        <row r="2984">
          <cell r="E2984" t="str">
            <v>Arizona v California</v>
          </cell>
          <cell r="I2984" t="str">
            <v>AA</v>
          </cell>
          <cell r="K2984" t="str">
            <v>F</v>
          </cell>
          <cell r="M2984">
            <v>24.119774922832299</v>
          </cell>
          <cell r="N2984">
            <v>4</v>
          </cell>
        </row>
        <row r="2985">
          <cell r="M2985">
            <v>77.009805874667762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4"/>
  <sheetViews>
    <sheetView tabSelected="1" workbookViewId="0">
      <selection activeCell="O277" sqref="O277"/>
    </sheetView>
  </sheetViews>
  <sheetFormatPr defaultRowHeight="15" x14ac:dyDescent="0.25"/>
  <cols>
    <col min="1" max="1" width="10" bestFit="1" customWidth="1"/>
    <col min="2" max="2" width="7.28515625" bestFit="1" customWidth="1"/>
    <col min="3" max="3" width="15.85546875" bestFit="1" customWidth="1"/>
    <col min="4" max="4" width="11.5703125" bestFit="1" customWidth="1"/>
    <col min="5" max="5" width="48.85546875" bestFit="1" customWidth="1"/>
    <col min="6" max="6" width="20.42578125" bestFit="1" customWidth="1"/>
    <col min="7" max="7" width="9.28515625" bestFit="1" customWidth="1"/>
    <col min="8" max="8" width="17.28515625" bestFit="1" customWidth="1"/>
    <col min="9" max="9" width="75.7109375" bestFit="1" customWidth="1"/>
    <col min="10" max="10" width="7.85546875" bestFit="1" customWidth="1"/>
    <col min="11" max="11" width="15" bestFit="1" customWidth="1"/>
    <col min="12" max="12" width="12.7109375" bestFit="1" customWidth="1"/>
  </cols>
  <sheetData>
    <row r="1" spans="1:12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13</v>
      </c>
      <c r="D2" t="s">
        <v>14</v>
      </c>
      <c r="E2" t="s">
        <v>15</v>
      </c>
      <c r="F2">
        <v>23.61102878427802</v>
      </c>
      <c r="G2" t="s">
        <v>16</v>
      </c>
      <c r="H2" t="s">
        <v>17</v>
      </c>
      <c r="I2" t="s">
        <v>18</v>
      </c>
      <c r="K2">
        <v>1385.230728220032</v>
      </c>
      <c r="L2">
        <v>95550.825678047258</v>
      </c>
    </row>
    <row r="3" spans="1:12" x14ac:dyDescent="0.25">
      <c r="A3">
        <v>2</v>
      </c>
      <c r="B3" t="s">
        <v>13</v>
      </c>
      <c r="D3" t="s">
        <v>14</v>
      </c>
      <c r="E3" t="s">
        <v>15</v>
      </c>
      <c r="F3">
        <v>2.2703547533236779</v>
      </c>
      <c r="G3" t="s">
        <v>16</v>
      </c>
      <c r="H3" t="s">
        <v>17</v>
      </c>
      <c r="I3" t="s">
        <v>18</v>
      </c>
      <c r="K3">
        <v>427.84416162613422</v>
      </c>
      <c r="L3">
        <v>9187.8364659234066</v>
      </c>
    </row>
    <row r="4" spans="1:12" x14ac:dyDescent="0.25">
      <c r="A4">
        <v>3</v>
      </c>
      <c r="B4" t="s">
        <v>13</v>
      </c>
      <c r="D4" t="s">
        <v>21</v>
      </c>
      <c r="E4" t="s">
        <v>22</v>
      </c>
      <c r="F4">
        <v>5.373773555604024</v>
      </c>
      <c r="G4" t="s">
        <v>23</v>
      </c>
      <c r="H4" t="s">
        <v>24</v>
      </c>
      <c r="I4" t="s">
        <v>25</v>
      </c>
      <c r="K4">
        <v>926.59136532168816</v>
      </c>
      <c r="L4">
        <v>21746.977013840489</v>
      </c>
    </row>
    <row r="5" spans="1:12" x14ac:dyDescent="0.25">
      <c r="A5">
        <v>4</v>
      </c>
      <c r="B5" t="s">
        <v>13</v>
      </c>
      <c r="D5" t="s">
        <v>21</v>
      </c>
      <c r="E5" t="s">
        <v>22</v>
      </c>
      <c r="F5">
        <v>3.7481711437291758</v>
      </c>
      <c r="G5" t="s">
        <v>23</v>
      </c>
      <c r="H5" t="s">
        <v>24</v>
      </c>
      <c r="I5" t="s">
        <v>25</v>
      </c>
      <c r="K5">
        <v>578.57502401701947</v>
      </c>
      <c r="L5">
        <v>15168.371138678651</v>
      </c>
    </row>
    <row r="6" spans="1:12" x14ac:dyDescent="0.25">
      <c r="A6">
        <v>5</v>
      </c>
      <c r="B6" t="s">
        <v>13</v>
      </c>
      <c r="D6" t="s">
        <v>21</v>
      </c>
      <c r="E6" t="s">
        <v>22</v>
      </c>
      <c r="F6">
        <v>1.1742684681625231</v>
      </c>
      <c r="G6" t="s">
        <v>23</v>
      </c>
      <c r="H6" t="s">
        <v>24</v>
      </c>
      <c r="I6" t="s">
        <v>25</v>
      </c>
      <c r="K6">
        <v>314.58689601811977</v>
      </c>
      <c r="L6">
        <v>4752.1149004459076</v>
      </c>
    </row>
    <row r="7" spans="1:12" x14ac:dyDescent="0.25">
      <c r="A7">
        <v>6</v>
      </c>
      <c r="B7" t="s">
        <v>13</v>
      </c>
      <c r="D7" t="s">
        <v>21</v>
      </c>
      <c r="E7" t="s">
        <v>22</v>
      </c>
      <c r="F7">
        <v>3.604735097724233</v>
      </c>
      <c r="G7" t="s">
        <v>23</v>
      </c>
      <c r="H7" t="s">
        <v>24</v>
      </c>
      <c r="I7" t="s">
        <v>25</v>
      </c>
      <c r="K7">
        <v>535.1662423041646</v>
      </c>
      <c r="L7">
        <v>14587.903732832579</v>
      </c>
    </row>
    <row r="8" spans="1:12" x14ac:dyDescent="0.25">
      <c r="A8">
        <v>7</v>
      </c>
      <c r="B8" t="s">
        <v>13</v>
      </c>
      <c r="D8" t="s">
        <v>21</v>
      </c>
      <c r="E8" t="s">
        <v>22</v>
      </c>
      <c r="F8">
        <v>1.409283469790815</v>
      </c>
      <c r="G8" t="s">
        <v>23</v>
      </c>
      <c r="H8" t="s">
        <v>24</v>
      </c>
      <c r="I8" t="s">
        <v>25</v>
      </c>
      <c r="K8">
        <v>324.65930228192212</v>
      </c>
      <c r="L8">
        <v>5703.1906734449994</v>
      </c>
    </row>
    <row r="9" spans="1:12" x14ac:dyDescent="0.25">
      <c r="A9">
        <v>8</v>
      </c>
      <c r="B9" t="s">
        <v>13</v>
      </c>
      <c r="D9" t="s">
        <v>26</v>
      </c>
      <c r="E9" t="s">
        <v>27</v>
      </c>
      <c r="F9">
        <v>0.85459799167091322</v>
      </c>
      <c r="G9" t="s">
        <v>16</v>
      </c>
      <c r="H9" t="s">
        <v>17</v>
      </c>
      <c r="I9" t="s">
        <v>28</v>
      </c>
      <c r="K9">
        <v>253.6896715525734</v>
      </c>
      <c r="L9">
        <v>3458.449204946563</v>
      </c>
    </row>
    <row r="10" spans="1:12" x14ac:dyDescent="0.25">
      <c r="A10">
        <v>9</v>
      </c>
      <c r="B10" t="s">
        <v>13</v>
      </c>
      <c r="D10" t="s">
        <v>26</v>
      </c>
      <c r="E10" t="s">
        <v>27</v>
      </c>
      <c r="F10">
        <v>0.38043626326618257</v>
      </c>
      <c r="G10" t="s">
        <v>16</v>
      </c>
      <c r="H10" t="s">
        <v>17</v>
      </c>
      <c r="I10" t="s">
        <v>28</v>
      </c>
      <c r="K10">
        <v>197.63553756421479</v>
      </c>
      <c r="L10">
        <v>1539.577093614824</v>
      </c>
    </row>
    <row r="11" spans="1:12" x14ac:dyDescent="0.25">
      <c r="A11">
        <v>10</v>
      </c>
      <c r="B11" t="s">
        <v>13</v>
      </c>
      <c r="D11" t="s">
        <v>21</v>
      </c>
      <c r="E11" t="s">
        <v>22</v>
      </c>
      <c r="F11">
        <v>4.4841213027293563</v>
      </c>
      <c r="G11" t="s">
        <v>23</v>
      </c>
      <c r="H11" t="s">
        <v>24</v>
      </c>
      <c r="I11" t="s">
        <v>25</v>
      </c>
      <c r="K11">
        <v>563.50372378919587</v>
      </c>
      <c r="L11">
        <v>18146.667679369079</v>
      </c>
    </row>
    <row r="12" spans="1:12" x14ac:dyDescent="0.25">
      <c r="A12">
        <v>11</v>
      </c>
      <c r="B12" t="s">
        <v>13</v>
      </c>
      <c r="D12" t="s">
        <v>21</v>
      </c>
      <c r="E12" t="s">
        <v>22</v>
      </c>
      <c r="F12">
        <v>2.2756253099318529</v>
      </c>
      <c r="G12" t="s">
        <v>23</v>
      </c>
      <c r="H12" t="s">
        <v>24</v>
      </c>
      <c r="I12" t="s">
        <v>25</v>
      </c>
      <c r="K12">
        <v>419.92362424766191</v>
      </c>
      <c r="L12">
        <v>9209.1657370998219</v>
      </c>
    </row>
    <row r="13" spans="1:12" x14ac:dyDescent="0.25">
      <c r="A13">
        <v>12</v>
      </c>
      <c r="B13" t="s">
        <v>13</v>
      </c>
      <c r="D13" t="s">
        <v>21</v>
      </c>
      <c r="E13" t="s">
        <v>22</v>
      </c>
      <c r="F13">
        <v>3.4686161034215131</v>
      </c>
      <c r="G13" t="s">
        <v>23</v>
      </c>
      <c r="H13" t="s">
        <v>24</v>
      </c>
      <c r="I13" t="s">
        <v>25</v>
      </c>
      <c r="K13">
        <v>485.62566196884148</v>
      </c>
      <c r="L13">
        <v>14037.047503105279</v>
      </c>
    </row>
    <row r="14" spans="1:12" x14ac:dyDescent="0.25">
      <c r="A14">
        <v>13</v>
      </c>
      <c r="B14" t="s">
        <v>13</v>
      </c>
      <c r="D14" t="s">
        <v>21</v>
      </c>
      <c r="E14" t="s">
        <v>22</v>
      </c>
      <c r="F14">
        <v>1.8545624660844831</v>
      </c>
      <c r="G14" t="s">
        <v>23</v>
      </c>
      <c r="H14" t="s">
        <v>24</v>
      </c>
      <c r="I14" t="s">
        <v>25</v>
      </c>
      <c r="K14">
        <v>403.31654123976301</v>
      </c>
      <c r="L14">
        <v>7505.1780472981391</v>
      </c>
    </row>
    <row r="15" spans="1:12" x14ac:dyDescent="0.25">
      <c r="A15">
        <v>14</v>
      </c>
      <c r="B15" t="s">
        <v>13</v>
      </c>
      <c r="D15" t="s">
        <v>21</v>
      </c>
      <c r="E15" t="s">
        <v>22</v>
      </c>
      <c r="F15">
        <v>6.9791336981283241</v>
      </c>
      <c r="G15" t="s">
        <v>23</v>
      </c>
      <c r="H15" t="s">
        <v>24</v>
      </c>
      <c r="I15" t="s">
        <v>25</v>
      </c>
      <c r="K15">
        <v>899.65428868571723</v>
      </c>
      <c r="L15">
        <v>28243.665003605911</v>
      </c>
    </row>
    <row r="16" spans="1:12" x14ac:dyDescent="0.25">
      <c r="A16">
        <v>15</v>
      </c>
      <c r="B16" t="s">
        <v>13</v>
      </c>
      <c r="D16" t="s">
        <v>21</v>
      </c>
      <c r="E16" t="s">
        <v>22</v>
      </c>
      <c r="F16">
        <v>13.53543487234187</v>
      </c>
      <c r="G16" t="s">
        <v>23</v>
      </c>
      <c r="H16" t="s">
        <v>24</v>
      </c>
      <c r="I16" t="s">
        <v>29</v>
      </c>
      <c r="K16">
        <v>1004.346292977164</v>
      </c>
      <c r="L16">
        <v>54776.180647617119</v>
      </c>
    </row>
    <row r="17" spans="1:12" x14ac:dyDescent="0.25">
      <c r="A17">
        <v>16</v>
      </c>
      <c r="B17" t="s">
        <v>13</v>
      </c>
      <c r="D17" t="s">
        <v>30</v>
      </c>
      <c r="E17" t="s">
        <v>31</v>
      </c>
      <c r="F17">
        <v>3.2320483367595569</v>
      </c>
      <c r="G17" t="s">
        <v>32</v>
      </c>
      <c r="H17" t="s">
        <v>33</v>
      </c>
      <c r="I17" t="s">
        <v>25</v>
      </c>
      <c r="K17">
        <v>518.07104195590682</v>
      </c>
      <c r="L17">
        <v>13079.687887821879</v>
      </c>
    </row>
    <row r="18" spans="1:12" x14ac:dyDescent="0.25">
      <c r="A18">
        <v>17</v>
      </c>
      <c r="B18" t="s">
        <v>13</v>
      </c>
      <c r="D18" t="s">
        <v>30</v>
      </c>
      <c r="E18" t="s">
        <v>31</v>
      </c>
      <c r="F18">
        <v>1.0901443563452</v>
      </c>
      <c r="G18" t="s">
        <v>32</v>
      </c>
      <c r="H18" t="s">
        <v>33</v>
      </c>
      <c r="I18" t="s">
        <v>25</v>
      </c>
      <c r="K18">
        <v>358.66546306276689</v>
      </c>
      <c r="L18">
        <v>4411.6753365023869</v>
      </c>
    </row>
    <row r="19" spans="1:12" x14ac:dyDescent="0.25">
      <c r="A19">
        <v>18</v>
      </c>
      <c r="B19" t="s">
        <v>13</v>
      </c>
      <c r="D19" t="s">
        <v>30</v>
      </c>
      <c r="E19" t="s">
        <v>31</v>
      </c>
      <c r="F19">
        <v>4.2319617934637508</v>
      </c>
      <c r="G19" t="s">
        <v>32</v>
      </c>
      <c r="H19" t="s">
        <v>33</v>
      </c>
      <c r="I19" t="s">
        <v>25</v>
      </c>
      <c r="K19">
        <v>608.03212525315303</v>
      </c>
      <c r="L19">
        <v>17126.210268002771</v>
      </c>
    </row>
    <row r="20" spans="1:12" x14ac:dyDescent="0.25">
      <c r="A20">
        <v>19</v>
      </c>
      <c r="B20" t="s">
        <v>13</v>
      </c>
      <c r="D20" t="s">
        <v>34</v>
      </c>
      <c r="E20" t="s">
        <v>35</v>
      </c>
      <c r="F20">
        <v>0.45445609288891148</v>
      </c>
      <c r="G20" t="s">
        <v>16</v>
      </c>
      <c r="H20" t="s">
        <v>17</v>
      </c>
      <c r="I20" t="s">
        <v>36</v>
      </c>
      <c r="K20">
        <v>164.88402416456509</v>
      </c>
      <c r="L20">
        <v>1839.1259147026051</v>
      </c>
    </row>
    <row r="21" spans="1:12" x14ac:dyDescent="0.25">
      <c r="A21">
        <v>20</v>
      </c>
      <c r="B21" t="s">
        <v>13</v>
      </c>
      <c r="D21" t="s">
        <v>14</v>
      </c>
      <c r="E21" t="s">
        <v>15</v>
      </c>
      <c r="F21">
        <v>36.404291645321869</v>
      </c>
      <c r="G21" t="s">
        <v>16</v>
      </c>
      <c r="H21" t="s">
        <v>17</v>
      </c>
      <c r="I21" t="s">
        <v>37</v>
      </c>
      <c r="K21">
        <v>1738.717830257272</v>
      </c>
      <c r="L21">
        <v>147323.53074132709</v>
      </c>
    </row>
    <row r="22" spans="1:12" x14ac:dyDescent="0.25">
      <c r="A22">
        <v>21</v>
      </c>
      <c r="B22" t="s">
        <v>13</v>
      </c>
      <c r="D22" t="s">
        <v>14</v>
      </c>
      <c r="E22" t="s">
        <v>15</v>
      </c>
      <c r="F22">
        <v>0.6921892634793162</v>
      </c>
      <c r="G22" t="s">
        <v>16</v>
      </c>
      <c r="H22" t="s">
        <v>17</v>
      </c>
      <c r="I22" t="s">
        <v>38</v>
      </c>
      <c r="K22">
        <v>201.39668338066349</v>
      </c>
      <c r="L22">
        <v>2801.201771223476</v>
      </c>
    </row>
    <row r="23" spans="1:12" x14ac:dyDescent="0.25">
      <c r="A23">
        <v>22</v>
      </c>
      <c r="B23" t="s">
        <v>13</v>
      </c>
      <c r="D23" t="s">
        <v>14</v>
      </c>
      <c r="E23" t="s">
        <v>15</v>
      </c>
      <c r="F23">
        <v>6.1873226069886336</v>
      </c>
      <c r="G23" t="s">
        <v>16</v>
      </c>
      <c r="H23" t="s">
        <v>17</v>
      </c>
      <c r="I23" t="s">
        <v>37</v>
      </c>
      <c r="K23">
        <v>969.48397495349082</v>
      </c>
      <c r="L23">
        <v>25039.30638667805</v>
      </c>
    </row>
    <row r="24" spans="1:12" x14ac:dyDescent="0.25">
      <c r="A24">
        <v>23</v>
      </c>
      <c r="B24" t="s">
        <v>13</v>
      </c>
      <c r="D24" t="s">
        <v>14</v>
      </c>
      <c r="E24" t="s">
        <v>15</v>
      </c>
      <c r="F24">
        <v>18.568413438724871</v>
      </c>
      <c r="G24" t="s">
        <v>16</v>
      </c>
      <c r="H24" t="s">
        <v>17</v>
      </c>
      <c r="I24" t="s">
        <v>37</v>
      </c>
      <c r="K24">
        <v>1069.5163954129921</v>
      </c>
      <c r="L24">
        <v>75144.003753996658</v>
      </c>
    </row>
    <row r="25" spans="1:12" x14ac:dyDescent="0.25">
      <c r="A25">
        <v>24</v>
      </c>
      <c r="B25" t="s">
        <v>13</v>
      </c>
      <c r="D25" t="s">
        <v>14</v>
      </c>
      <c r="E25" t="s">
        <v>15</v>
      </c>
      <c r="F25">
        <v>14.50081750966838</v>
      </c>
      <c r="G25" t="s">
        <v>16</v>
      </c>
      <c r="H25" t="s">
        <v>17</v>
      </c>
      <c r="I25" t="s">
        <v>37</v>
      </c>
      <c r="K25">
        <v>995.4722056649764</v>
      </c>
      <c r="L25">
        <v>58682.961200661943</v>
      </c>
    </row>
    <row r="26" spans="1:12" x14ac:dyDescent="0.25">
      <c r="A26">
        <v>25</v>
      </c>
      <c r="B26" t="s">
        <v>13</v>
      </c>
      <c r="D26" t="s">
        <v>30</v>
      </c>
      <c r="E26" t="s">
        <v>31</v>
      </c>
      <c r="F26">
        <v>17.01342092959424</v>
      </c>
      <c r="G26" t="s">
        <v>32</v>
      </c>
      <c r="H26" t="s">
        <v>33</v>
      </c>
      <c r="I26" t="s">
        <v>39</v>
      </c>
      <c r="K26">
        <v>1337.3009791191321</v>
      </c>
      <c r="L26">
        <v>68851.147160236273</v>
      </c>
    </row>
    <row r="27" spans="1:12" x14ac:dyDescent="0.25">
      <c r="A27">
        <v>26</v>
      </c>
      <c r="B27" t="s">
        <v>13</v>
      </c>
      <c r="D27" t="s">
        <v>14</v>
      </c>
      <c r="E27" t="s">
        <v>15</v>
      </c>
      <c r="F27">
        <v>12.953952351077969</v>
      </c>
      <c r="G27" t="s">
        <v>16</v>
      </c>
      <c r="H27" t="s">
        <v>17</v>
      </c>
      <c r="I27" t="s">
        <v>37</v>
      </c>
      <c r="K27">
        <v>952.21565864685067</v>
      </c>
      <c r="L27">
        <v>52422.994959193617</v>
      </c>
    </row>
    <row r="28" spans="1:12" x14ac:dyDescent="0.25">
      <c r="A28">
        <v>27</v>
      </c>
      <c r="B28" t="s">
        <v>13</v>
      </c>
      <c r="D28" t="s">
        <v>14</v>
      </c>
      <c r="E28" t="s">
        <v>15</v>
      </c>
      <c r="F28">
        <v>8.3654125402026391</v>
      </c>
      <c r="G28" t="s">
        <v>16</v>
      </c>
      <c r="H28" t="s">
        <v>17</v>
      </c>
      <c r="I28" t="s">
        <v>37</v>
      </c>
      <c r="K28">
        <v>787.52575293122732</v>
      </c>
      <c r="L28">
        <v>33853.758879244648</v>
      </c>
    </row>
    <row r="29" spans="1:12" x14ac:dyDescent="0.25">
      <c r="A29">
        <v>28</v>
      </c>
      <c r="B29" t="s">
        <v>13</v>
      </c>
      <c r="D29" t="s">
        <v>14</v>
      </c>
      <c r="E29" t="s">
        <v>15</v>
      </c>
      <c r="F29">
        <v>22.683236255780969</v>
      </c>
      <c r="G29" t="s">
        <v>16</v>
      </c>
      <c r="H29" t="s">
        <v>17</v>
      </c>
      <c r="I29" t="s">
        <v>37</v>
      </c>
      <c r="K29">
        <v>1351.577308949197</v>
      </c>
      <c r="L29">
        <v>91796.167506826576</v>
      </c>
    </row>
    <row r="30" spans="1:12" x14ac:dyDescent="0.25">
      <c r="A30">
        <v>29</v>
      </c>
      <c r="B30" t="s">
        <v>13</v>
      </c>
      <c r="D30" t="s">
        <v>14</v>
      </c>
      <c r="E30" t="s">
        <v>15</v>
      </c>
      <c r="F30">
        <v>1.6976453626685299</v>
      </c>
      <c r="G30" t="s">
        <v>16</v>
      </c>
      <c r="H30" t="s">
        <v>17</v>
      </c>
      <c r="I30" t="s">
        <v>37</v>
      </c>
      <c r="K30">
        <v>373.31915592406529</v>
      </c>
      <c r="L30">
        <v>6870.1545194633154</v>
      </c>
    </row>
    <row r="31" spans="1:12" x14ac:dyDescent="0.25">
      <c r="A31">
        <v>30</v>
      </c>
      <c r="B31" t="s">
        <v>13</v>
      </c>
      <c r="D31" t="s">
        <v>14</v>
      </c>
      <c r="E31" t="s">
        <v>15</v>
      </c>
      <c r="F31">
        <v>1.0987850956476739</v>
      </c>
      <c r="G31" t="s">
        <v>16</v>
      </c>
      <c r="H31" t="s">
        <v>17</v>
      </c>
      <c r="I31" t="s">
        <v>37</v>
      </c>
      <c r="K31">
        <v>298.68846973405448</v>
      </c>
      <c r="L31">
        <v>4446.6433077146312</v>
      </c>
    </row>
    <row r="32" spans="1:12" x14ac:dyDescent="0.25">
      <c r="A32">
        <v>31</v>
      </c>
      <c r="B32" t="s">
        <v>13</v>
      </c>
      <c r="D32" t="s">
        <v>14</v>
      </c>
      <c r="E32" t="s">
        <v>15</v>
      </c>
      <c r="F32">
        <v>5.297611369336658</v>
      </c>
      <c r="G32" t="s">
        <v>16</v>
      </c>
      <c r="H32" t="s">
        <v>17</v>
      </c>
      <c r="I32" t="s">
        <v>19</v>
      </c>
      <c r="K32">
        <v>587.87375092436548</v>
      </c>
      <c r="L32">
        <v>21438.758348326952</v>
      </c>
    </row>
    <row r="33" spans="1:12" x14ac:dyDescent="0.25">
      <c r="A33">
        <v>32</v>
      </c>
      <c r="B33" t="s">
        <v>13</v>
      </c>
      <c r="C33" t="s">
        <v>40</v>
      </c>
      <c r="D33" t="s">
        <v>21</v>
      </c>
      <c r="E33" t="s">
        <v>22</v>
      </c>
      <c r="F33">
        <v>4.8859946847838449</v>
      </c>
      <c r="G33" t="s">
        <v>23</v>
      </c>
      <c r="H33" t="s">
        <v>24</v>
      </c>
      <c r="I33" t="s">
        <v>41</v>
      </c>
      <c r="K33">
        <v>701.42960965186171</v>
      </c>
      <c r="L33">
        <v>19772.998061842922</v>
      </c>
    </row>
    <row r="34" spans="1:12" x14ac:dyDescent="0.25">
      <c r="A34">
        <v>33</v>
      </c>
      <c r="B34" t="s">
        <v>13</v>
      </c>
      <c r="C34" t="s">
        <v>40</v>
      </c>
      <c r="D34" t="s">
        <v>21</v>
      </c>
      <c r="E34" t="s">
        <v>22</v>
      </c>
      <c r="F34">
        <v>8.3864003431877201</v>
      </c>
      <c r="G34" t="s">
        <v>23</v>
      </c>
      <c r="H34" t="s">
        <v>24</v>
      </c>
      <c r="I34" t="s">
        <v>42</v>
      </c>
      <c r="K34">
        <v>731.79330332862992</v>
      </c>
      <c r="L34">
        <v>33938.693844286412</v>
      </c>
    </row>
    <row r="35" spans="1:12" x14ac:dyDescent="0.25">
      <c r="A35">
        <v>34</v>
      </c>
      <c r="B35" t="s">
        <v>13</v>
      </c>
      <c r="D35" t="s">
        <v>14</v>
      </c>
      <c r="E35" t="s">
        <v>15</v>
      </c>
      <c r="F35">
        <v>12.87417151379946</v>
      </c>
      <c r="G35" t="s">
        <v>16</v>
      </c>
      <c r="H35" t="s">
        <v>17</v>
      </c>
      <c r="I35" t="s">
        <v>37</v>
      </c>
      <c r="K35">
        <v>920.77263125337254</v>
      </c>
      <c r="L35">
        <v>52100.132074018373</v>
      </c>
    </row>
    <row r="36" spans="1:12" x14ac:dyDescent="0.25">
      <c r="A36">
        <v>35</v>
      </c>
      <c r="B36" t="s">
        <v>13</v>
      </c>
      <c r="D36" t="s">
        <v>14</v>
      </c>
      <c r="E36" t="s">
        <v>15</v>
      </c>
      <c r="F36">
        <v>1.5390916412658771</v>
      </c>
      <c r="G36" t="s">
        <v>16</v>
      </c>
      <c r="H36" t="s">
        <v>17</v>
      </c>
      <c r="I36" t="s">
        <v>19</v>
      </c>
      <c r="K36">
        <v>448.10647723902127</v>
      </c>
      <c r="L36">
        <v>6228.5078071252856</v>
      </c>
    </row>
    <row r="37" spans="1:12" x14ac:dyDescent="0.25">
      <c r="A37">
        <v>36</v>
      </c>
      <c r="B37" t="s">
        <v>13</v>
      </c>
      <c r="C37" t="s">
        <v>40</v>
      </c>
      <c r="D37" t="s">
        <v>21</v>
      </c>
      <c r="E37" t="s">
        <v>22</v>
      </c>
      <c r="F37">
        <v>6.0593554101050398</v>
      </c>
      <c r="G37" t="s">
        <v>23</v>
      </c>
      <c r="H37" t="s">
        <v>24</v>
      </c>
      <c r="I37" t="s">
        <v>42</v>
      </c>
      <c r="K37">
        <v>715.95594271297648</v>
      </c>
      <c r="L37">
        <v>24521.43944264745</v>
      </c>
    </row>
    <row r="38" spans="1:12" x14ac:dyDescent="0.25">
      <c r="A38">
        <v>37</v>
      </c>
      <c r="B38" t="s">
        <v>13</v>
      </c>
      <c r="D38" t="s">
        <v>14</v>
      </c>
      <c r="E38" t="s">
        <v>15</v>
      </c>
      <c r="F38">
        <v>99.093630072117989</v>
      </c>
      <c r="G38" t="s">
        <v>16</v>
      </c>
      <c r="H38" t="s">
        <v>17</v>
      </c>
      <c r="K38">
        <v>3105.6982749460149</v>
      </c>
      <c r="L38">
        <v>401019.2973518658</v>
      </c>
    </row>
    <row r="39" spans="1:12" x14ac:dyDescent="0.25">
      <c r="A39">
        <v>38</v>
      </c>
      <c r="B39" t="s">
        <v>13</v>
      </c>
      <c r="D39" t="s">
        <v>14</v>
      </c>
      <c r="E39" t="s">
        <v>15</v>
      </c>
      <c r="F39">
        <v>3.4184929901282111</v>
      </c>
      <c r="G39" t="s">
        <v>16</v>
      </c>
      <c r="H39" t="s">
        <v>17</v>
      </c>
      <c r="I39" t="s">
        <v>37</v>
      </c>
      <c r="K39">
        <v>478.51386318480832</v>
      </c>
      <c r="L39">
        <v>13834.205648796989</v>
      </c>
    </row>
    <row r="40" spans="1:12" x14ac:dyDescent="0.25">
      <c r="A40">
        <v>39</v>
      </c>
      <c r="B40" t="s">
        <v>13</v>
      </c>
      <c r="D40" t="s">
        <v>14</v>
      </c>
      <c r="E40" t="s">
        <v>15</v>
      </c>
      <c r="F40">
        <v>1.6727741743594009</v>
      </c>
      <c r="G40" t="s">
        <v>16</v>
      </c>
      <c r="H40" t="s">
        <v>17</v>
      </c>
      <c r="I40" t="s">
        <v>19</v>
      </c>
      <c r="K40">
        <v>402.23160485159161</v>
      </c>
      <c r="L40">
        <v>6769.5039887200774</v>
      </c>
    </row>
    <row r="41" spans="1:12" x14ac:dyDescent="0.25">
      <c r="A41">
        <v>40</v>
      </c>
      <c r="B41" t="s">
        <v>13</v>
      </c>
      <c r="D41" t="s">
        <v>21</v>
      </c>
      <c r="E41" t="s">
        <v>22</v>
      </c>
      <c r="F41">
        <v>1.8392729687605229</v>
      </c>
      <c r="G41" t="s">
        <v>23</v>
      </c>
      <c r="H41" t="s">
        <v>24</v>
      </c>
      <c r="I41" t="s">
        <v>44</v>
      </c>
      <c r="K41">
        <v>420.21104807385359</v>
      </c>
      <c r="L41">
        <v>7443.3033993590598</v>
      </c>
    </row>
    <row r="42" spans="1:12" x14ac:dyDescent="0.25">
      <c r="A42">
        <v>41</v>
      </c>
      <c r="B42" t="s">
        <v>13</v>
      </c>
      <c r="D42" t="s">
        <v>21</v>
      </c>
      <c r="E42" t="s">
        <v>22</v>
      </c>
      <c r="F42">
        <v>0.41418326373264069</v>
      </c>
      <c r="G42" t="s">
        <v>23</v>
      </c>
      <c r="H42" t="s">
        <v>24</v>
      </c>
      <c r="I42" t="s">
        <v>44</v>
      </c>
      <c r="K42">
        <v>252.53444795919009</v>
      </c>
      <c r="L42">
        <v>1676.1469054679469</v>
      </c>
    </row>
    <row r="43" spans="1:12" x14ac:dyDescent="0.25">
      <c r="A43">
        <v>42</v>
      </c>
      <c r="B43" t="s">
        <v>13</v>
      </c>
      <c r="D43" t="s">
        <v>14</v>
      </c>
      <c r="E43" t="s">
        <v>15</v>
      </c>
      <c r="F43">
        <v>4.4259179327923146</v>
      </c>
      <c r="G43" t="s">
        <v>16</v>
      </c>
      <c r="H43" t="s">
        <v>17</v>
      </c>
      <c r="I43" t="s">
        <v>19</v>
      </c>
      <c r="K43">
        <v>564.61126477135758</v>
      </c>
      <c r="L43">
        <v>17911.126055768491</v>
      </c>
    </row>
    <row r="44" spans="1:12" x14ac:dyDescent="0.25">
      <c r="A44">
        <v>43</v>
      </c>
      <c r="B44" t="s">
        <v>13</v>
      </c>
      <c r="D44" t="s">
        <v>30</v>
      </c>
      <c r="E44" t="s">
        <v>31</v>
      </c>
      <c r="F44">
        <v>12.234296768443579</v>
      </c>
      <c r="G44" t="s">
        <v>32</v>
      </c>
      <c r="H44" t="s">
        <v>33</v>
      </c>
      <c r="I44" t="s">
        <v>45</v>
      </c>
      <c r="K44">
        <v>960.57322293173411</v>
      </c>
      <c r="L44">
        <v>49510.640493287407</v>
      </c>
    </row>
    <row r="45" spans="1:12" x14ac:dyDescent="0.25">
      <c r="A45">
        <v>44</v>
      </c>
      <c r="B45" t="s">
        <v>13</v>
      </c>
      <c r="D45" t="s">
        <v>46</v>
      </c>
      <c r="E45" t="s">
        <v>47</v>
      </c>
      <c r="F45">
        <v>0.23550001309197821</v>
      </c>
      <c r="G45" t="s">
        <v>16</v>
      </c>
      <c r="H45" t="s">
        <v>17</v>
      </c>
      <c r="I45" t="s">
        <v>48</v>
      </c>
      <c r="K45">
        <v>114.02723425376909</v>
      </c>
      <c r="L45">
        <v>953.03855260695434</v>
      </c>
    </row>
    <row r="46" spans="1:12" x14ac:dyDescent="0.25">
      <c r="A46">
        <v>45</v>
      </c>
      <c r="B46" t="s">
        <v>13</v>
      </c>
      <c r="D46" t="s">
        <v>30</v>
      </c>
      <c r="E46" t="s">
        <v>31</v>
      </c>
      <c r="F46">
        <v>4.514241474729265</v>
      </c>
      <c r="G46" t="s">
        <v>32</v>
      </c>
      <c r="H46" t="s">
        <v>33</v>
      </c>
      <c r="I46" t="s">
        <v>49</v>
      </c>
      <c r="K46">
        <v>660.17391265436629</v>
      </c>
      <c r="L46">
        <v>18268.56017844021</v>
      </c>
    </row>
    <row r="47" spans="1:12" x14ac:dyDescent="0.25">
      <c r="A47">
        <v>46</v>
      </c>
      <c r="B47" t="s">
        <v>13</v>
      </c>
      <c r="D47" t="s">
        <v>30</v>
      </c>
      <c r="E47" t="s">
        <v>31</v>
      </c>
      <c r="F47">
        <v>11.642345529142039</v>
      </c>
      <c r="G47" t="s">
        <v>32</v>
      </c>
      <c r="H47" t="s">
        <v>33</v>
      </c>
      <c r="K47">
        <v>914.36575413701144</v>
      </c>
      <c r="L47">
        <v>47115.089236576889</v>
      </c>
    </row>
    <row r="48" spans="1:12" x14ac:dyDescent="0.25">
      <c r="A48">
        <v>47</v>
      </c>
      <c r="B48" t="s">
        <v>13</v>
      </c>
      <c r="D48" t="s">
        <v>30</v>
      </c>
      <c r="E48" t="s">
        <v>31</v>
      </c>
      <c r="F48">
        <v>0.57061230564123111</v>
      </c>
      <c r="G48" t="s">
        <v>32</v>
      </c>
      <c r="H48" t="s">
        <v>33</v>
      </c>
      <c r="K48">
        <v>193.2821472960691</v>
      </c>
      <c r="L48">
        <v>2309.1953105566931</v>
      </c>
    </row>
    <row r="49" spans="1:12" x14ac:dyDescent="0.25">
      <c r="A49">
        <v>48</v>
      </c>
      <c r="B49" t="s">
        <v>13</v>
      </c>
      <c r="D49" t="s">
        <v>14</v>
      </c>
      <c r="E49" t="s">
        <v>15</v>
      </c>
      <c r="F49">
        <v>41.017024115966983</v>
      </c>
      <c r="G49" t="s">
        <v>16</v>
      </c>
      <c r="H49" t="s">
        <v>17</v>
      </c>
      <c r="I49" t="s">
        <v>19</v>
      </c>
      <c r="K49">
        <v>1640.1966415675381</v>
      </c>
      <c r="L49">
        <v>165990.6714334584</v>
      </c>
    </row>
    <row r="50" spans="1:12" x14ac:dyDescent="0.25">
      <c r="A50">
        <v>49</v>
      </c>
      <c r="B50" t="s">
        <v>13</v>
      </c>
      <c r="C50" t="s">
        <v>50</v>
      </c>
      <c r="D50" t="s">
        <v>46</v>
      </c>
      <c r="E50" t="s">
        <v>47</v>
      </c>
      <c r="F50">
        <v>0.30067876593280529</v>
      </c>
      <c r="H50" t="s">
        <v>17</v>
      </c>
      <c r="I50" t="s">
        <v>51</v>
      </c>
      <c r="K50">
        <v>138.56320639533331</v>
      </c>
      <c r="L50">
        <v>1216.8086622242611</v>
      </c>
    </row>
    <row r="51" spans="1:12" x14ac:dyDescent="0.25">
      <c r="A51">
        <v>50</v>
      </c>
      <c r="B51" t="s">
        <v>13</v>
      </c>
      <c r="C51" t="s">
        <v>50</v>
      </c>
      <c r="D51" t="s">
        <v>30</v>
      </c>
      <c r="E51" t="s">
        <v>31</v>
      </c>
      <c r="F51">
        <v>46.401188553043689</v>
      </c>
      <c r="G51" t="s">
        <v>32</v>
      </c>
      <c r="H51" t="s">
        <v>33</v>
      </c>
      <c r="I51" t="s">
        <v>52</v>
      </c>
      <c r="K51">
        <v>1864.215307097613</v>
      </c>
      <c r="L51">
        <v>187779.6990209232</v>
      </c>
    </row>
    <row r="52" spans="1:12" x14ac:dyDescent="0.25">
      <c r="A52">
        <v>51</v>
      </c>
      <c r="B52" t="s">
        <v>13</v>
      </c>
      <c r="D52" t="s">
        <v>14</v>
      </c>
      <c r="E52" t="s">
        <v>15</v>
      </c>
      <c r="F52">
        <v>12.96754392660819</v>
      </c>
      <c r="H52" t="s">
        <v>17</v>
      </c>
      <c r="I52" t="s">
        <v>19</v>
      </c>
      <c r="K52">
        <v>2101.1408276464049</v>
      </c>
      <c r="L52">
        <v>52477.998333931893</v>
      </c>
    </row>
    <row r="53" spans="1:12" x14ac:dyDescent="0.25">
      <c r="A53">
        <v>52</v>
      </c>
      <c r="B53" t="s">
        <v>13</v>
      </c>
      <c r="D53" t="s">
        <v>14</v>
      </c>
      <c r="E53" t="s">
        <v>15</v>
      </c>
      <c r="F53">
        <v>21.162527107424189</v>
      </c>
      <c r="H53" t="s">
        <v>17</v>
      </c>
      <c r="I53" t="s">
        <v>18</v>
      </c>
      <c r="K53">
        <v>1669.3325418443781</v>
      </c>
      <c r="L53">
        <v>85642.051306756344</v>
      </c>
    </row>
    <row r="54" spans="1:12" x14ac:dyDescent="0.25">
      <c r="A54">
        <v>53</v>
      </c>
      <c r="B54" t="s">
        <v>13</v>
      </c>
      <c r="D54" t="s">
        <v>30</v>
      </c>
      <c r="E54" t="s">
        <v>31</v>
      </c>
      <c r="F54">
        <v>0.78742164858274966</v>
      </c>
      <c r="G54" t="s">
        <v>32</v>
      </c>
      <c r="H54" t="s">
        <v>33</v>
      </c>
      <c r="K54">
        <v>245.85260338191571</v>
      </c>
      <c r="L54">
        <v>3186.5951020715579</v>
      </c>
    </row>
    <row r="55" spans="1:12" x14ac:dyDescent="0.25">
      <c r="A55">
        <v>54</v>
      </c>
      <c r="B55" t="s">
        <v>13</v>
      </c>
      <c r="D55" t="s">
        <v>14</v>
      </c>
      <c r="E55" t="s">
        <v>15</v>
      </c>
      <c r="F55">
        <v>0.5116009016448797</v>
      </c>
      <c r="I55" t="s">
        <v>53</v>
      </c>
      <c r="K55">
        <v>189.9938877891706</v>
      </c>
      <c r="L55">
        <v>2070.3836760536351</v>
      </c>
    </row>
    <row r="56" spans="1:12" x14ac:dyDescent="0.25">
      <c r="A56">
        <v>55</v>
      </c>
      <c r="B56" t="s">
        <v>13</v>
      </c>
      <c r="D56" t="s">
        <v>26</v>
      </c>
      <c r="E56" t="s">
        <v>27</v>
      </c>
      <c r="F56">
        <v>9.7388184941395547E-2</v>
      </c>
      <c r="H56" t="s">
        <v>17</v>
      </c>
      <c r="I56" t="s">
        <v>54</v>
      </c>
      <c r="K56">
        <v>78.586387910833551</v>
      </c>
      <c r="L56">
        <v>394.11757816470168</v>
      </c>
    </row>
    <row r="57" spans="1:12" x14ac:dyDescent="0.25">
      <c r="A57">
        <v>56</v>
      </c>
      <c r="B57" t="s">
        <v>13</v>
      </c>
      <c r="D57" t="s">
        <v>14</v>
      </c>
      <c r="E57" t="s">
        <v>15</v>
      </c>
      <c r="F57">
        <v>4.2562127067892579</v>
      </c>
      <c r="H57" t="s">
        <v>17</v>
      </c>
      <c r="I57" t="s">
        <v>55</v>
      </c>
      <c r="K57">
        <v>734.79613351530497</v>
      </c>
      <c r="L57">
        <v>17224.3506249042</v>
      </c>
    </row>
    <row r="58" spans="1:12" x14ac:dyDescent="0.25">
      <c r="A58">
        <v>57</v>
      </c>
      <c r="B58" t="s">
        <v>13</v>
      </c>
      <c r="C58" t="s">
        <v>56</v>
      </c>
      <c r="D58" t="s">
        <v>30</v>
      </c>
      <c r="E58" t="s">
        <v>31</v>
      </c>
      <c r="F58">
        <v>3.964345735962107</v>
      </c>
      <c r="G58" t="s">
        <v>32</v>
      </c>
      <c r="H58" t="s">
        <v>33</v>
      </c>
      <c r="I58" t="s">
        <v>57</v>
      </c>
      <c r="K58">
        <v>519.79867285935848</v>
      </c>
      <c r="L58">
        <v>16043.20217493683</v>
      </c>
    </row>
    <row r="59" spans="1:12" x14ac:dyDescent="0.25">
      <c r="A59">
        <v>58</v>
      </c>
      <c r="B59" t="s">
        <v>13</v>
      </c>
      <c r="D59" t="s">
        <v>14</v>
      </c>
      <c r="E59" t="s">
        <v>15</v>
      </c>
      <c r="F59">
        <v>15.63110665783233</v>
      </c>
      <c r="H59" t="s">
        <v>17</v>
      </c>
      <c r="I59" t="s">
        <v>55</v>
      </c>
      <c r="K59">
        <v>1122.504074444581</v>
      </c>
      <c r="L59">
        <v>63257.097395604716</v>
      </c>
    </row>
    <row r="60" spans="1:12" x14ac:dyDescent="0.25">
      <c r="A60">
        <v>59</v>
      </c>
      <c r="B60" t="s">
        <v>13</v>
      </c>
      <c r="D60" t="s">
        <v>26</v>
      </c>
      <c r="E60" t="s">
        <v>27</v>
      </c>
      <c r="F60">
        <v>0.1014388219709129</v>
      </c>
      <c r="H60" t="s">
        <v>17</v>
      </c>
      <c r="I60" t="s">
        <v>54</v>
      </c>
      <c r="K60">
        <v>81.528490728264345</v>
      </c>
      <c r="L60">
        <v>410.50999021199789</v>
      </c>
    </row>
    <row r="61" spans="1:12" x14ac:dyDescent="0.25">
      <c r="A61">
        <v>60</v>
      </c>
      <c r="B61" t="s">
        <v>13</v>
      </c>
      <c r="D61" t="s">
        <v>14</v>
      </c>
      <c r="E61" t="s">
        <v>15</v>
      </c>
      <c r="F61">
        <v>13.859564264401881</v>
      </c>
      <c r="H61" t="s">
        <v>17</v>
      </c>
      <c r="I61" t="s">
        <v>19</v>
      </c>
      <c r="K61">
        <v>1098.640664780605</v>
      </c>
      <c r="L61">
        <v>56087.89100639995</v>
      </c>
    </row>
    <row r="62" spans="1:12" x14ac:dyDescent="0.25">
      <c r="A62">
        <v>61</v>
      </c>
      <c r="B62" t="s">
        <v>13</v>
      </c>
      <c r="D62" t="s">
        <v>14</v>
      </c>
      <c r="E62" t="s">
        <v>15</v>
      </c>
      <c r="F62">
        <v>0.57618212529880808</v>
      </c>
      <c r="H62" t="s">
        <v>17</v>
      </c>
      <c r="I62" t="s">
        <v>19</v>
      </c>
      <c r="K62">
        <v>227.6006711385364</v>
      </c>
      <c r="L62">
        <v>2331.735661170881</v>
      </c>
    </row>
    <row r="63" spans="1:12" x14ac:dyDescent="0.25">
      <c r="A63">
        <v>62</v>
      </c>
      <c r="B63" t="s">
        <v>13</v>
      </c>
      <c r="D63" t="s">
        <v>26</v>
      </c>
      <c r="E63" t="s">
        <v>27</v>
      </c>
      <c r="F63">
        <v>0.1237539034638247</v>
      </c>
      <c r="H63" t="s">
        <v>17</v>
      </c>
      <c r="I63" t="s">
        <v>54</v>
      </c>
      <c r="K63">
        <v>88.677726075063617</v>
      </c>
      <c r="L63">
        <v>500.81628229277459</v>
      </c>
    </row>
    <row r="64" spans="1:12" x14ac:dyDescent="0.25">
      <c r="A64">
        <v>63</v>
      </c>
      <c r="B64" t="s">
        <v>13</v>
      </c>
      <c r="C64" t="s">
        <v>56</v>
      </c>
      <c r="D64" t="s">
        <v>30</v>
      </c>
      <c r="E64" t="s">
        <v>31</v>
      </c>
      <c r="F64">
        <v>2.1379234707117778</v>
      </c>
      <c r="G64" t="s">
        <v>32</v>
      </c>
      <c r="H64" t="s">
        <v>33</v>
      </c>
      <c r="I64" t="s">
        <v>57</v>
      </c>
      <c r="K64">
        <v>364.75083238867171</v>
      </c>
      <c r="L64">
        <v>8651.9039356307931</v>
      </c>
    </row>
    <row r="65" spans="1:12" x14ac:dyDescent="0.25">
      <c r="A65">
        <v>64</v>
      </c>
      <c r="B65" t="s">
        <v>13</v>
      </c>
      <c r="C65" t="s">
        <v>56</v>
      </c>
      <c r="D65" t="s">
        <v>30</v>
      </c>
      <c r="E65" t="s">
        <v>31</v>
      </c>
      <c r="F65">
        <v>0.27604312309591528</v>
      </c>
      <c r="G65" t="s">
        <v>32</v>
      </c>
      <c r="H65" t="s">
        <v>33</v>
      </c>
      <c r="I65" t="s">
        <v>57</v>
      </c>
      <c r="K65">
        <v>151.79458887233091</v>
      </c>
      <c r="L65">
        <v>1117.111354001006</v>
      </c>
    </row>
    <row r="66" spans="1:12" x14ac:dyDescent="0.25">
      <c r="A66">
        <v>65</v>
      </c>
      <c r="B66" t="s">
        <v>13</v>
      </c>
      <c r="D66" t="s">
        <v>30</v>
      </c>
      <c r="E66" t="s">
        <v>31</v>
      </c>
      <c r="F66">
        <v>0.1433056485059965</v>
      </c>
      <c r="G66" t="s">
        <v>32</v>
      </c>
      <c r="H66" t="s">
        <v>33</v>
      </c>
      <c r="I66" t="s">
        <v>58</v>
      </c>
      <c r="K66">
        <v>96.921907792861219</v>
      </c>
      <c r="L66">
        <v>579.93970377918413</v>
      </c>
    </row>
    <row r="67" spans="1:12" x14ac:dyDescent="0.25">
      <c r="A67">
        <v>66</v>
      </c>
      <c r="B67" t="s">
        <v>13</v>
      </c>
      <c r="C67" t="s">
        <v>56</v>
      </c>
      <c r="D67" t="s">
        <v>30</v>
      </c>
      <c r="E67" t="s">
        <v>31</v>
      </c>
      <c r="F67">
        <v>6.1989779739592876</v>
      </c>
      <c r="G67" t="s">
        <v>32</v>
      </c>
      <c r="H67" t="s">
        <v>33</v>
      </c>
      <c r="I67" t="s">
        <v>57</v>
      </c>
      <c r="K67">
        <v>778.0180093483433</v>
      </c>
      <c r="L67">
        <v>25086.474172029619</v>
      </c>
    </row>
    <row r="68" spans="1:12" x14ac:dyDescent="0.25">
      <c r="A68">
        <v>67</v>
      </c>
      <c r="B68" t="s">
        <v>13</v>
      </c>
      <c r="C68" t="s">
        <v>56</v>
      </c>
      <c r="D68" t="s">
        <v>30</v>
      </c>
      <c r="E68" t="s">
        <v>31</v>
      </c>
      <c r="F68">
        <v>2.866269252016425</v>
      </c>
      <c r="G68" t="s">
        <v>32</v>
      </c>
      <c r="H68" t="s">
        <v>33</v>
      </c>
      <c r="I68" t="s">
        <v>57</v>
      </c>
      <c r="K68">
        <v>526.20779723949966</v>
      </c>
      <c r="L68">
        <v>11599.42652851003</v>
      </c>
    </row>
    <row r="69" spans="1:12" x14ac:dyDescent="0.25">
      <c r="A69">
        <v>68</v>
      </c>
      <c r="B69" t="s">
        <v>13</v>
      </c>
      <c r="C69" t="s">
        <v>56</v>
      </c>
      <c r="D69" t="s">
        <v>30</v>
      </c>
      <c r="E69" t="s">
        <v>31</v>
      </c>
      <c r="F69">
        <v>5.9979624422513744</v>
      </c>
      <c r="G69" t="s">
        <v>32</v>
      </c>
      <c r="H69" t="s">
        <v>33</v>
      </c>
      <c r="I69" t="s">
        <v>57</v>
      </c>
      <c r="K69">
        <v>792.27693954228971</v>
      </c>
      <c r="L69">
        <v>24272.989922601559</v>
      </c>
    </row>
    <row r="70" spans="1:12" x14ac:dyDescent="0.25">
      <c r="A70">
        <v>69</v>
      </c>
      <c r="B70" t="s">
        <v>13</v>
      </c>
      <c r="D70" t="s">
        <v>30</v>
      </c>
      <c r="E70" t="s">
        <v>31</v>
      </c>
      <c r="F70">
        <v>7.8571378459211818</v>
      </c>
      <c r="G70" t="s">
        <v>32</v>
      </c>
      <c r="H70" t="s">
        <v>33</v>
      </c>
      <c r="I70" t="s">
        <v>59</v>
      </c>
      <c r="K70">
        <v>847.72488038630695</v>
      </c>
      <c r="L70">
        <v>31796.835940664809</v>
      </c>
    </row>
    <row r="71" spans="1:12" x14ac:dyDescent="0.25">
      <c r="A71">
        <v>70</v>
      </c>
      <c r="B71" t="s">
        <v>13</v>
      </c>
      <c r="D71" t="s">
        <v>60</v>
      </c>
      <c r="E71" t="s">
        <v>61</v>
      </c>
      <c r="F71">
        <v>0.47103991525071842</v>
      </c>
      <c r="G71" t="s">
        <v>43</v>
      </c>
      <c r="H71" t="s">
        <v>62</v>
      </c>
      <c r="I71" t="s">
        <v>63</v>
      </c>
      <c r="K71">
        <v>184.01458454552809</v>
      </c>
      <c r="L71">
        <v>1906.238531185621</v>
      </c>
    </row>
    <row r="72" spans="1:12" x14ac:dyDescent="0.25">
      <c r="A72">
        <v>71</v>
      </c>
      <c r="B72" t="s">
        <v>13</v>
      </c>
      <c r="C72" t="s">
        <v>56</v>
      </c>
      <c r="D72" t="s">
        <v>34</v>
      </c>
      <c r="E72" t="s">
        <v>35</v>
      </c>
      <c r="F72">
        <v>0.1635332895983585</v>
      </c>
      <c r="H72" t="s">
        <v>17</v>
      </c>
      <c r="I72" t="s">
        <v>64</v>
      </c>
      <c r="K72">
        <v>143.27751204313711</v>
      </c>
      <c r="L72">
        <v>661.798390478231</v>
      </c>
    </row>
    <row r="73" spans="1:12" x14ac:dyDescent="0.25">
      <c r="A73">
        <v>72</v>
      </c>
      <c r="B73" t="s">
        <v>13</v>
      </c>
      <c r="D73" t="s">
        <v>14</v>
      </c>
      <c r="E73" t="s">
        <v>15</v>
      </c>
      <c r="F73">
        <v>15.219980559849891</v>
      </c>
      <c r="H73" t="s">
        <v>17</v>
      </c>
      <c r="I73" t="s">
        <v>19</v>
      </c>
      <c r="K73">
        <v>1185.736605089699</v>
      </c>
      <c r="L73">
        <v>61593.322450475091</v>
      </c>
    </row>
    <row r="74" spans="1:12" x14ac:dyDescent="0.25">
      <c r="A74">
        <v>73</v>
      </c>
      <c r="B74" t="s">
        <v>13</v>
      </c>
      <c r="D74" t="s">
        <v>60</v>
      </c>
      <c r="E74" t="s">
        <v>61</v>
      </c>
      <c r="F74">
        <v>0.54479169100045843</v>
      </c>
      <c r="G74" t="s">
        <v>43</v>
      </c>
      <c r="H74" t="s">
        <v>62</v>
      </c>
      <c r="I74" t="s">
        <v>63</v>
      </c>
      <c r="K74">
        <v>214.5305941749657</v>
      </c>
      <c r="L74">
        <v>2204.7025723968318</v>
      </c>
    </row>
    <row r="75" spans="1:12" x14ac:dyDescent="0.25">
      <c r="A75">
        <v>74</v>
      </c>
      <c r="B75" t="s">
        <v>13</v>
      </c>
      <c r="C75" t="s">
        <v>56</v>
      </c>
      <c r="D75" t="s">
        <v>14</v>
      </c>
      <c r="E75" t="s">
        <v>15</v>
      </c>
      <c r="F75">
        <v>1.0209556155836079</v>
      </c>
      <c r="H75" t="s">
        <v>17</v>
      </c>
      <c r="I75" t="s">
        <v>19</v>
      </c>
      <c r="K75">
        <v>271.87882482178281</v>
      </c>
      <c r="L75">
        <v>4131.6773166026096</v>
      </c>
    </row>
    <row r="76" spans="1:12" x14ac:dyDescent="0.25">
      <c r="A76">
        <v>75</v>
      </c>
      <c r="B76" t="s">
        <v>13</v>
      </c>
      <c r="C76" t="s">
        <v>56</v>
      </c>
      <c r="D76" t="s">
        <v>14</v>
      </c>
      <c r="E76" t="s">
        <v>15</v>
      </c>
      <c r="F76">
        <v>0.323504196577176</v>
      </c>
      <c r="H76" t="s">
        <v>17</v>
      </c>
      <c r="I76" t="s">
        <v>19</v>
      </c>
      <c r="K76">
        <v>199.52568038968269</v>
      </c>
      <c r="L76">
        <v>1309.1802723075491</v>
      </c>
    </row>
    <row r="77" spans="1:12" x14ac:dyDescent="0.25">
      <c r="A77">
        <v>76</v>
      </c>
      <c r="B77" t="s">
        <v>13</v>
      </c>
      <c r="C77" t="s">
        <v>56</v>
      </c>
      <c r="D77" t="s">
        <v>30</v>
      </c>
      <c r="E77" t="s">
        <v>31</v>
      </c>
      <c r="F77">
        <v>0.72679688937350617</v>
      </c>
      <c r="G77" t="s">
        <v>32</v>
      </c>
      <c r="H77" t="s">
        <v>33</v>
      </c>
      <c r="I77" t="s">
        <v>65</v>
      </c>
      <c r="K77">
        <v>230.06009063618541</v>
      </c>
      <c r="L77">
        <v>2941.2544245474492</v>
      </c>
    </row>
    <row r="78" spans="1:12" x14ac:dyDescent="0.25">
      <c r="A78">
        <v>77</v>
      </c>
      <c r="B78" t="s">
        <v>13</v>
      </c>
      <c r="C78" t="s">
        <v>56</v>
      </c>
      <c r="D78" t="s">
        <v>30</v>
      </c>
      <c r="E78" t="s">
        <v>31</v>
      </c>
      <c r="F78">
        <v>1.822963497737202</v>
      </c>
      <c r="G78" t="s">
        <v>32</v>
      </c>
      <c r="H78" t="s">
        <v>33</v>
      </c>
      <c r="I78" t="s">
        <v>65</v>
      </c>
      <c r="K78">
        <v>362.03123970490333</v>
      </c>
      <c r="L78">
        <v>7377.3010477932467</v>
      </c>
    </row>
    <row r="79" spans="1:12" x14ac:dyDescent="0.25">
      <c r="A79">
        <v>78</v>
      </c>
      <c r="B79" t="s">
        <v>13</v>
      </c>
      <c r="D79" t="s">
        <v>14</v>
      </c>
      <c r="E79" t="s">
        <v>15</v>
      </c>
      <c r="F79">
        <v>7.226741436772099</v>
      </c>
      <c r="H79" t="s">
        <v>17</v>
      </c>
      <c r="I79" t="s">
        <v>18</v>
      </c>
      <c r="K79">
        <v>730.42269469424468</v>
      </c>
      <c r="L79">
        <v>29245.7019791163</v>
      </c>
    </row>
    <row r="80" spans="1:12" x14ac:dyDescent="0.25">
      <c r="A80">
        <v>79</v>
      </c>
      <c r="B80" t="s">
        <v>13</v>
      </c>
      <c r="C80" t="s">
        <v>56</v>
      </c>
      <c r="D80" t="s">
        <v>30</v>
      </c>
      <c r="E80" t="s">
        <v>31</v>
      </c>
      <c r="F80">
        <v>2.8056022791637369</v>
      </c>
      <c r="G80" t="s">
        <v>32</v>
      </c>
      <c r="H80" t="s">
        <v>33</v>
      </c>
      <c r="I80" t="s">
        <v>65</v>
      </c>
      <c r="K80">
        <v>514.12643676438972</v>
      </c>
      <c r="L80">
        <v>11353.915017748501</v>
      </c>
    </row>
    <row r="81" spans="1:12" x14ac:dyDescent="0.25">
      <c r="A81">
        <v>80</v>
      </c>
      <c r="B81" t="s">
        <v>13</v>
      </c>
      <c r="D81" t="s">
        <v>14</v>
      </c>
      <c r="E81" t="s">
        <v>15</v>
      </c>
      <c r="F81">
        <v>4.5766629146958246</v>
      </c>
      <c r="H81" t="s">
        <v>17</v>
      </c>
      <c r="I81" t="s">
        <v>19</v>
      </c>
      <c r="K81">
        <v>685.24962545862763</v>
      </c>
      <c r="L81">
        <v>18521.171794109789</v>
      </c>
    </row>
    <row r="82" spans="1:12" x14ac:dyDescent="0.25">
      <c r="A82">
        <v>81</v>
      </c>
      <c r="B82" t="s">
        <v>13</v>
      </c>
      <c r="D82" t="s">
        <v>14</v>
      </c>
      <c r="E82" t="s">
        <v>15</v>
      </c>
      <c r="F82">
        <v>6.1121023874034863</v>
      </c>
      <c r="H82" t="s">
        <v>17</v>
      </c>
      <c r="I82" t="s">
        <v>19</v>
      </c>
      <c r="K82">
        <v>738.09615064677541</v>
      </c>
      <c r="L82">
        <v>24734.899740330191</v>
      </c>
    </row>
    <row r="83" spans="1:12" x14ac:dyDescent="0.25">
      <c r="A83">
        <v>82</v>
      </c>
      <c r="B83" t="s">
        <v>13</v>
      </c>
      <c r="C83" t="s">
        <v>56</v>
      </c>
      <c r="D83" t="s">
        <v>30</v>
      </c>
      <c r="E83" t="s">
        <v>31</v>
      </c>
      <c r="F83">
        <v>1.294584687014833</v>
      </c>
      <c r="G83" t="s">
        <v>32</v>
      </c>
      <c r="H83" t="s">
        <v>33</v>
      </c>
      <c r="I83" t="s">
        <v>65</v>
      </c>
      <c r="K83">
        <v>305.69499107675159</v>
      </c>
      <c r="L83">
        <v>5239.01931104296</v>
      </c>
    </row>
    <row r="84" spans="1:12" x14ac:dyDescent="0.25">
      <c r="A84">
        <v>83</v>
      </c>
      <c r="B84" t="s">
        <v>13</v>
      </c>
      <c r="C84" t="s">
        <v>56</v>
      </c>
      <c r="D84" t="s">
        <v>30</v>
      </c>
      <c r="E84" t="s">
        <v>31</v>
      </c>
      <c r="F84">
        <v>1.2127169120995669</v>
      </c>
      <c r="G84" t="s">
        <v>32</v>
      </c>
      <c r="H84" t="s">
        <v>33</v>
      </c>
      <c r="I84" t="s">
        <v>65</v>
      </c>
      <c r="K84">
        <v>276.94038109468181</v>
      </c>
      <c r="L84">
        <v>4907.7108551070178</v>
      </c>
    </row>
    <row r="85" spans="1:12" x14ac:dyDescent="0.25">
      <c r="A85">
        <v>84</v>
      </c>
      <c r="B85" t="s">
        <v>13</v>
      </c>
      <c r="C85" t="s">
        <v>56</v>
      </c>
      <c r="D85" t="s">
        <v>30</v>
      </c>
      <c r="E85" t="s">
        <v>31</v>
      </c>
      <c r="F85">
        <v>19.639856592375139</v>
      </c>
      <c r="G85" t="s">
        <v>32</v>
      </c>
      <c r="H85" t="s">
        <v>33</v>
      </c>
      <c r="I85" t="s">
        <v>57</v>
      </c>
      <c r="K85">
        <v>1538.8761885621809</v>
      </c>
      <c r="L85">
        <v>79479.997705541202</v>
      </c>
    </row>
    <row r="86" spans="1:12" x14ac:dyDescent="0.25">
      <c r="A86">
        <v>85</v>
      </c>
      <c r="B86" t="s">
        <v>13</v>
      </c>
      <c r="C86" t="s">
        <v>56</v>
      </c>
      <c r="D86" t="s">
        <v>30</v>
      </c>
      <c r="E86" t="s">
        <v>31</v>
      </c>
      <c r="F86">
        <v>0.32754556875718033</v>
      </c>
      <c r="G86" t="s">
        <v>32</v>
      </c>
      <c r="H86" t="s">
        <v>33</v>
      </c>
      <c r="I86" t="s">
        <v>65</v>
      </c>
      <c r="K86">
        <v>151.77772753537681</v>
      </c>
      <c r="L86">
        <v>1325.535190689116</v>
      </c>
    </row>
    <row r="87" spans="1:12" x14ac:dyDescent="0.25">
      <c r="A87">
        <v>86</v>
      </c>
      <c r="B87" t="s">
        <v>13</v>
      </c>
      <c r="D87" t="s">
        <v>14</v>
      </c>
      <c r="E87" t="s">
        <v>15</v>
      </c>
      <c r="F87">
        <v>1.2977635113177159</v>
      </c>
      <c r="I87" t="s">
        <v>37</v>
      </c>
      <c r="K87">
        <v>396.93799363500892</v>
      </c>
      <c r="L87">
        <v>5251.8836080458968</v>
      </c>
    </row>
    <row r="88" spans="1:12" x14ac:dyDescent="0.25">
      <c r="A88">
        <v>87</v>
      </c>
      <c r="B88" t="s">
        <v>13</v>
      </c>
      <c r="D88" t="s">
        <v>30</v>
      </c>
      <c r="E88" t="s">
        <v>31</v>
      </c>
      <c r="F88">
        <v>2.0057197685923152</v>
      </c>
      <c r="G88" t="s">
        <v>32</v>
      </c>
      <c r="H88" t="s">
        <v>33</v>
      </c>
      <c r="I88" t="s">
        <v>59</v>
      </c>
      <c r="K88">
        <v>458.95507896254293</v>
      </c>
      <c r="L88">
        <v>8116.8923945995612</v>
      </c>
    </row>
    <row r="89" spans="1:12" x14ac:dyDescent="0.25">
      <c r="A89">
        <v>88</v>
      </c>
      <c r="B89" t="s">
        <v>13</v>
      </c>
      <c r="C89" t="s">
        <v>56</v>
      </c>
      <c r="D89" t="s">
        <v>30</v>
      </c>
      <c r="E89" t="s">
        <v>31</v>
      </c>
      <c r="F89">
        <v>7.3640709454104218</v>
      </c>
      <c r="G89" t="s">
        <v>32</v>
      </c>
      <c r="H89" t="s">
        <v>33</v>
      </c>
      <c r="I89" t="s">
        <v>57</v>
      </c>
      <c r="K89">
        <v>712.99612675103253</v>
      </c>
      <c r="L89">
        <v>29801.457006152221</v>
      </c>
    </row>
    <row r="90" spans="1:12" x14ac:dyDescent="0.25">
      <c r="A90">
        <v>89</v>
      </c>
      <c r="B90" t="s">
        <v>13</v>
      </c>
      <c r="D90" t="s">
        <v>14</v>
      </c>
      <c r="E90" t="s">
        <v>15</v>
      </c>
      <c r="F90">
        <v>9.8479510576411045</v>
      </c>
      <c r="H90" t="s">
        <v>17</v>
      </c>
      <c r="I90" t="s">
        <v>19</v>
      </c>
      <c r="K90">
        <v>789.9760580737335</v>
      </c>
      <c r="L90">
        <v>39853.403398549963</v>
      </c>
    </row>
    <row r="91" spans="1:12" x14ac:dyDescent="0.25">
      <c r="A91">
        <v>90</v>
      </c>
      <c r="B91" t="s">
        <v>13</v>
      </c>
      <c r="D91" t="s">
        <v>14</v>
      </c>
      <c r="E91" t="s">
        <v>15</v>
      </c>
      <c r="F91">
        <v>2.2443214895382582</v>
      </c>
      <c r="H91" t="s">
        <v>17</v>
      </c>
      <c r="I91" t="s">
        <v>19</v>
      </c>
      <c r="K91">
        <v>505.29063523433621</v>
      </c>
      <c r="L91">
        <v>9082.4831637645584</v>
      </c>
    </row>
    <row r="92" spans="1:12" x14ac:dyDescent="0.25">
      <c r="A92">
        <v>91</v>
      </c>
      <c r="B92" t="s">
        <v>13</v>
      </c>
      <c r="C92" t="s">
        <v>56</v>
      </c>
      <c r="D92" t="s">
        <v>30</v>
      </c>
      <c r="E92" t="s">
        <v>31</v>
      </c>
      <c r="F92">
        <v>0.80065442000949794</v>
      </c>
      <c r="G92" t="s">
        <v>32</v>
      </c>
      <c r="H92" t="s">
        <v>33</v>
      </c>
      <c r="I92" t="s">
        <v>57</v>
      </c>
      <c r="K92">
        <v>272.90786469655518</v>
      </c>
      <c r="L92">
        <v>3240.146442311192</v>
      </c>
    </row>
    <row r="93" spans="1:12" x14ac:dyDescent="0.25">
      <c r="A93">
        <v>92</v>
      </c>
      <c r="B93" t="s">
        <v>13</v>
      </c>
      <c r="D93" t="s">
        <v>26</v>
      </c>
      <c r="E93" t="s">
        <v>27</v>
      </c>
      <c r="F93">
        <v>0.39742167467916623</v>
      </c>
      <c r="H93" t="s">
        <v>17</v>
      </c>
      <c r="I93" t="s">
        <v>66</v>
      </c>
      <c r="K93">
        <v>153.5441965290961</v>
      </c>
      <c r="L93">
        <v>1608.314889829473</v>
      </c>
    </row>
    <row r="94" spans="1:12" x14ac:dyDescent="0.25">
      <c r="A94">
        <v>93</v>
      </c>
      <c r="B94" t="s">
        <v>13</v>
      </c>
      <c r="D94" t="s">
        <v>14</v>
      </c>
      <c r="E94" t="s">
        <v>15</v>
      </c>
      <c r="F94">
        <v>0.31381347792929398</v>
      </c>
      <c r="H94" t="s">
        <v>17</v>
      </c>
      <c r="I94" t="s">
        <v>67</v>
      </c>
      <c r="K94">
        <v>195.7515718752561</v>
      </c>
      <c r="L94">
        <v>1269.963168441438</v>
      </c>
    </row>
    <row r="95" spans="1:12" x14ac:dyDescent="0.25">
      <c r="A95">
        <v>94</v>
      </c>
      <c r="B95" t="s">
        <v>13</v>
      </c>
      <c r="D95" t="s">
        <v>30</v>
      </c>
      <c r="E95" t="s">
        <v>31</v>
      </c>
      <c r="F95">
        <v>8.8363887592426966</v>
      </c>
      <c r="G95" t="s">
        <v>32</v>
      </c>
      <c r="H95" t="s">
        <v>33</v>
      </c>
      <c r="I95" t="s">
        <v>19</v>
      </c>
      <c r="K95">
        <v>985.84396603065306</v>
      </c>
      <c r="L95">
        <v>35759.739639979991</v>
      </c>
    </row>
    <row r="96" spans="1:12" x14ac:dyDescent="0.25">
      <c r="A96">
        <v>95</v>
      </c>
      <c r="B96" t="s">
        <v>13</v>
      </c>
      <c r="C96" t="s">
        <v>56</v>
      </c>
      <c r="D96" t="s">
        <v>30</v>
      </c>
      <c r="E96" t="s">
        <v>31</v>
      </c>
      <c r="F96">
        <v>3.0522739617000409</v>
      </c>
      <c r="G96" t="s">
        <v>32</v>
      </c>
      <c r="H96" t="s">
        <v>33</v>
      </c>
      <c r="I96" t="s">
        <v>57</v>
      </c>
      <c r="K96">
        <v>461.33707213746732</v>
      </c>
      <c r="L96">
        <v>12352.163893436271</v>
      </c>
    </row>
    <row r="97" spans="1:12" x14ac:dyDescent="0.25">
      <c r="A97">
        <v>96</v>
      </c>
      <c r="B97" t="s">
        <v>13</v>
      </c>
      <c r="C97" t="s">
        <v>56</v>
      </c>
      <c r="D97" t="s">
        <v>14</v>
      </c>
      <c r="E97" t="s">
        <v>15</v>
      </c>
      <c r="F97">
        <v>4.0645971670176699</v>
      </c>
      <c r="H97" t="s">
        <v>17</v>
      </c>
      <c r="I97" t="s">
        <v>19</v>
      </c>
      <c r="K97">
        <v>564.65066274167282</v>
      </c>
      <c r="L97">
        <v>16448.90694537629</v>
      </c>
    </row>
    <row r="98" spans="1:12" x14ac:dyDescent="0.25">
      <c r="A98">
        <v>97</v>
      </c>
      <c r="B98" t="s">
        <v>13</v>
      </c>
      <c r="C98" t="s">
        <v>56</v>
      </c>
      <c r="D98" t="s">
        <v>30</v>
      </c>
      <c r="E98" t="s">
        <v>31</v>
      </c>
      <c r="F98">
        <v>0.69462140502751968</v>
      </c>
      <c r="G98" t="s">
        <v>32</v>
      </c>
      <c r="H98" t="s">
        <v>33</v>
      </c>
      <c r="I98" t="s">
        <v>57</v>
      </c>
      <c r="K98">
        <v>228.77902459587759</v>
      </c>
      <c r="L98">
        <v>2811.0443382382382</v>
      </c>
    </row>
    <row r="99" spans="1:12" x14ac:dyDescent="0.25">
      <c r="A99">
        <v>98</v>
      </c>
      <c r="B99" t="s">
        <v>13</v>
      </c>
      <c r="C99" t="s">
        <v>56</v>
      </c>
      <c r="D99" t="s">
        <v>30</v>
      </c>
      <c r="E99" t="s">
        <v>31</v>
      </c>
      <c r="F99">
        <v>0.48788184373445792</v>
      </c>
      <c r="G99" t="s">
        <v>32</v>
      </c>
      <c r="H99" t="s">
        <v>33</v>
      </c>
      <c r="I99" t="s">
        <v>57</v>
      </c>
      <c r="K99">
        <v>189.9315550170179</v>
      </c>
      <c r="L99">
        <v>1974.3956702639271</v>
      </c>
    </row>
    <row r="100" spans="1:12" x14ac:dyDescent="0.25">
      <c r="A100">
        <v>99</v>
      </c>
      <c r="B100" t="s">
        <v>13</v>
      </c>
      <c r="C100" t="s">
        <v>56</v>
      </c>
      <c r="D100" t="s">
        <v>30</v>
      </c>
      <c r="E100" t="s">
        <v>31</v>
      </c>
      <c r="F100">
        <v>3.8000984372227129</v>
      </c>
      <c r="G100" t="s">
        <v>32</v>
      </c>
      <c r="H100" t="s">
        <v>33</v>
      </c>
      <c r="I100" t="s">
        <v>57</v>
      </c>
      <c r="K100">
        <v>681.7793521000732</v>
      </c>
      <c r="L100">
        <v>15378.514280422551</v>
      </c>
    </row>
    <row r="101" spans="1:12" x14ac:dyDescent="0.25">
      <c r="A101">
        <v>100</v>
      </c>
      <c r="B101" t="s">
        <v>13</v>
      </c>
      <c r="D101" t="s">
        <v>14</v>
      </c>
      <c r="E101" t="s">
        <v>15</v>
      </c>
      <c r="F101">
        <v>0.16184019117444101</v>
      </c>
      <c r="H101" t="s">
        <v>17</v>
      </c>
      <c r="I101" t="s">
        <v>68</v>
      </c>
      <c r="K101">
        <v>97.886246262034263</v>
      </c>
      <c r="L101">
        <v>654.94663684065779</v>
      </c>
    </row>
    <row r="102" spans="1:12" x14ac:dyDescent="0.25">
      <c r="A102">
        <v>101</v>
      </c>
      <c r="B102" t="s">
        <v>13</v>
      </c>
      <c r="D102" t="s">
        <v>14</v>
      </c>
      <c r="E102" t="s">
        <v>15</v>
      </c>
      <c r="F102">
        <v>0.47241248561948268</v>
      </c>
      <c r="H102" t="s">
        <v>17</v>
      </c>
      <c r="I102" t="s">
        <v>19</v>
      </c>
      <c r="K102">
        <v>177.22735980761351</v>
      </c>
      <c r="L102">
        <v>1911.793148616099</v>
      </c>
    </row>
    <row r="103" spans="1:12" x14ac:dyDescent="0.25">
      <c r="A103">
        <v>102</v>
      </c>
      <c r="B103" t="s">
        <v>13</v>
      </c>
      <c r="C103" t="s">
        <v>56</v>
      </c>
      <c r="D103" t="s">
        <v>30</v>
      </c>
      <c r="E103" t="s">
        <v>31</v>
      </c>
      <c r="F103">
        <v>0.40204534923556129</v>
      </c>
      <c r="G103" t="s">
        <v>32</v>
      </c>
      <c r="H103" t="s">
        <v>33</v>
      </c>
      <c r="I103" t="s">
        <v>69</v>
      </c>
      <c r="K103">
        <v>174.08563174481179</v>
      </c>
      <c r="L103">
        <v>1627.0263117487209</v>
      </c>
    </row>
    <row r="104" spans="1:12" x14ac:dyDescent="0.25">
      <c r="A104">
        <v>103</v>
      </c>
      <c r="B104" t="s">
        <v>13</v>
      </c>
      <c r="D104" t="s">
        <v>34</v>
      </c>
      <c r="E104" t="s">
        <v>35</v>
      </c>
      <c r="F104">
        <v>0.39719275548284938</v>
      </c>
      <c r="H104" t="s">
        <v>17</v>
      </c>
      <c r="I104" t="s">
        <v>54</v>
      </c>
      <c r="K104">
        <v>177.09079445433659</v>
      </c>
      <c r="L104">
        <v>1607.388483004024</v>
      </c>
    </row>
    <row r="105" spans="1:12" x14ac:dyDescent="0.25">
      <c r="A105">
        <v>104</v>
      </c>
      <c r="B105" t="s">
        <v>13</v>
      </c>
      <c r="D105" t="s">
        <v>60</v>
      </c>
      <c r="E105" t="s">
        <v>61</v>
      </c>
      <c r="F105">
        <v>0.20792662484630919</v>
      </c>
      <c r="G105" t="s">
        <v>43</v>
      </c>
      <c r="H105" t="s">
        <v>62</v>
      </c>
      <c r="I105" t="s">
        <v>68</v>
      </c>
      <c r="K105">
        <v>115.91131456756411</v>
      </c>
      <c r="L105">
        <v>841.45256295412776</v>
      </c>
    </row>
    <row r="106" spans="1:12" x14ac:dyDescent="0.25">
      <c r="A106">
        <v>105</v>
      </c>
      <c r="B106" t="s">
        <v>13</v>
      </c>
      <c r="C106" t="s">
        <v>56</v>
      </c>
      <c r="D106" t="s">
        <v>30</v>
      </c>
      <c r="E106" t="s">
        <v>31</v>
      </c>
      <c r="F106">
        <v>2.412939105561434</v>
      </c>
      <c r="G106" t="s">
        <v>32</v>
      </c>
      <c r="H106" t="s">
        <v>33</v>
      </c>
      <c r="I106" t="s">
        <v>57</v>
      </c>
      <c r="K106">
        <v>417.5799915893092</v>
      </c>
      <c r="L106">
        <v>9764.8571755910452</v>
      </c>
    </row>
    <row r="107" spans="1:12" x14ac:dyDescent="0.25">
      <c r="A107">
        <v>106</v>
      </c>
      <c r="B107" t="s">
        <v>13</v>
      </c>
      <c r="D107" t="s">
        <v>14</v>
      </c>
      <c r="E107" t="s">
        <v>15</v>
      </c>
      <c r="F107">
        <v>0.86185747806523794</v>
      </c>
      <c r="H107" t="s">
        <v>17</v>
      </c>
      <c r="I107" t="s">
        <v>19</v>
      </c>
      <c r="K107">
        <v>248.7151080693007</v>
      </c>
      <c r="L107">
        <v>3487.8274215975098</v>
      </c>
    </row>
    <row r="108" spans="1:12" x14ac:dyDescent="0.25">
      <c r="A108">
        <v>107</v>
      </c>
      <c r="B108" t="s">
        <v>13</v>
      </c>
      <c r="D108" t="s">
        <v>14</v>
      </c>
      <c r="E108" t="s">
        <v>15</v>
      </c>
      <c r="F108">
        <v>7.4118342457941647E-2</v>
      </c>
      <c r="H108" t="s">
        <v>17</v>
      </c>
      <c r="I108" t="s">
        <v>19</v>
      </c>
      <c r="K108">
        <v>70.480008775462196</v>
      </c>
      <c r="L108">
        <v>299.94748998232387</v>
      </c>
    </row>
    <row r="109" spans="1:12" x14ac:dyDescent="0.25">
      <c r="A109">
        <v>108</v>
      </c>
      <c r="B109" t="s">
        <v>13</v>
      </c>
      <c r="D109" t="s">
        <v>30</v>
      </c>
      <c r="E109" t="s">
        <v>31</v>
      </c>
      <c r="F109">
        <v>22.32232974742633</v>
      </c>
      <c r="G109" t="s">
        <v>32</v>
      </c>
      <c r="H109" t="s">
        <v>33</v>
      </c>
      <c r="I109" t="s">
        <v>18</v>
      </c>
      <c r="K109">
        <v>1256.351180349511</v>
      </c>
      <c r="L109">
        <v>90335.624843440834</v>
      </c>
    </row>
    <row r="110" spans="1:12" x14ac:dyDescent="0.25">
      <c r="A110">
        <v>109</v>
      </c>
      <c r="B110" t="s">
        <v>13</v>
      </c>
      <c r="C110" t="s">
        <v>56</v>
      </c>
      <c r="D110" t="s">
        <v>30</v>
      </c>
      <c r="E110" t="s">
        <v>31</v>
      </c>
      <c r="F110">
        <v>1.8608054694322911</v>
      </c>
      <c r="G110" t="s">
        <v>32</v>
      </c>
      <c r="H110" t="s">
        <v>33</v>
      </c>
      <c r="I110" t="s">
        <v>69</v>
      </c>
      <c r="K110">
        <v>405.64547026054458</v>
      </c>
      <c r="L110">
        <v>7530.4426865497389</v>
      </c>
    </row>
    <row r="111" spans="1:12" x14ac:dyDescent="0.25">
      <c r="A111">
        <v>110</v>
      </c>
      <c r="B111" t="s">
        <v>13</v>
      </c>
      <c r="C111" t="s">
        <v>56</v>
      </c>
      <c r="D111" t="s">
        <v>30</v>
      </c>
      <c r="E111" t="s">
        <v>31</v>
      </c>
      <c r="F111">
        <v>0.15799481551767641</v>
      </c>
      <c r="G111" t="s">
        <v>32</v>
      </c>
      <c r="H111" t="s">
        <v>33</v>
      </c>
      <c r="I111" t="s">
        <v>69</v>
      </c>
      <c r="K111">
        <v>108.69477183744389</v>
      </c>
      <c r="L111">
        <v>639.38489142061997</v>
      </c>
    </row>
    <row r="112" spans="1:12" x14ac:dyDescent="0.25">
      <c r="A112">
        <v>111</v>
      </c>
      <c r="B112" t="s">
        <v>13</v>
      </c>
      <c r="D112" t="s">
        <v>46</v>
      </c>
      <c r="E112" t="s">
        <v>47</v>
      </c>
      <c r="F112">
        <v>6.1112545481253653</v>
      </c>
      <c r="H112" t="s">
        <v>17</v>
      </c>
      <c r="I112" t="s">
        <v>70</v>
      </c>
      <c r="K112">
        <v>783.15469903568658</v>
      </c>
      <c r="L112">
        <v>24731.468642777989</v>
      </c>
    </row>
    <row r="113" spans="1:12" x14ac:dyDescent="0.25">
      <c r="A113">
        <v>112</v>
      </c>
      <c r="B113" t="s">
        <v>13</v>
      </c>
      <c r="D113" t="s">
        <v>30</v>
      </c>
      <c r="E113" t="s">
        <v>31</v>
      </c>
      <c r="F113">
        <v>10.307572769801791</v>
      </c>
      <c r="G113" t="s">
        <v>32</v>
      </c>
      <c r="H113" t="s">
        <v>33</v>
      </c>
      <c r="I113" t="s">
        <v>18</v>
      </c>
      <c r="K113">
        <v>1013.8897629162821</v>
      </c>
      <c r="L113">
        <v>41713.433916396549</v>
      </c>
    </row>
    <row r="114" spans="1:12" x14ac:dyDescent="0.25">
      <c r="A114">
        <v>113</v>
      </c>
      <c r="B114" t="s">
        <v>13</v>
      </c>
      <c r="C114" t="s">
        <v>56</v>
      </c>
      <c r="D114" t="s">
        <v>30</v>
      </c>
      <c r="E114" t="s">
        <v>31</v>
      </c>
      <c r="F114">
        <v>0.77540158219733413</v>
      </c>
      <c r="G114" t="s">
        <v>32</v>
      </c>
      <c r="H114" t="s">
        <v>33</v>
      </c>
      <c r="I114" t="s">
        <v>57</v>
      </c>
      <c r="K114">
        <v>227.74440355529279</v>
      </c>
      <c r="L114">
        <v>3137.9514246475501</v>
      </c>
    </row>
    <row r="115" spans="1:12" x14ac:dyDescent="0.25">
      <c r="A115">
        <v>114</v>
      </c>
      <c r="B115" t="s">
        <v>13</v>
      </c>
      <c r="D115" t="s">
        <v>14</v>
      </c>
      <c r="E115" t="s">
        <v>15</v>
      </c>
      <c r="F115">
        <v>1.186256855291721</v>
      </c>
      <c r="H115" t="s">
        <v>17</v>
      </c>
      <c r="I115" t="s">
        <v>18</v>
      </c>
      <c r="K115">
        <v>508.58050636741609</v>
      </c>
      <c r="L115">
        <v>4800.6303759556313</v>
      </c>
    </row>
    <row r="116" spans="1:12" x14ac:dyDescent="0.25">
      <c r="A116">
        <v>115</v>
      </c>
      <c r="B116" t="s">
        <v>13</v>
      </c>
      <c r="D116" t="s">
        <v>30</v>
      </c>
      <c r="E116" t="s">
        <v>31</v>
      </c>
      <c r="F116">
        <v>0.46353525970399401</v>
      </c>
      <c r="G116" t="s">
        <v>32</v>
      </c>
      <c r="H116" t="s">
        <v>33</v>
      </c>
      <c r="I116" t="s">
        <v>63</v>
      </c>
      <c r="K116">
        <v>234.1653521108843</v>
      </c>
      <c r="L116">
        <v>1875.868146207041</v>
      </c>
    </row>
    <row r="117" spans="1:12" x14ac:dyDescent="0.25">
      <c r="A117">
        <v>116</v>
      </c>
      <c r="B117" t="s">
        <v>13</v>
      </c>
      <c r="D117" t="s">
        <v>14</v>
      </c>
      <c r="E117" t="s">
        <v>15</v>
      </c>
      <c r="F117">
        <v>12.2865627244518</v>
      </c>
      <c r="H117" t="s">
        <v>17</v>
      </c>
      <c r="I117" t="s">
        <v>18</v>
      </c>
      <c r="K117">
        <v>1170.921232274799</v>
      </c>
      <c r="L117">
        <v>49722.154159085971</v>
      </c>
    </row>
    <row r="118" spans="1:12" x14ac:dyDescent="0.25">
      <c r="A118">
        <v>117</v>
      </c>
      <c r="B118" t="s">
        <v>13</v>
      </c>
      <c r="D118" t="s">
        <v>60</v>
      </c>
      <c r="E118" t="s">
        <v>61</v>
      </c>
      <c r="F118">
        <v>0.2863499262696505</v>
      </c>
      <c r="G118" t="s">
        <v>43</v>
      </c>
      <c r="H118" t="s">
        <v>62</v>
      </c>
      <c r="I118" t="s">
        <v>71</v>
      </c>
      <c r="K118">
        <v>135.40336647395171</v>
      </c>
      <c r="L118">
        <v>1158.8216734601599</v>
      </c>
    </row>
    <row r="119" spans="1:12" x14ac:dyDescent="0.25">
      <c r="A119">
        <v>118</v>
      </c>
      <c r="B119" t="s">
        <v>13</v>
      </c>
      <c r="D119" t="s">
        <v>14</v>
      </c>
      <c r="E119" t="s">
        <v>15</v>
      </c>
      <c r="F119">
        <v>12.568750259184659</v>
      </c>
      <c r="H119" t="s">
        <v>17</v>
      </c>
      <c r="I119" t="s">
        <v>18</v>
      </c>
      <c r="K119">
        <v>1193.4244003960589</v>
      </c>
      <c r="L119">
        <v>50864.131164244332</v>
      </c>
    </row>
    <row r="120" spans="1:12" x14ac:dyDescent="0.25">
      <c r="A120">
        <v>119</v>
      </c>
      <c r="B120" t="s">
        <v>13</v>
      </c>
      <c r="D120" t="s">
        <v>14</v>
      </c>
      <c r="E120" t="s">
        <v>15</v>
      </c>
      <c r="F120">
        <v>8.5266255563299538</v>
      </c>
      <c r="H120" t="s">
        <v>17</v>
      </c>
      <c r="I120" t="s">
        <v>18</v>
      </c>
      <c r="K120">
        <v>1135.762513144309</v>
      </c>
      <c r="L120">
        <v>34506.167418565492</v>
      </c>
    </row>
    <row r="121" spans="1:12" x14ac:dyDescent="0.25">
      <c r="A121">
        <v>120</v>
      </c>
      <c r="B121" t="s">
        <v>13</v>
      </c>
      <c r="D121" t="s">
        <v>14</v>
      </c>
      <c r="E121" t="s">
        <v>15</v>
      </c>
      <c r="F121">
        <v>12.245937074580061</v>
      </c>
      <c r="H121" t="s">
        <v>17</v>
      </c>
      <c r="I121" t="s">
        <v>18</v>
      </c>
      <c r="K121">
        <v>1178.251663517329</v>
      </c>
      <c r="L121">
        <v>49557.747329361657</v>
      </c>
    </row>
    <row r="122" spans="1:12" x14ac:dyDescent="0.25">
      <c r="A122">
        <v>121</v>
      </c>
      <c r="B122" t="s">
        <v>13</v>
      </c>
      <c r="C122" t="s">
        <v>56</v>
      </c>
      <c r="D122" t="s">
        <v>30</v>
      </c>
      <c r="E122" t="s">
        <v>31</v>
      </c>
      <c r="F122">
        <v>0.72005256782248972</v>
      </c>
      <c r="G122" t="s">
        <v>32</v>
      </c>
      <c r="H122" t="s">
        <v>33</v>
      </c>
      <c r="I122" t="s">
        <v>57</v>
      </c>
      <c r="K122">
        <v>223.80724440486631</v>
      </c>
      <c r="L122">
        <v>2913.9610143904561</v>
      </c>
    </row>
    <row r="123" spans="1:12" x14ac:dyDescent="0.25">
      <c r="A123">
        <v>122</v>
      </c>
      <c r="B123" t="s">
        <v>13</v>
      </c>
      <c r="D123" t="s">
        <v>14</v>
      </c>
      <c r="E123" t="s">
        <v>15</v>
      </c>
      <c r="F123">
        <v>0.1308301840048508</v>
      </c>
      <c r="H123" t="s">
        <v>17</v>
      </c>
      <c r="I123" t="s">
        <v>19</v>
      </c>
      <c r="K123">
        <v>94.223110395107113</v>
      </c>
      <c r="L123">
        <v>529.45308819403931</v>
      </c>
    </row>
    <row r="124" spans="1:12" x14ac:dyDescent="0.25">
      <c r="A124">
        <v>123</v>
      </c>
      <c r="B124" t="s">
        <v>13</v>
      </c>
      <c r="D124" t="s">
        <v>14</v>
      </c>
      <c r="E124" t="s">
        <v>15</v>
      </c>
      <c r="F124">
        <v>0.31140318121607008</v>
      </c>
      <c r="H124" t="s">
        <v>17</v>
      </c>
      <c r="I124" t="s">
        <v>19</v>
      </c>
      <c r="K124">
        <v>159.278112813327</v>
      </c>
      <c r="L124">
        <v>1260.2090046910221</v>
      </c>
    </row>
    <row r="125" spans="1:12" x14ac:dyDescent="0.25">
      <c r="A125">
        <v>124</v>
      </c>
      <c r="B125" t="s">
        <v>13</v>
      </c>
      <c r="D125" t="s">
        <v>14</v>
      </c>
      <c r="E125" t="s">
        <v>15</v>
      </c>
      <c r="F125">
        <v>30.573210723606259</v>
      </c>
      <c r="H125" t="s">
        <v>17</v>
      </c>
      <c r="I125" t="s">
        <v>18</v>
      </c>
      <c r="K125">
        <v>1746.5964729450441</v>
      </c>
      <c r="L125">
        <v>123725.8890732759</v>
      </c>
    </row>
    <row r="126" spans="1:12" x14ac:dyDescent="0.25">
      <c r="A126">
        <v>125</v>
      </c>
      <c r="B126" t="s">
        <v>13</v>
      </c>
      <c r="D126" t="s">
        <v>60</v>
      </c>
      <c r="E126" t="s">
        <v>61</v>
      </c>
      <c r="F126">
        <v>9.0568729276906942E-2</v>
      </c>
      <c r="G126" t="s">
        <v>43</v>
      </c>
      <c r="H126" t="s">
        <v>62</v>
      </c>
      <c r="I126" t="s">
        <v>19</v>
      </c>
      <c r="K126">
        <v>100.4118802780394</v>
      </c>
      <c r="L126">
        <v>366.52010982183089</v>
      </c>
    </row>
    <row r="127" spans="1:12" x14ac:dyDescent="0.25">
      <c r="A127">
        <v>126</v>
      </c>
      <c r="B127" t="s">
        <v>13</v>
      </c>
      <c r="D127" t="s">
        <v>30</v>
      </c>
      <c r="E127" t="s">
        <v>31</v>
      </c>
      <c r="F127">
        <v>0.46570439353213922</v>
      </c>
      <c r="G127" t="s">
        <v>32</v>
      </c>
      <c r="H127" t="s">
        <v>33</v>
      </c>
      <c r="I127" t="s">
        <v>57</v>
      </c>
      <c r="K127">
        <v>213.66377594854819</v>
      </c>
      <c r="L127">
        <v>1884.6463544833141</v>
      </c>
    </row>
    <row r="128" spans="1:12" x14ac:dyDescent="0.25">
      <c r="A128">
        <v>127</v>
      </c>
      <c r="B128" t="s">
        <v>13</v>
      </c>
      <c r="D128" t="s">
        <v>46</v>
      </c>
      <c r="E128" t="s">
        <v>47</v>
      </c>
      <c r="F128">
        <v>1.0991400976765611</v>
      </c>
      <c r="H128" t="s">
        <v>17</v>
      </c>
      <c r="I128" t="s">
        <v>73</v>
      </c>
      <c r="K128">
        <v>411.19124905426082</v>
      </c>
      <c r="L128">
        <v>4448.0799557017826</v>
      </c>
    </row>
    <row r="129" spans="1:12" x14ac:dyDescent="0.25">
      <c r="A129">
        <v>128</v>
      </c>
      <c r="B129" t="s">
        <v>13</v>
      </c>
      <c r="C129" t="s">
        <v>56</v>
      </c>
      <c r="D129" t="s">
        <v>30</v>
      </c>
      <c r="E129" t="s">
        <v>31</v>
      </c>
      <c r="F129">
        <v>0.78520488100920538</v>
      </c>
      <c r="G129" t="s">
        <v>32</v>
      </c>
      <c r="H129" t="s">
        <v>33</v>
      </c>
      <c r="I129" t="s">
        <v>57</v>
      </c>
      <c r="K129">
        <v>230.16589636859709</v>
      </c>
      <c r="L129">
        <v>3177.624126095724</v>
      </c>
    </row>
    <row r="130" spans="1:12" x14ac:dyDescent="0.25">
      <c r="A130">
        <v>129</v>
      </c>
      <c r="B130" t="s">
        <v>13</v>
      </c>
      <c r="D130" t="s">
        <v>14</v>
      </c>
      <c r="E130" t="s">
        <v>15</v>
      </c>
      <c r="F130">
        <v>0.1023351455846333</v>
      </c>
      <c r="H130" t="s">
        <v>17</v>
      </c>
      <c r="I130" t="s">
        <v>19</v>
      </c>
      <c r="K130">
        <v>92.321175524674317</v>
      </c>
      <c r="L130">
        <v>414.13729769394638</v>
      </c>
    </row>
    <row r="131" spans="1:12" x14ac:dyDescent="0.25">
      <c r="A131">
        <v>130</v>
      </c>
      <c r="B131" t="s">
        <v>13</v>
      </c>
      <c r="C131" t="s">
        <v>56</v>
      </c>
      <c r="D131" t="s">
        <v>30</v>
      </c>
      <c r="E131" t="s">
        <v>31</v>
      </c>
      <c r="F131">
        <v>0.109672962259944</v>
      </c>
      <c r="G131" t="s">
        <v>32</v>
      </c>
      <c r="H131" t="s">
        <v>33</v>
      </c>
      <c r="I131" t="s">
        <v>57</v>
      </c>
      <c r="K131">
        <v>99.096792265503794</v>
      </c>
      <c r="L131">
        <v>443.8325070135399</v>
      </c>
    </row>
    <row r="132" spans="1:12" x14ac:dyDescent="0.25">
      <c r="A132">
        <v>131</v>
      </c>
      <c r="B132" t="s">
        <v>13</v>
      </c>
      <c r="C132" t="s">
        <v>56</v>
      </c>
      <c r="D132" t="s">
        <v>30</v>
      </c>
      <c r="E132" t="s">
        <v>31</v>
      </c>
      <c r="F132">
        <v>0.1218798604178475</v>
      </c>
      <c r="G132" t="s">
        <v>32</v>
      </c>
      <c r="H132" t="s">
        <v>33</v>
      </c>
      <c r="I132" t="s">
        <v>57</v>
      </c>
      <c r="K132">
        <v>120.25122007763891</v>
      </c>
      <c r="L132">
        <v>493.23226882028388</v>
      </c>
    </row>
    <row r="133" spans="1:12" x14ac:dyDescent="0.25">
      <c r="A133">
        <v>132</v>
      </c>
      <c r="B133" t="s">
        <v>13</v>
      </c>
      <c r="D133" t="s">
        <v>60</v>
      </c>
      <c r="E133" t="s">
        <v>61</v>
      </c>
      <c r="F133">
        <v>0.22873667254366431</v>
      </c>
      <c r="G133" t="s">
        <v>43</v>
      </c>
      <c r="H133" t="s">
        <v>62</v>
      </c>
      <c r="I133" t="s">
        <v>19</v>
      </c>
      <c r="K133">
        <v>174.14866350978031</v>
      </c>
      <c r="L133">
        <v>925.66817499073079</v>
      </c>
    </row>
    <row r="134" spans="1:12" x14ac:dyDescent="0.25">
      <c r="A134">
        <v>133</v>
      </c>
      <c r="B134" t="s">
        <v>13</v>
      </c>
      <c r="D134" t="s">
        <v>14</v>
      </c>
      <c r="E134" t="s">
        <v>15</v>
      </c>
      <c r="F134">
        <v>0.14747127367454321</v>
      </c>
      <c r="I134" t="s">
        <v>19</v>
      </c>
      <c r="K134">
        <v>98.310655529218309</v>
      </c>
      <c r="L134">
        <v>596.7974581767786</v>
      </c>
    </row>
    <row r="135" spans="1:12" x14ac:dyDescent="0.25">
      <c r="A135">
        <v>134</v>
      </c>
      <c r="B135" t="s">
        <v>13</v>
      </c>
      <c r="C135" t="s">
        <v>56</v>
      </c>
      <c r="D135" t="s">
        <v>30</v>
      </c>
      <c r="E135" t="s">
        <v>31</v>
      </c>
      <c r="F135">
        <v>1.9385499944183231</v>
      </c>
      <c r="G135" t="s">
        <v>32</v>
      </c>
      <c r="H135" t="s">
        <v>33</v>
      </c>
      <c r="I135" t="s">
        <v>57</v>
      </c>
      <c r="K135">
        <v>407.23547205406271</v>
      </c>
      <c r="L135">
        <v>7845.064875283394</v>
      </c>
    </row>
    <row r="136" spans="1:12" x14ac:dyDescent="0.25">
      <c r="A136">
        <v>135</v>
      </c>
      <c r="B136" t="s">
        <v>13</v>
      </c>
      <c r="C136" t="s">
        <v>56</v>
      </c>
      <c r="D136" t="s">
        <v>30</v>
      </c>
      <c r="E136" t="s">
        <v>31</v>
      </c>
      <c r="F136">
        <v>0.38635763824366148</v>
      </c>
      <c r="G136" t="s">
        <v>32</v>
      </c>
      <c r="H136" t="s">
        <v>33</v>
      </c>
      <c r="I136" t="s">
        <v>57</v>
      </c>
      <c r="K136">
        <v>187.95309323826959</v>
      </c>
      <c r="L136">
        <v>1563.540143823978</v>
      </c>
    </row>
    <row r="137" spans="1:12" x14ac:dyDescent="0.25">
      <c r="A137">
        <v>136</v>
      </c>
      <c r="B137" t="s">
        <v>13</v>
      </c>
      <c r="D137" t="s">
        <v>14</v>
      </c>
      <c r="E137" t="s">
        <v>15</v>
      </c>
      <c r="F137">
        <v>5.3894652866514493E-2</v>
      </c>
      <c r="H137" t="s">
        <v>17</v>
      </c>
      <c r="I137" t="s">
        <v>19</v>
      </c>
      <c r="K137">
        <v>59.145864675948701</v>
      </c>
      <c r="L137">
        <v>218.1047945041783</v>
      </c>
    </row>
    <row r="138" spans="1:12" x14ac:dyDescent="0.25">
      <c r="A138">
        <v>137</v>
      </c>
      <c r="B138" t="s">
        <v>13</v>
      </c>
      <c r="D138" t="s">
        <v>21</v>
      </c>
      <c r="E138" t="s">
        <v>22</v>
      </c>
      <c r="F138">
        <v>0.49259909050893841</v>
      </c>
      <c r="G138" t="s">
        <v>23</v>
      </c>
      <c r="H138" t="s">
        <v>24</v>
      </c>
      <c r="I138" t="s">
        <v>74</v>
      </c>
      <c r="K138">
        <v>185.36693516167981</v>
      </c>
      <c r="L138">
        <v>1993.4857670295901</v>
      </c>
    </row>
    <row r="139" spans="1:12" x14ac:dyDescent="0.25">
      <c r="A139">
        <v>138</v>
      </c>
      <c r="B139" t="s">
        <v>13</v>
      </c>
      <c r="C139" t="s">
        <v>56</v>
      </c>
      <c r="D139" t="s">
        <v>30</v>
      </c>
      <c r="E139" t="s">
        <v>31</v>
      </c>
      <c r="F139">
        <v>8.9458671298815169</v>
      </c>
      <c r="G139" t="s">
        <v>32</v>
      </c>
      <c r="H139" t="s">
        <v>33</v>
      </c>
      <c r="I139" t="s">
        <v>57</v>
      </c>
      <c r="K139">
        <v>1202.470844590772</v>
      </c>
      <c r="L139">
        <v>36202.784659491903</v>
      </c>
    </row>
    <row r="140" spans="1:12" x14ac:dyDescent="0.25">
      <c r="A140">
        <v>139</v>
      </c>
      <c r="B140" t="s">
        <v>13</v>
      </c>
      <c r="D140" t="s">
        <v>21</v>
      </c>
      <c r="E140" t="s">
        <v>22</v>
      </c>
      <c r="F140">
        <v>1.2935958326232611</v>
      </c>
      <c r="G140" t="s">
        <v>23</v>
      </c>
      <c r="H140" t="s">
        <v>24</v>
      </c>
      <c r="I140" t="s">
        <v>74</v>
      </c>
      <c r="K140">
        <v>303.893125723016</v>
      </c>
      <c r="L140">
        <v>5235.0175432905544</v>
      </c>
    </row>
    <row r="141" spans="1:12" x14ac:dyDescent="0.25">
      <c r="A141">
        <v>140</v>
      </c>
      <c r="B141" t="s">
        <v>13</v>
      </c>
      <c r="C141" t="s">
        <v>56</v>
      </c>
      <c r="D141" t="s">
        <v>30</v>
      </c>
      <c r="E141" t="s">
        <v>31</v>
      </c>
      <c r="F141">
        <v>3.7616173500704488</v>
      </c>
      <c r="G141" t="s">
        <v>32</v>
      </c>
      <c r="H141" t="s">
        <v>33</v>
      </c>
      <c r="I141" t="s">
        <v>57</v>
      </c>
      <c r="K141">
        <v>655.32550990919344</v>
      </c>
      <c r="L141">
        <v>15222.78622282787</v>
      </c>
    </row>
    <row r="142" spans="1:12" x14ac:dyDescent="0.25">
      <c r="A142">
        <v>141</v>
      </c>
      <c r="B142" t="s">
        <v>13</v>
      </c>
      <c r="D142" t="s">
        <v>14</v>
      </c>
      <c r="E142" t="s">
        <v>15</v>
      </c>
      <c r="F142">
        <v>9.761930654116604</v>
      </c>
      <c r="I142" t="s">
        <v>19</v>
      </c>
      <c r="K142">
        <v>806.76252842057988</v>
      </c>
      <c r="L142">
        <v>39505.289783636334</v>
      </c>
    </row>
    <row r="143" spans="1:12" x14ac:dyDescent="0.25">
      <c r="A143">
        <v>142</v>
      </c>
      <c r="B143" t="s">
        <v>13</v>
      </c>
      <c r="C143" t="s">
        <v>56</v>
      </c>
      <c r="D143" t="s">
        <v>30</v>
      </c>
      <c r="E143" t="s">
        <v>31</v>
      </c>
      <c r="F143">
        <v>0.55858788027856454</v>
      </c>
      <c r="G143" t="s">
        <v>32</v>
      </c>
      <c r="H143" t="s">
        <v>33</v>
      </c>
      <c r="I143" t="s">
        <v>57</v>
      </c>
      <c r="K143">
        <v>261.02140221616338</v>
      </c>
      <c r="L143">
        <v>2260.533992907041</v>
      </c>
    </row>
    <row r="144" spans="1:12" x14ac:dyDescent="0.25">
      <c r="A144">
        <v>143</v>
      </c>
      <c r="B144" t="s">
        <v>13</v>
      </c>
      <c r="D144" t="s">
        <v>60</v>
      </c>
      <c r="E144" t="s">
        <v>61</v>
      </c>
      <c r="F144">
        <v>4.0380423997263208E-2</v>
      </c>
      <c r="G144" t="s">
        <v>43</v>
      </c>
      <c r="H144" t="s">
        <v>62</v>
      </c>
      <c r="I144" t="s">
        <v>75</v>
      </c>
      <c r="K144">
        <v>51.487311970666497</v>
      </c>
      <c r="L144">
        <v>163.41443184963339</v>
      </c>
    </row>
    <row r="145" spans="1:12" x14ac:dyDescent="0.25">
      <c r="A145">
        <v>144</v>
      </c>
      <c r="B145" t="s">
        <v>13</v>
      </c>
      <c r="D145" t="s">
        <v>60</v>
      </c>
      <c r="E145" t="s">
        <v>61</v>
      </c>
      <c r="F145">
        <v>2.958437017804642E-2</v>
      </c>
      <c r="G145" t="s">
        <v>43</v>
      </c>
      <c r="H145" t="s">
        <v>62</v>
      </c>
      <c r="I145" t="s">
        <v>75</v>
      </c>
      <c r="K145">
        <v>42.570510529443673</v>
      </c>
      <c r="L145">
        <v>119.7241773539167</v>
      </c>
    </row>
    <row r="146" spans="1:12" x14ac:dyDescent="0.25">
      <c r="A146">
        <v>145</v>
      </c>
      <c r="B146" t="s">
        <v>13</v>
      </c>
      <c r="D146" t="s">
        <v>30</v>
      </c>
      <c r="E146" t="s">
        <v>31</v>
      </c>
      <c r="F146">
        <v>22.156101918095739</v>
      </c>
      <c r="G146" t="s">
        <v>32</v>
      </c>
      <c r="H146" t="s">
        <v>33</v>
      </c>
      <c r="I146" t="s">
        <v>18</v>
      </c>
      <c r="K146">
        <v>1356.4567125028</v>
      </c>
      <c r="L146">
        <v>89662.921993924014</v>
      </c>
    </row>
    <row r="147" spans="1:12" x14ac:dyDescent="0.25">
      <c r="A147">
        <v>146</v>
      </c>
      <c r="B147" t="s">
        <v>13</v>
      </c>
      <c r="D147" t="s">
        <v>30</v>
      </c>
      <c r="E147" t="s">
        <v>31</v>
      </c>
      <c r="F147">
        <v>16.16033194629215</v>
      </c>
      <c r="G147" t="s">
        <v>32</v>
      </c>
      <c r="H147" t="s">
        <v>33</v>
      </c>
      <c r="I147" t="s">
        <v>76</v>
      </c>
      <c r="K147">
        <v>1865.617054895562</v>
      </c>
      <c r="L147">
        <v>65398.804719925567</v>
      </c>
    </row>
    <row r="148" spans="1:12" x14ac:dyDescent="0.25">
      <c r="A148">
        <v>147</v>
      </c>
      <c r="B148" t="s">
        <v>13</v>
      </c>
      <c r="C148" t="s">
        <v>56</v>
      </c>
      <c r="D148" t="s">
        <v>30</v>
      </c>
      <c r="E148" t="s">
        <v>31</v>
      </c>
      <c r="F148">
        <v>0.85505589069055155</v>
      </c>
      <c r="G148" t="s">
        <v>32</v>
      </c>
      <c r="H148" t="s">
        <v>33</v>
      </c>
      <c r="I148" t="s">
        <v>57</v>
      </c>
      <c r="K148">
        <v>278.9926778321327</v>
      </c>
      <c r="L148">
        <v>3460.3022639472251</v>
      </c>
    </row>
    <row r="149" spans="1:12" x14ac:dyDescent="0.25">
      <c r="A149">
        <v>148</v>
      </c>
      <c r="B149" t="s">
        <v>13</v>
      </c>
      <c r="C149" t="s">
        <v>56</v>
      </c>
      <c r="D149" t="s">
        <v>30</v>
      </c>
      <c r="E149" t="s">
        <v>31</v>
      </c>
      <c r="F149">
        <v>1.091804383041415</v>
      </c>
      <c r="G149" t="s">
        <v>32</v>
      </c>
      <c r="H149" t="s">
        <v>33</v>
      </c>
      <c r="I149" t="s">
        <v>57</v>
      </c>
      <c r="K149">
        <v>402.95001526589027</v>
      </c>
      <c r="L149">
        <v>4418.3932530709571</v>
      </c>
    </row>
    <row r="150" spans="1:12" x14ac:dyDescent="0.25">
      <c r="A150">
        <v>149</v>
      </c>
      <c r="B150" t="s">
        <v>13</v>
      </c>
      <c r="C150" t="s">
        <v>56</v>
      </c>
      <c r="D150" t="s">
        <v>30</v>
      </c>
      <c r="E150" t="s">
        <v>31</v>
      </c>
      <c r="F150">
        <v>5.7586106776085881E-2</v>
      </c>
      <c r="G150" t="s">
        <v>32</v>
      </c>
      <c r="H150" t="s">
        <v>33</v>
      </c>
      <c r="I150" t="s">
        <v>57</v>
      </c>
      <c r="K150">
        <v>67.315788647068558</v>
      </c>
      <c r="L150">
        <v>233.043638221436</v>
      </c>
    </row>
    <row r="151" spans="1:12" x14ac:dyDescent="0.25">
      <c r="A151">
        <v>150</v>
      </c>
      <c r="B151" t="s">
        <v>13</v>
      </c>
      <c r="D151" t="s">
        <v>14</v>
      </c>
      <c r="E151" t="s">
        <v>15</v>
      </c>
      <c r="F151">
        <v>18.612695295675</v>
      </c>
      <c r="H151" t="s">
        <v>17</v>
      </c>
      <c r="I151" t="s">
        <v>19</v>
      </c>
      <c r="K151">
        <v>1426.5229465178179</v>
      </c>
      <c r="L151">
        <v>75323.206788002499</v>
      </c>
    </row>
    <row r="152" spans="1:12" x14ac:dyDescent="0.25">
      <c r="A152">
        <v>151</v>
      </c>
      <c r="B152" t="s">
        <v>13</v>
      </c>
      <c r="C152" t="s">
        <v>56</v>
      </c>
      <c r="D152" t="s">
        <v>30</v>
      </c>
      <c r="E152" t="s">
        <v>31</v>
      </c>
      <c r="F152">
        <v>0.59196827156965692</v>
      </c>
      <c r="G152" t="s">
        <v>32</v>
      </c>
      <c r="H152" t="s">
        <v>33</v>
      </c>
      <c r="I152" t="s">
        <v>57</v>
      </c>
      <c r="K152">
        <v>244.83931597753929</v>
      </c>
      <c r="L152">
        <v>2395.620184129848</v>
      </c>
    </row>
    <row r="153" spans="1:12" x14ac:dyDescent="0.25">
      <c r="A153">
        <v>152</v>
      </c>
      <c r="B153" t="s">
        <v>13</v>
      </c>
      <c r="C153" t="s">
        <v>56</v>
      </c>
      <c r="D153" t="s">
        <v>30</v>
      </c>
      <c r="E153" t="s">
        <v>31</v>
      </c>
      <c r="F153">
        <v>0.1008868049499881</v>
      </c>
      <c r="G153" t="s">
        <v>32</v>
      </c>
      <c r="H153" t="s">
        <v>33</v>
      </c>
      <c r="I153" t="s">
        <v>57</v>
      </c>
      <c r="K153">
        <v>97.792689550365651</v>
      </c>
      <c r="L153">
        <v>408.27604764983278</v>
      </c>
    </row>
    <row r="154" spans="1:12" x14ac:dyDescent="0.25">
      <c r="A154">
        <v>153</v>
      </c>
      <c r="B154" t="s">
        <v>13</v>
      </c>
      <c r="D154" t="s">
        <v>30</v>
      </c>
      <c r="E154" t="s">
        <v>31</v>
      </c>
      <c r="F154">
        <v>9.1854373047690796</v>
      </c>
      <c r="G154" t="s">
        <v>32</v>
      </c>
      <c r="H154" t="s">
        <v>33</v>
      </c>
      <c r="I154" t="s">
        <v>19</v>
      </c>
      <c r="K154">
        <v>1147.349242439785</v>
      </c>
      <c r="L154">
        <v>37172.29463838716</v>
      </c>
    </row>
    <row r="155" spans="1:12" x14ac:dyDescent="0.25">
      <c r="A155">
        <v>154</v>
      </c>
      <c r="B155" t="s">
        <v>13</v>
      </c>
      <c r="C155" t="s">
        <v>56</v>
      </c>
      <c r="D155" t="s">
        <v>30</v>
      </c>
      <c r="E155" t="s">
        <v>31</v>
      </c>
      <c r="F155">
        <v>1.273421315342526</v>
      </c>
      <c r="G155" t="s">
        <v>32</v>
      </c>
      <c r="H155" t="s">
        <v>33</v>
      </c>
      <c r="I155" t="s">
        <v>57</v>
      </c>
      <c r="K155">
        <v>327.7594873255984</v>
      </c>
      <c r="L155">
        <v>5153.3738418897128</v>
      </c>
    </row>
    <row r="156" spans="1:12" x14ac:dyDescent="0.25">
      <c r="A156">
        <v>155</v>
      </c>
      <c r="B156" t="s">
        <v>13</v>
      </c>
      <c r="C156" t="s">
        <v>56</v>
      </c>
      <c r="D156" t="s">
        <v>30</v>
      </c>
      <c r="E156" t="s">
        <v>31</v>
      </c>
      <c r="F156">
        <v>6.31482663475465E-2</v>
      </c>
      <c r="G156" t="s">
        <v>32</v>
      </c>
      <c r="H156" t="s">
        <v>33</v>
      </c>
      <c r="I156" t="s">
        <v>57</v>
      </c>
      <c r="K156">
        <v>67.876990463238698</v>
      </c>
      <c r="L156">
        <v>255.55298944292991</v>
      </c>
    </row>
    <row r="157" spans="1:12" x14ac:dyDescent="0.25">
      <c r="A157">
        <v>156</v>
      </c>
      <c r="B157" t="s">
        <v>13</v>
      </c>
      <c r="D157" t="s">
        <v>30</v>
      </c>
      <c r="E157" t="s">
        <v>31</v>
      </c>
      <c r="F157">
        <v>4.3461279168872012E-2</v>
      </c>
      <c r="G157" t="s">
        <v>32</v>
      </c>
      <c r="H157" t="s">
        <v>33</v>
      </c>
      <c r="I157" t="s">
        <v>77</v>
      </c>
      <c r="K157">
        <v>54.001965774668378</v>
      </c>
      <c r="L157">
        <v>175.88226025860649</v>
      </c>
    </row>
    <row r="158" spans="1:12" x14ac:dyDescent="0.25">
      <c r="A158">
        <v>157</v>
      </c>
      <c r="B158" t="s">
        <v>13</v>
      </c>
      <c r="C158" t="s">
        <v>56</v>
      </c>
      <c r="D158" t="s">
        <v>30</v>
      </c>
      <c r="E158" t="s">
        <v>31</v>
      </c>
      <c r="F158">
        <v>0.18463598424963881</v>
      </c>
      <c r="G158" t="s">
        <v>32</v>
      </c>
      <c r="H158" t="s">
        <v>33</v>
      </c>
      <c r="I158" t="s">
        <v>57</v>
      </c>
      <c r="K158">
        <v>113.0383673168765</v>
      </c>
      <c r="L158">
        <v>747.198307457037</v>
      </c>
    </row>
    <row r="159" spans="1:12" x14ac:dyDescent="0.25">
      <c r="A159">
        <v>158</v>
      </c>
      <c r="B159" t="s">
        <v>13</v>
      </c>
      <c r="C159" t="s">
        <v>56</v>
      </c>
      <c r="D159" t="s">
        <v>30</v>
      </c>
      <c r="E159" t="s">
        <v>31</v>
      </c>
      <c r="F159">
        <v>8.9571586768042604</v>
      </c>
      <c r="G159" t="s">
        <v>32</v>
      </c>
      <c r="H159" t="s">
        <v>33</v>
      </c>
      <c r="I159" t="s">
        <v>57</v>
      </c>
      <c r="K159">
        <v>842.61746655591821</v>
      </c>
      <c r="L159">
        <v>36248.480111456658</v>
      </c>
    </row>
    <row r="160" spans="1:12" x14ac:dyDescent="0.25">
      <c r="A160">
        <v>159</v>
      </c>
      <c r="B160" t="s">
        <v>13</v>
      </c>
      <c r="C160" t="s">
        <v>56</v>
      </c>
      <c r="D160" t="s">
        <v>30</v>
      </c>
      <c r="E160" t="s">
        <v>31</v>
      </c>
      <c r="F160">
        <v>0.1412922425001602</v>
      </c>
      <c r="G160" t="s">
        <v>32</v>
      </c>
      <c r="H160" t="s">
        <v>33</v>
      </c>
      <c r="I160" t="s">
        <v>57</v>
      </c>
      <c r="K160">
        <v>104.22021922024339</v>
      </c>
      <c r="L160">
        <v>571.79170616160889</v>
      </c>
    </row>
    <row r="161" spans="1:12" x14ac:dyDescent="0.25">
      <c r="A161">
        <v>160</v>
      </c>
      <c r="B161" t="s">
        <v>13</v>
      </c>
      <c r="C161" t="s">
        <v>56</v>
      </c>
      <c r="D161" t="s">
        <v>34</v>
      </c>
      <c r="E161" t="s">
        <v>35</v>
      </c>
      <c r="F161">
        <v>0.42324419563288712</v>
      </c>
      <c r="H161" t="s">
        <v>17</v>
      </c>
      <c r="I161" t="s">
        <v>78</v>
      </c>
      <c r="K161">
        <v>158.00859855819621</v>
      </c>
      <c r="L161">
        <v>1712.8153425949899</v>
      </c>
    </row>
    <row r="162" spans="1:12" x14ac:dyDescent="0.25">
      <c r="A162">
        <v>161</v>
      </c>
      <c r="B162" t="s">
        <v>13</v>
      </c>
      <c r="D162" t="s">
        <v>30</v>
      </c>
      <c r="E162" t="s">
        <v>31</v>
      </c>
      <c r="F162">
        <v>4.4611193523935357</v>
      </c>
      <c r="G162" t="s">
        <v>32</v>
      </c>
      <c r="H162" t="s">
        <v>33</v>
      </c>
      <c r="I162" t="s">
        <v>37</v>
      </c>
      <c r="K162">
        <v>650.79334602145627</v>
      </c>
      <c r="L162">
        <v>18053.581716581361</v>
      </c>
    </row>
    <row r="163" spans="1:12" x14ac:dyDescent="0.25">
      <c r="A163">
        <v>162</v>
      </c>
      <c r="B163" t="s">
        <v>13</v>
      </c>
      <c r="C163" t="s">
        <v>56</v>
      </c>
      <c r="D163" t="s">
        <v>30</v>
      </c>
      <c r="E163" t="s">
        <v>31</v>
      </c>
      <c r="F163">
        <v>0.36250418649709448</v>
      </c>
      <c r="G163" t="s">
        <v>32</v>
      </c>
      <c r="H163" t="s">
        <v>33</v>
      </c>
      <c r="I163" t="s">
        <v>57</v>
      </c>
      <c r="K163">
        <v>177.05862640175749</v>
      </c>
      <c r="L163">
        <v>1467.008263299839</v>
      </c>
    </row>
    <row r="164" spans="1:12" x14ac:dyDescent="0.25">
      <c r="A164">
        <v>163</v>
      </c>
      <c r="B164" t="s">
        <v>13</v>
      </c>
      <c r="D164" t="s">
        <v>30</v>
      </c>
      <c r="E164" t="s">
        <v>31</v>
      </c>
      <c r="F164">
        <v>0.29198512283640249</v>
      </c>
      <c r="G164" t="s">
        <v>32</v>
      </c>
      <c r="H164" t="s">
        <v>33</v>
      </c>
      <c r="I164" t="s">
        <v>79</v>
      </c>
      <c r="K164">
        <v>208.37748765416961</v>
      </c>
      <c r="L164">
        <v>1181.626596097406</v>
      </c>
    </row>
    <row r="165" spans="1:12" x14ac:dyDescent="0.25">
      <c r="A165">
        <v>164</v>
      </c>
      <c r="B165" t="s">
        <v>13</v>
      </c>
      <c r="C165" t="s">
        <v>56</v>
      </c>
      <c r="D165" t="s">
        <v>30</v>
      </c>
      <c r="E165" t="s">
        <v>31</v>
      </c>
      <c r="F165">
        <v>7.0989953397695036</v>
      </c>
      <c r="G165" t="s">
        <v>32</v>
      </c>
      <c r="H165" t="s">
        <v>33</v>
      </c>
      <c r="I165" t="s">
        <v>57</v>
      </c>
      <c r="K165">
        <v>671.63825957754307</v>
      </c>
      <c r="L165">
        <v>28728.729798138171</v>
      </c>
    </row>
    <row r="166" spans="1:12" x14ac:dyDescent="0.25">
      <c r="A166">
        <v>165</v>
      </c>
      <c r="B166" t="s">
        <v>13</v>
      </c>
      <c r="C166" t="s">
        <v>56</v>
      </c>
      <c r="D166" t="s">
        <v>30</v>
      </c>
      <c r="E166" t="s">
        <v>31</v>
      </c>
      <c r="F166">
        <v>3.640585511600853</v>
      </c>
      <c r="G166" t="s">
        <v>32</v>
      </c>
      <c r="H166" t="s">
        <v>33</v>
      </c>
      <c r="I166" t="s">
        <v>57</v>
      </c>
      <c r="K166">
        <v>485.64795718894152</v>
      </c>
      <c r="L166">
        <v>14732.98579080253</v>
      </c>
    </row>
    <row r="167" spans="1:12" x14ac:dyDescent="0.25">
      <c r="A167">
        <v>166</v>
      </c>
      <c r="B167" t="s">
        <v>13</v>
      </c>
      <c r="D167" t="s">
        <v>14</v>
      </c>
      <c r="E167" t="s">
        <v>15</v>
      </c>
      <c r="F167">
        <v>2.9372962326846941</v>
      </c>
      <c r="H167" t="s">
        <v>17</v>
      </c>
      <c r="I167" t="s">
        <v>18</v>
      </c>
      <c r="K167">
        <v>540.13364608242819</v>
      </c>
      <c r="L167">
        <v>11886.86367113851</v>
      </c>
    </row>
    <row r="168" spans="1:12" x14ac:dyDescent="0.25">
      <c r="A168">
        <v>167</v>
      </c>
      <c r="B168" t="s">
        <v>13</v>
      </c>
      <c r="C168" t="s">
        <v>56</v>
      </c>
      <c r="D168" t="s">
        <v>30</v>
      </c>
      <c r="E168" t="s">
        <v>31</v>
      </c>
      <c r="F168">
        <v>0.83983947058352748</v>
      </c>
      <c r="G168" t="s">
        <v>32</v>
      </c>
      <c r="H168" t="s">
        <v>33</v>
      </c>
      <c r="I168" t="s">
        <v>65</v>
      </c>
      <c r="K168">
        <v>258.09417599887809</v>
      </c>
      <c r="L168">
        <v>3398.7233501957699</v>
      </c>
    </row>
    <row r="169" spans="1:12" x14ac:dyDescent="0.25">
      <c r="A169">
        <v>168</v>
      </c>
      <c r="B169" t="s">
        <v>13</v>
      </c>
      <c r="D169" t="s">
        <v>14</v>
      </c>
      <c r="E169" t="s">
        <v>15</v>
      </c>
      <c r="F169">
        <v>6.2801329918649698</v>
      </c>
      <c r="G169" t="s">
        <v>16</v>
      </c>
      <c r="H169" t="s">
        <v>17</v>
      </c>
      <c r="I169" t="s">
        <v>19</v>
      </c>
      <c r="K169">
        <v>965.25566562992026</v>
      </c>
      <c r="L169">
        <v>25414.898191145989</v>
      </c>
    </row>
    <row r="170" spans="1:12" x14ac:dyDescent="0.25">
      <c r="A170">
        <v>169</v>
      </c>
      <c r="B170" t="s">
        <v>13</v>
      </c>
      <c r="C170" t="s">
        <v>56</v>
      </c>
      <c r="D170" t="s">
        <v>30</v>
      </c>
      <c r="E170" t="s">
        <v>31</v>
      </c>
      <c r="F170">
        <v>8.1228021433300466</v>
      </c>
      <c r="G170" t="s">
        <v>32</v>
      </c>
      <c r="H170" t="s">
        <v>33</v>
      </c>
      <c r="I170" t="s">
        <v>65</v>
      </c>
      <c r="K170">
        <v>761.35013573074536</v>
      </c>
      <c r="L170">
        <v>32871.945509270226</v>
      </c>
    </row>
    <row r="171" spans="1:12" x14ac:dyDescent="0.25">
      <c r="A171">
        <v>170</v>
      </c>
      <c r="B171" t="s">
        <v>13</v>
      </c>
      <c r="C171" t="s">
        <v>56</v>
      </c>
      <c r="D171" t="s">
        <v>30</v>
      </c>
      <c r="E171" t="s">
        <v>31</v>
      </c>
      <c r="F171">
        <v>14.308278423270099</v>
      </c>
      <c r="G171" t="s">
        <v>32</v>
      </c>
      <c r="H171" t="s">
        <v>33</v>
      </c>
      <c r="I171" t="s">
        <v>65</v>
      </c>
      <c r="K171">
        <v>1016.489357572965</v>
      </c>
      <c r="L171">
        <v>57903.780045586507</v>
      </c>
    </row>
    <row r="172" spans="1:12" x14ac:dyDescent="0.25">
      <c r="A172">
        <v>171</v>
      </c>
      <c r="B172" t="s">
        <v>13</v>
      </c>
      <c r="D172" t="s">
        <v>14</v>
      </c>
      <c r="E172" t="s">
        <v>15</v>
      </c>
      <c r="F172">
        <v>13.53234855763743</v>
      </c>
      <c r="H172" t="s">
        <v>17</v>
      </c>
      <c r="I172" t="s">
        <v>18</v>
      </c>
      <c r="K172">
        <v>999.70440961771635</v>
      </c>
      <c r="L172">
        <v>54763.690725174267</v>
      </c>
    </row>
    <row r="173" spans="1:12" x14ac:dyDescent="0.25">
      <c r="A173">
        <v>172</v>
      </c>
      <c r="B173" t="s">
        <v>13</v>
      </c>
      <c r="C173" t="s">
        <v>56</v>
      </c>
      <c r="D173" t="s">
        <v>30</v>
      </c>
      <c r="E173" t="s">
        <v>31</v>
      </c>
      <c r="F173">
        <v>0.48024827988336027</v>
      </c>
      <c r="G173" t="s">
        <v>32</v>
      </c>
      <c r="H173" t="s">
        <v>33</v>
      </c>
      <c r="I173" t="s">
        <v>65</v>
      </c>
      <c r="K173">
        <v>219.4974406699836</v>
      </c>
      <c r="L173">
        <v>1943.503609799194</v>
      </c>
    </row>
    <row r="174" spans="1:12" x14ac:dyDescent="0.25">
      <c r="A174">
        <v>173</v>
      </c>
      <c r="B174" t="s">
        <v>13</v>
      </c>
      <c r="C174" t="s">
        <v>56</v>
      </c>
      <c r="D174" t="s">
        <v>30</v>
      </c>
      <c r="E174" t="s">
        <v>31</v>
      </c>
      <c r="F174">
        <v>4.2129955040606983</v>
      </c>
      <c r="G174" t="s">
        <v>32</v>
      </c>
      <c r="H174" t="s">
        <v>33</v>
      </c>
      <c r="I174" t="s">
        <v>65</v>
      </c>
      <c r="K174">
        <v>563.26410475383591</v>
      </c>
      <c r="L174">
        <v>17049.456110906609</v>
      </c>
    </row>
    <row r="175" spans="1:12" x14ac:dyDescent="0.25">
      <c r="A175">
        <v>174</v>
      </c>
      <c r="B175" t="s">
        <v>13</v>
      </c>
      <c r="D175" t="s">
        <v>14</v>
      </c>
      <c r="E175" t="s">
        <v>15</v>
      </c>
      <c r="F175">
        <v>35.950931922955341</v>
      </c>
      <c r="H175" t="s">
        <v>17</v>
      </c>
      <c r="I175" t="s">
        <v>18</v>
      </c>
      <c r="K175">
        <v>1761.439413538445</v>
      </c>
      <c r="L175">
        <v>145488.84169846179</v>
      </c>
    </row>
    <row r="176" spans="1:12" x14ac:dyDescent="0.25">
      <c r="A176">
        <v>175</v>
      </c>
      <c r="B176" t="s">
        <v>13</v>
      </c>
      <c r="D176" t="s">
        <v>30</v>
      </c>
      <c r="E176" t="s">
        <v>31</v>
      </c>
      <c r="F176">
        <v>27.781587654249972</v>
      </c>
      <c r="G176" t="s">
        <v>32</v>
      </c>
      <c r="H176" t="s">
        <v>33</v>
      </c>
      <c r="I176" t="s">
        <v>80</v>
      </c>
      <c r="K176">
        <v>1486.114935007276</v>
      </c>
      <c r="L176">
        <v>112428.5461368049</v>
      </c>
    </row>
    <row r="177" spans="1:12" x14ac:dyDescent="0.25">
      <c r="A177">
        <v>176</v>
      </c>
      <c r="B177" t="s">
        <v>13</v>
      </c>
      <c r="D177" t="s">
        <v>14</v>
      </c>
      <c r="E177" t="s">
        <v>15</v>
      </c>
      <c r="F177">
        <v>6.2830153029708633</v>
      </c>
      <c r="I177" t="s">
        <v>19</v>
      </c>
      <c r="K177">
        <v>886.3698254299627</v>
      </c>
      <c r="L177">
        <v>25426.56253701356</v>
      </c>
    </row>
    <row r="178" spans="1:12" x14ac:dyDescent="0.25">
      <c r="A178">
        <v>177</v>
      </c>
      <c r="B178" t="s">
        <v>13</v>
      </c>
      <c r="D178" t="s">
        <v>14</v>
      </c>
      <c r="E178" t="s">
        <v>15</v>
      </c>
      <c r="F178">
        <v>8.346073241144893</v>
      </c>
      <c r="H178" t="s">
        <v>17</v>
      </c>
      <c r="I178" t="s">
        <v>18</v>
      </c>
      <c r="K178">
        <v>1026.0949695416771</v>
      </c>
      <c r="L178">
        <v>33775.495199593694</v>
      </c>
    </row>
    <row r="179" spans="1:12" x14ac:dyDescent="0.25">
      <c r="A179">
        <v>178</v>
      </c>
      <c r="B179" t="s">
        <v>13</v>
      </c>
      <c r="D179" t="s">
        <v>14</v>
      </c>
      <c r="E179" t="s">
        <v>15</v>
      </c>
      <c r="F179">
        <v>13.14607992431413</v>
      </c>
      <c r="H179" t="s">
        <v>17</v>
      </c>
      <c r="I179" t="s">
        <v>19</v>
      </c>
      <c r="K179">
        <v>971.64746292889629</v>
      </c>
      <c r="L179">
        <v>53200.510772924652</v>
      </c>
    </row>
    <row r="180" spans="1:12" x14ac:dyDescent="0.25">
      <c r="A180">
        <v>179</v>
      </c>
      <c r="B180" t="s">
        <v>13</v>
      </c>
      <c r="D180" t="s">
        <v>14</v>
      </c>
      <c r="E180" t="s">
        <v>15</v>
      </c>
      <c r="F180">
        <v>0.15018270140084919</v>
      </c>
      <c r="H180" t="s">
        <v>17</v>
      </c>
      <c r="I180" t="s">
        <v>19</v>
      </c>
      <c r="K180">
        <v>94.920935750644759</v>
      </c>
      <c r="L180">
        <v>607.77026077602022</v>
      </c>
    </row>
    <row r="181" spans="1:12" x14ac:dyDescent="0.25">
      <c r="A181">
        <v>180</v>
      </c>
      <c r="B181" t="s">
        <v>13</v>
      </c>
      <c r="D181" t="s">
        <v>14</v>
      </c>
      <c r="E181" t="s">
        <v>15</v>
      </c>
      <c r="F181">
        <v>8.9171710164159279</v>
      </c>
      <c r="H181" t="s">
        <v>17</v>
      </c>
      <c r="I181" t="s">
        <v>19</v>
      </c>
      <c r="K181">
        <v>1038.1368576434279</v>
      </c>
      <c r="L181">
        <v>36086.655143898162</v>
      </c>
    </row>
    <row r="182" spans="1:12" x14ac:dyDescent="0.25">
      <c r="A182">
        <v>181</v>
      </c>
      <c r="B182" t="s">
        <v>13</v>
      </c>
      <c r="C182" t="s">
        <v>56</v>
      </c>
      <c r="D182" t="s">
        <v>30</v>
      </c>
      <c r="E182" t="s">
        <v>31</v>
      </c>
      <c r="F182">
        <v>1.066451124114091</v>
      </c>
      <c r="G182" t="s">
        <v>32</v>
      </c>
      <c r="H182" t="s">
        <v>33</v>
      </c>
      <c r="I182" t="s">
        <v>57</v>
      </c>
      <c r="K182">
        <v>326.47687266289</v>
      </c>
      <c r="L182">
        <v>4315.7918439469186</v>
      </c>
    </row>
    <row r="183" spans="1:12" x14ac:dyDescent="0.25">
      <c r="A183">
        <v>182</v>
      </c>
      <c r="B183" t="s">
        <v>13</v>
      </c>
      <c r="C183" t="s">
        <v>56</v>
      </c>
      <c r="D183" t="s">
        <v>30</v>
      </c>
      <c r="E183" t="s">
        <v>31</v>
      </c>
      <c r="F183">
        <v>4.4146362860861146</v>
      </c>
      <c r="G183" t="s">
        <v>32</v>
      </c>
      <c r="H183" t="s">
        <v>33</v>
      </c>
      <c r="I183" t="s">
        <v>57</v>
      </c>
      <c r="K183">
        <v>641.73334135157108</v>
      </c>
      <c r="L183">
        <v>17865.470668718888</v>
      </c>
    </row>
    <row r="184" spans="1:12" x14ac:dyDescent="0.25">
      <c r="A184">
        <v>183</v>
      </c>
      <c r="B184" t="s">
        <v>13</v>
      </c>
      <c r="C184" t="s">
        <v>56</v>
      </c>
      <c r="D184" t="s">
        <v>34</v>
      </c>
      <c r="E184" t="s">
        <v>35</v>
      </c>
      <c r="F184">
        <v>0.145826689770541</v>
      </c>
      <c r="H184" t="s">
        <v>17</v>
      </c>
      <c r="I184" t="s">
        <v>81</v>
      </c>
      <c r="K184">
        <v>100.543758249962</v>
      </c>
      <c r="L184">
        <v>590.14203662103228</v>
      </c>
    </row>
    <row r="185" spans="1:12" x14ac:dyDescent="0.25">
      <c r="A185">
        <v>184</v>
      </c>
      <c r="B185" t="s">
        <v>13</v>
      </c>
      <c r="C185" t="s">
        <v>56</v>
      </c>
      <c r="D185" t="s">
        <v>34</v>
      </c>
      <c r="E185" t="s">
        <v>35</v>
      </c>
      <c r="F185">
        <v>0.68534421934204481</v>
      </c>
      <c r="H185" t="s">
        <v>17</v>
      </c>
      <c r="I185" t="s">
        <v>82</v>
      </c>
      <c r="K185">
        <v>260.48203999935657</v>
      </c>
      <c r="L185">
        <v>2773.5007495909731</v>
      </c>
    </row>
    <row r="186" spans="1:12" x14ac:dyDescent="0.25">
      <c r="A186">
        <v>185</v>
      </c>
      <c r="B186" t="s">
        <v>13</v>
      </c>
      <c r="D186" t="s">
        <v>14</v>
      </c>
      <c r="E186" t="s">
        <v>15</v>
      </c>
      <c r="F186">
        <v>29.434077933653452</v>
      </c>
      <c r="H186" t="s">
        <v>17</v>
      </c>
      <c r="I186" t="s">
        <v>18</v>
      </c>
      <c r="K186">
        <v>1506.601607681645</v>
      </c>
      <c r="L186">
        <v>119115.9637866063</v>
      </c>
    </row>
    <row r="187" spans="1:12" x14ac:dyDescent="0.25">
      <c r="A187">
        <v>186</v>
      </c>
      <c r="B187" t="s">
        <v>13</v>
      </c>
      <c r="C187" t="s">
        <v>56</v>
      </c>
      <c r="D187" t="s">
        <v>14</v>
      </c>
      <c r="E187" t="s">
        <v>15</v>
      </c>
      <c r="F187">
        <v>2.401851771307093</v>
      </c>
      <c r="H187" t="s">
        <v>17</v>
      </c>
      <c r="I187" t="s">
        <v>19</v>
      </c>
      <c r="K187">
        <v>604.47180624257874</v>
      </c>
      <c r="L187">
        <v>9719.9881462806297</v>
      </c>
    </row>
    <row r="188" spans="1:12" x14ac:dyDescent="0.25">
      <c r="A188">
        <v>187</v>
      </c>
      <c r="B188" t="s">
        <v>13</v>
      </c>
      <c r="D188" t="s">
        <v>30</v>
      </c>
      <c r="E188" t="s">
        <v>31</v>
      </c>
      <c r="F188">
        <v>16.420184066965351</v>
      </c>
      <c r="G188" t="s">
        <v>32</v>
      </c>
      <c r="H188" t="s">
        <v>33</v>
      </c>
      <c r="I188" t="s">
        <v>83</v>
      </c>
      <c r="K188">
        <v>1106.897217613275</v>
      </c>
      <c r="L188">
        <v>66450.393149695694</v>
      </c>
    </row>
    <row r="189" spans="1:12" x14ac:dyDescent="0.25">
      <c r="A189">
        <v>188</v>
      </c>
      <c r="B189" t="s">
        <v>13</v>
      </c>
      <c r="D189" t="s">
        <v>14</v>
      </c>
      <c r="E189" t="s">
        <v>15</v>
      </c>
      <c r="F189">
        <v>9.8300811956488356</v>
      </c>
      <c r="H189" t="s">
        <v>17</v>
      </c>
      <c r="I189" t="s">
        <v>19</v>
      </c>
      <c r="K189">
        <v>1131.16718557743</v>
      </c>
      <c r="L189">
        <v>39781.086343511211</v>
      </c>
    </row>
    <row r="190" spans="1:12" x14ac:dyDescent="0.25">
      <c r="A190">
        <v>189</v>
      </c>
      <c r="B190" t="s">
        <v>13</v>
      </c>
      <c r="D190" t="s">
        <v>14</v>
      </c>
      <c r="E190" t="s">
        <v>15</v>
      </c>
      <c r="F190">
        <v>0.5901007862999964</v>
      </c>
      <c r="H190" t="s">
        <v>17</v>
      </c>
      <c r="I190" t="s">
        <v>84</v>
      </c>
      <c r="K190">
        <v>199.19455173834729</v>
      </c>
      <c r="L190">
        <v>2388.062709142715</v>
      </c>
    </row>
    <row r="191" spans="1:12" x14ac:dyDescent="0.25">
      <c r="A191">
        <v>190</v>
      </c>
      <c r="B191" t="s">
        <v>13</v>
      </c>
      <c r="D191" t="s">
        <v>14</v>
      </c>
      <c r="E191" t="s">
        <v>15</v>
      </c>
      <c r="F191">
        <v>42.143763094391488</v>
      </c>
      <c r="H191" t="s">
        <v>17</v>
      </c>
      <c r="I191" t="s">
        <v>19</v>
      </c>
      <c r="K191">
        <v>2191.8167705124538</v>
      </c>
      <c r="L191">
        <v>170550.44054372219</v>
      </c>
    </row>
    <row r="192" spans="1:12" x14ac:dyDescent="0.25">
      <c r="A192">
        <v>191</v>
      </c>
      <c r="B192" t="s">
        <v>13</v>
      </c>
      <c r="D192" t="s">
        <v>30</v>
      </c>
      <c r="E192" t="s">
        <v>31</v>
      </c>
      <c r="F192">
        <v>12.50210933935905</v>
      </c>
      <c r="G192" t="s">
        <v>32</v>
      </c>
      <c r="H192" t="s">
        <v>33</v>
      </c>
      <c r="I192" t="s">
        <v>83</v>
      </c>
      <c r="K192">
        <v>953.20555399890429</v>
      </c>
      <c r="L192">
        <v>50594.443851105229</v>
      </c>
    </row>
    <row r="193" spans="1:12" x14ac:dyDescent="0.25">
      <c r="A193">
        <v>192</v>
      </c>
      <c r="B193" t="s">
        <v>13</v>
      </c>
      <c r="D193" t="s">
        <v>14</v>
      </c>
      <c r="E193" t="s">
        <v>15</v>
      </c>
      <c r="F193">
        <v>5.7485272984377778</v>
      </c>
      <c r="H193" t="s">
        <v>17</v>
      </c>
      <c r="I193" t="s">
        <v>19</v>
      </c>
      <c r="K193">
        <v>698.7396225946643</v>
      </c>
      <c r="L193">
        <v>23263.557671162271</v>
      </c>
    </row>
    <row r="194" spans="1:12" x14ac:dyDescent="0.25">
      <c r="A194">
        <v>193</v>
      </c>
      <c r="B194" t="s">
        <v>13</v>
      </c>
      <c r="D194" t="s">
        <v>14</v>
      </c>
      <c r="E194" t="s">
        <v>15</v>
      </c>
      <c r="F194">
        <v>8.4135300161596778</v>
      </c>
      <c r="H194" t="s">
        <v>17</v>
      </c>
      <c r="I194" t="s">
        <v>18</v>
      </c>
      <c r="K194">
        <v>1058.0909614590851</v>
      </c>
      <c r="L194">
        <v>34048.484174751473</v>
      </c>
    </row>
    <row r="195" spans="1:12" x14ac:dyDescent="0.25">
      <c r="A195">
        <v>194</v>
      </c>
      <c r="B195" t="s">
        <v>13</v>
      </c>
      <c r="D195" t="s">
        <v>14</v>
      </c>
      <c r="E195" t="s">
        <v>15</v>
      </c>
      <c r="F195">
        <v>11.839989817641021</v>
      </c>
      <c r="H195" t="s">
        <v>17</v>
      </c>
      <c r="I195" t="s">
        <v>18</v>
      </c>
      <c r="K195">
        <v>1102.112469037047</v>
      </c>
      <c r="L195">
        <v>47914.930494201493</v>
      </c>
    </row>
    <row r="196" spans="1:12" x14ac:dyDescent="0.25">
      <c r="A196">
        <v>195</v>
      </c>
      <c r="B196" t="s">
        <v>13</v>
      </c>
      <c r="D196" t="s">
        <v>14</v>
      </c>
      <c r="E196" t="s">
        <v>15</v>
      </c>
      <c r="F196">
        <v>78.573636124693564</v>
      </c>
      <c r="H196" t="s">
        <v>17</v>
      </c>
      <c r="I196" t="s">
        <v>18</v>
      </c>
      <c r="K196">
        <v>3937.986770449786</v>
      </c>
      <c r="L196">
        <v>317977.49589124852</v>
      </c>
    </row>
    <row r="197" spans="1:12" x14ac:dyDescent="0.25">
      <c r="A197">
        <v>196</v>
      </c>
      <c r="B197" t="s">
        <v>13</v>
      </c>
      <c r="D197" t="s">
        <v>30</v>
      </c>
      <c r="E197" t="s">
        <v>31</v>
      </c>
      <c r="F197">
        <v>1.489917472193975</v>
      </c>
      <c r="G197" t="s">
        <v>32</v>
      </c>
      <c r="H197" t="s">
        <v>33</v>
      </c>
      <c r="I197" t="s">
        <v>85</v>
      </c>
      <c r="K197">
        <v>867.51717086720566</v>
      </c>
      <c r="L197">
        <v>6029.5062091948803</v>
      </c>
    </row>
    <row r="198" spans="1:12" x14ac:dyDescent="0.25">
      <c r="A198">
        <v>197</v>
      </c>
      <c r="B198" t="s">
        <v>13</v>
      </c>
      <c r="D198" t="s">
        <v>14</v>
      </c>
      <c r="E198" t="s">
        <v>15</v>
      </c>
      <c r="F198">
        <v>2.082146555048717</v>
      </c>
      <c r="H198" t="s">
        <v>17</v>
      </c>
      <c r="I198" t="s">
        <v>19</v>
      </c>
      <c r="K198">
        <v>971.94862508810161</v>
      </c>
      <c r="L198">
        <v>8426.1818633706844</v>
      </c>
    </row>
    <row r="199" spans="1:12" x14ac:dyDescent="0.25">
      <c r="A199">
        <v>198</v>
      </c>
      <c r="B199" t="s">
        <v>13</v>
      </c>
      <c r="D199" t="s">
        <v>14</v>
      </c>
      <c r="E199" t="s">
        <v>15</v>
      </c>
      <c r="F199">
        <v>1.3684850001841451</v>
      </c>
      <c r="H199" t="s">
        <v>17</v>
      </c>
      <c r="I199" t="s">
        <v>19</v>
      </c>
      <c r="K199">
        <v>360.01827680514941</v>
      </c>
      <c r="L199">
        <v>5538.0844642689763</v>
      </c>
    </row>
    <row r="200" spans="1:12" x14ac:dyDescent="0.25">
      <c r="A200">
        <v>199</v>
      </c>
      <c r="B200" t="s">
        <v>13</v>
      </c>
      <c r="D200" t="s">
        <v>30</v>
      </c>
      <c r="E200" t="s">
        <v>31</v>
      </c>
      <c r="F200">
        <v>26.982459469993579</v>
      </c>
      <c r="G200" t="s">
        <v>32</v>
      </c>
      <c r="H200" t="s">
        <v>33</v>
      </c>
      <c r="I200" t="s">
        <v>86</v>
      </c>
      <c r="K200">
        <v>1332.8453319302839</v>
      </c>
      <c r="L200">
        <v>109194.5761761591</v>
      </c>
    </row>
    <row r="201" spans="1:12" x14ac:dyDescent="0.25">
      <c r="A201">
        <v>200</v>
      </c>
      <c r="B201" t="s">
        <v>13</v>
      </c>
      <c r="D201" t="s">
        <v>14</v>
      </c>
      <c r="E201" t="s">
        <v>15</v>
      </c>
      <c r="F201">
        <v>5.1339439970747076</v>
      </c>
      <c r="H201" t="s">
        <v>17</v>
      </c>
      <c r="I201" t="s">
        <v>87</v>
      </c>
      <c r="K201">
        <v>1115.8557337708919</v>
      </c>
      <c r="L201">
        <v>20776.41734238997</v>
      </c>
    </row>
    <row r="202" spans="1:12" x14ac:dyDescent="0.25">
      <c r="A202">
        <v>201</v>
      </c>
      <c r="B202" t="s">
        <v>13</v>
      </c>
      <c r="D202" t="s">
        <v>14</v>
      </c>
      <c r="E202" t="s">
        <v>15</v>
      </c>
      <c r="F202">
        <v>7.1610341649618041</v>
      </c>
      <c r="H202" t="s">
        <v>17</v>
      </c>
      <c r="I202" t="s">
        <v>88</v>
      </c>
      <c r="K202">
        <v>642.0292022013715</v>
      </c>
      <c r="L202">
        <v>28979.793020557659</v>
      </c>
    </row>
    <row r="203" spans="1:12" x14ac:dyDescent="0.25">
      <c r="A203">
        <v>202</v>
      </c>
      <c r="B203" t="s">
        <v>13</v>
      </c>
      <c r="D203" t="s">
        <v>14</v>
      </c>
      <c r="E203" t="s">
        <v>15</v>
      </c>
      <c r="F203">
        <v>16.322739857317831</v>
      </c>
      <c r="H203" t="s">
        <v>17</v>
      </c>
      <c r="I203" t="s">
        <v>88</v>
      </c>
      <c r="K203">
        <v>1659.58571855575</v>
      </c>
      <c r="L203">
        <v>66056.048846682286</v>
      </c>
    </row>
    <row r="204" spans="1:12" x14ac:dyDescent="0.25">
      <c r="A204">
        <v>203</v>
      </c>
      <c r="B204" t="s">
        <v>13</v>
      </c>
      <c r="D204" t="s">
        <v>14</v>
      </c>
      <c r="E204" t="s">
        <v>15</v>
      </c>
      <c r="F204">
        <v>83.271639223744558</v>
      </c>
      <c r="H204" t="s">
        <v>17</v>
      </c>
      <c r="I204" t="s">
        <v>18</v>
      </c>
      <c r="K204">
        <v>2400.1944641071082</v>
      </c>
      <c r="L204">
        <v>336989.71595390223</v>
      </c>
    </row>
    <row r="205" spans="1:12" x14ac:dyDescent="0.25">
      <c r="A205">
        <v>204</v>
      </c>
      <c r="B205" t="s">
        <v>13</v>
      </c>
      <c r="D205" t="s">
        <v>14</v>
      </c>
      <c r="E205" t="s">
        <v>15</v>
      </c>
      <c r="F205">
        <v>5.9621090960594927</v>
      </c>
      <c r="H205" t="s">
        <v>17</v>
      </c>
      <c r="I205" t="s">
        <v>88</v>
      </c>
      <c r="K205">
        <v>638.66420338430908</v>
      </c>
      <c r="L205">
        <v>24127.89599792529</v>
      </c>
    </row>
    <row r="206" spans="1:12" x14ac:dyDescent="0.25">
      <c r="A206">
        <v>205</v>
      </c>
      <c r="B206" t="s">
        <v>13</v>
      </c>
      <c r="D206" t="s">
        <v>30</v>
      </c>
      <c r="E206" t="s">
        <v>31</v>
      </c>
      <c r="F206">
        <v>6.4482192332973103</v>
      </c>
      <c r="G206" t="s">
        <v>32</v>
      </c>
      <c r="H206" t="s">
        <v>33</v>
      </c>
      <c r="I206" t="s">
        <v>89</v>
      </c>
      <c r="K206">
        <v>655.71434886409531</v>
      </c>
      <c r="L206">
        <v>26095.121797695228</v>
      </c>
    </row>
    <row r="207" spans="1:12" x14ac:dyDescent="0.25">
      <c r="A207">
        <v>206</v>
      </c>
      <c r="B207" t="s">
        <v>13</v>
      </c>
      <c r="D207" t="s">
        <v>14</v>
      </c>
      <c r="E207" t="s">
        <v>15</v>
      </c>
      <c r="F207">
        <v>3.5215415076561918</v>
      </c>
      <c r="H207" t="s">
        <v>17</v>
      </c>
      <c r="I207" t="s">
        <v>19</v>
      </c>
      <c r="K207">
        <v>488.78747130169398</v>
      </c>
      <c r="L207">
        <v>14251.22987186912</v>
      </c>
    </row>
    <row r="208" spans="1:12" x14ac:dyDescent="0.25">
      <c r="A208">
        <v>207</v>
      </c>
      <c r="B208" t="s">
        <v>13</v>
      </c>
      <c r="D208" t="s">
        <v>14</v>
      </c>
      <c r="E208" t="s">
        <v>15</v>
      </c>
      <c r="F208">
        <v>5.8524937608473222E-2</v>
      </c>
      <c r="H208" t="s">
        <v>17</v>
      </c>
      <c r="I208" t="s">
        <v>90</v>
      </c>
      <c r="K208">
        <v>59.991351237118131</v>
      </c>
      <c r="L208">
        <v>236.8429670023298</v>
      </c>
    </row>
    <row r="209" spans="1:12" x14ac:dyDescent="0.25">
      <c r="A209">
        <v>208</v>
      </c>
      <c r="B209" t="s">
        <v>13</v>
      </c>
      <c r="D209" t="s">
        <v>30</v>
      </c>
      <c r="E209" t="s">
        <v>31</v>
      </c>
      <c r="F209">
        <v>5.7134816999035154</v>
      </c>
      <c r="G209" t="s">
        <v>32</v>
      </c>
      <c r="H209" t="s">
        <v>33</v>
      </c>
      <c r="I209" t="s">
        <v>89</v>
      </c>
      <c r="K209">
        <v>647.27761417033526</v>
      </c>
      <c r="L209">
        <v>23121.732598357321</v>
      </c>
    </row>
    <row r="210" spans="1:12" x14ac:dyDescent="0.25">
      <c r="A210">
        <v>209</v>
      </c>
      <c r="B210" t="s">
        <v>13</v>
      </c>
      <c r="D210" t="s">
        <v>14</v>
      </c>
      <c r="E210" t="s">
        <v>15</v>
      </c>
      <c r="F210">
        <v>7.4402164602732688</v>
      </c>
      <c r="H210" t="s">
        <v>17</v>
      </c>
      <c r="I210" t="s">
        <v>91</v>
      </c>
      <c r="K210">
        <v>1550.7361952565959</v>
      </c>
      <c r="L210">
        <v>30109.608204615452</v>
      </c>
    </row>
    <row r="211" spans="1:12" x14ac:dyDescent="0.25">
      <c r="A211">
        <v>210</v>
      </c>
      <c r="B211" t="s">
        <v>13</v>
      </c>
      <c r="C211" t="s">
        <v>56</v>
      </c>
      <c r="D211" t="s">
        <v>60</v>
      </c>
      <c r="E211" t="s">
        <v>61</v>
      </c>
      <c r="F211">
        <v>0.22163973697974251</v>
      </c>
      <c r="G211" t="s">
        <v>43</v>
      </c>
      <c r="H211" t="s">
        <v>62</v>
      </c>
      <c r="I211" t="s">
        <v>57</v>
      </c>
      <c r="K211">
        <v>149.28931813396841</v>
      </c>
      <c r="L211">
        <v>896.94778084305312</v>
      </c>
    </row>
    <row r="212" spans="1:12" x14ac:dyDescent="0.25">
      <c r="A212">
        <v>211</v>
      </c>
      <c r="B212" t="s">
        <v>13</v>
      </c>
      <c r="C212" t="s">
        <v>56</v>
      </c>
      <c r="D212" t="s">
        <v>30</v>
      </c>
      <c r="E212" t="s">
        <v>31</v>
      </c>
      <c r="F212">
        <v>8.8279508124429711</v>
      </c>
      <c r="G212" t="s">
        <v>32</v>
      </c>
      <c r="H212" t="s">
        <v>33</v>
      </c>
      <c r="I212" t="s">
        <v>57</v>
      </c>
      <c r="K212">
        <v>834.65032468753361</v>
      </c>
      <c r="L212">
        <v>35725.592344192613</v>
      </c>
    </row>
    <row r="213" spans="1:12" x14ac:dyDescent="0.25">
      <c r="A213">
        <v>212</v>
      </c>
      <c r="B213" t="s">
        <v>13</v>
      </c>
      <c r="D213" t="s">
        <v>46</v>
      </c>
      <c r="E213" t="s">
        <v>47</v>
      </c>
      <c r="F213">
        <v>14.71246290316895</v>
      </c>
      <c r="H213" t="s">
        <v>17</v>
      </c>
      <c r="I213" t="s">
        <v>92</v>
      </c>
      <c r="K213">
        <v>997.95416001999581</v>
      </c>
      <c r="L213">
        <v>59539.46314662545</v>
      </c>
    </row>
    <row r="214" spans="1:12" x14ac:dyDescent="0.25">
      <c r="A214">
        <v>213</v>
      </c>
      <c r="B214" t="s">
        <v>13</v>
      </c>
      <c r="D214" t="s">
        <v>30</v>
      </c>
      <c r="E214" t="s">
        <v>31</v>
      </c>
      <c r="F214">
        <v>1.9267689903652141</v>
      </c>
      <c r="G214" t="s">
        <v>32</v>
      </c>
      <c r="H214" t="s">
        <v>33</v>
      </c>
      <c r="I214" t="s">
        <v>93</v>
      </c>
      <c r="K214">
        <v>373.03528590401402</v>
      </c>
      <c r="L214">
        <v>7797.3886526640499</v>
      </c>
    </row>
    <row r="215" spans="1:12" x14ac:dyDescent="0.25">
      <c r="A215">
        <v>214</v>
      </c>
      <c r="B215" t="s">
        <v>13</v>
      </c>
      <c r="D215" t="s">
        <v>30</v>
      </c>
      <c r="E215" t="s">
        <v>31</v>
      </c>
      <c r="F215">
        <v>1.009691247496084</v>
      </c>
      <c r="G215" t="s">
        <v>32</v>
      </c>
      <c r="H215" t="s">
        <v>33</v>
      </c>
      <c r="I215" t="s">
        <v>94</v>
      </c>
      <c r="K215">
        <v>258.11632313292853</v>
      </c>
      <c r="L215">
        <v>4086.0918539216682</v>
      </c>
    </row>
    <row r="216" spans="1:12" x14ac:dyDescent="0.25">
      <c r="A216">
        <v>215</v>
      </c>
      <c r="B216" t="s">
        <v>13</v>
      </c>
      <c r="D216" t="s">
        <v>30</v>
      </c>
      <c r="E216" t="s">
        <v>31</v>
      </c>
      <c r="F216">
        <v>1.073646149699599</v>
      </c>
      <c r="G216" t="s">
        <v>32</v>
      </c>
      <c r="H216" t="s">
        <v>33</v>
      </c>
      <c r="I216" t="s">
        <v>95</v>
      </c>
      <c r="K216">
        <v>376.96417777401382</v>
      </c>
      <c r="L216">
        <v>4344.9091959162597</v>
      </c>
    </row>
    <row r="217" spans="1:12" x14ac:dyDescent="0.25">
      <c r="A217">
        <v>216</v>
      </c>
      <c r="B217" t="s">
        <v>13</v>
      </c>
      <c r="D217" t="s">
        <v>30</v>
      </c>
      <c r="E217" t="s">
        <v>31</v>
      </c>
      <c r="F217">
        <v>0.2485373032203701</v>
      </c>
      <c r="G217" t="s">
        <v>32</v>
      </c>
      <c r="H217" t="s">
        <v>33</v>
      </c>
      <c r="I217" t="s">
        <v>96</v>
      </c>
      <c r="K217">
        <v>154.44932383640969</v>
      </c>
      <c r="L217">
        <v>1005.798804934527</v>
      </c>
    </row>
    <row r="218" spans="1:12" x14ac:dyDescent="0.25">
      <c r="A218">
        <v>217</v>
      </c>
      <c r="B218" t="s">
        <v>13</v>
      </c>
      <c r="D218" t="s">
        <v>97</v>
      </c>
      <c r="E218" t="s">
        <v>98</v>
      </c>
      <c r="F218">
        <v>9.0573215371480886E-2</v>
      </c>
      <c r="G218" t="s">
        <v>72</v>
      </c>
      <c r="H218" t="s">
        <v>99</v>
      </c>
      <c r="I218" t="s">
        <v>100</v>
      </c>
      <c r="K218">
        <v>90.088186208025093</v>
      </c>
      <c r="L218">
        <v>366.53826447508749</v>
      </c>
    </row>
    <row r="219" spans="1:12" x14ac:dyDescent="0.25">
      <c r="A219">
        <v>218</v>
      </c>
      <c r="B219" t="s">
        <v>13</v>
      </c>
      <c r="D219" t="s">
        <v>60</v>
      </c>
      <c r="E219" t="s">
        <v>61</v>
      </c>
      <c r="F219">
        <v>0.41588205805685619</v>
      </c>
      <c r="G219" t="s">
        <v>43</v>
      </c>
      <c r="H219" t="s">
        <v>62</v>
      </c>
      <c r="I219" t="s">
        <v>101</v>
      </c>
      <c r="K219">
        <v>327.13606998388082</v>
      </c>
      <c r="L219">
        <v>1683.0217096884251</v>
      </c>
    </row>
    <row r="220" spans="1:12" x14ac:dyDescent="0.25">
      <c r="A220">
        <v>219</v>
      </c>
      <c r="B220" t="s">
        <v>13</v>
      </c>
      <c r="D220" t="s">
        <v>97</v>
      </c>
      <c r="E220" t="s">
        <v>98</v>
      </c>
      <c r="F220">
        <v>7.7011254661549025E-2</v>
      </c>
      <c r="G220" t="s">
        <v>72</v>
      </c>
      <c r="H220" t="s">
        <v>99</v>
      </c>
      <c r="I220" t="s">
        <v>102</v>
      </c>
      <c r="K220">
        <v>73.678761166395304</v>
      </c>
      <c r="L220">
        <v>311.65473714187362</v>
      </c>
    </row>
    <row r="221" spans="1:12" x14ac:dyDescent="0.25">
      <c r="A221">
        <v>220</v>
      </c>
      <c r="B221" t="s">
        <v>13</v>
      </c>
      <c r="D221" t="s">
        <v>30</v>
      </c>
      <c r="E221" t="s">
        <v>31</v>
      </c>
      <c r="F221">
        <v>23.206894221944872</v>
      </c>
      <c r="G221" t="s">
        <v>32</v>
      </c>
      <c r="H221" t="s">
        <v>33</v>
      </c>
      <c r="I221" t="s">
        <v>103</v>
      </c>
      <c r="K221">
        <v>1715.6739711753839</v>
      </c>
      <c r="L221">
        <v>93915.344587037733</v>
      </c>
    </row>
    <row r="222" spans="1:12" x14ac:dyDescent="0.25">
      <c r="A222">
        <v>221</v>
      </c>
      <c r="B222" t="s">
        <v>13</v>
      </c>
      <c r="D222" t="s">
        <v>30</v>
      </c>
      <c r="E222" t="s">
        <v>31</v>
      </c>
      <c r="F222">
        <v>0.29945219447944132</v>
      </c>
      <c r="G222" t="s">
        <v>32</v>
      </c>
      <c r="H222" t="s">
        <v>33</v>
      </c>
      <c r="I222" t="s">
        <v>104</v>
      </c>
      <c r="K222">
        <v>166.3236164052845</v>
      </c>
      <c r="L222">
        <v>1211.844883805589</v>
      </c>
    </row>
    <row r="223" spans="1:12" x14ac:dyDescent="0.25">
      <c r="A223">
        <v>222</v>
      </c>
      <c r="B223" t="s">
        <v>13</v>
      </c>
      <c r="D223" t="s">
        <v>30</v>
      </c>
      <c r="E223" t="s">
        <v>31</v>
      </c>
      <c r="F223">
        <v>1.413580534322229</v>
      </c>
      <c r="G223" t="s">
        <v>32</v>
      </c>
      <c r="H223" t="s">
        <v>33</v>
      </c>
      <c r="I223" t="s">
        <v>105</v>
      </c>
      <c r="K223">
        <v>302.19900753059432</v>
      </c>
      <c r="L223">
        <v>5720.5803462000385</v>
      </c>
    </row>
    <row r="224" spans="1:12" x14ac:dyDescent="0.25">
      <c r="A224">
        <v>223</v>
      </c>
      <c r="B224" t="s">
        <v>13</v>
      </c>
      <c r="C224" t="s">
        <v>56</v>
      </c>
      <c r="D224" t="s">
        <v>30</v>
      </c>
      <c r="E224" t="s">
        <v>31</v>
      </c>
      <c r="F224">
        <v>1.0676899906183721</v>
      </c>
      <c r="G224" t="s">
        <v>32</v>
      </c>
      <c r="H224" t="s">
        <v>33</v>
      </c>
      <c r="I224" t="s">
        <v>106</v>
      </c>
      <c r="K224">
        <v>317.55237134675968</v>
      </c>
      <c r="L224">
        <v>4320.8053788703874</v>
      </c>
    </row>
    <row r="225" spans="1:12" x14ac:dyDescent="0.25">
      <c r="A225">
        <v>224</v>
      </c>
      <c r="B225" t="s">
        <v>13</v>
      </c>
      <c r="C225" t="s">
        <v>56</v>
      </c>
      <c r="D225" t="s">
        <v>30</v>
      </c>
      <c r="E225" t="s">
        <v>31</v>
      </c>
      <c r="F225">
        <v>1.032501125746758</v>
      </c>
      <c r="G225" t="s">
        <v>32</v>
      </c>
      <c r="H225" t="s">
        <v>33</v>
      </c>
      <c r="I225" t="s">
        <v>107</v>
      </c>
      <c r="K225">
        <v>266.10449476530158</v>
      </c>
      <c r="L225">
        <v>4178.4005254488866</v>
      </c>
    </row>
    <row r="226" spans="1:12" x14ac:dyDescent="0.25">
      <c r="A226">
        <v>225</v>
      </c>
      <c r="B226" t="s">
        <v>13</v>
      </c>
      <c r="C226" t="s">
        <v>56</v>
      </c>
      <c r="D226" t="s">
        <v>30</v>
      </c>
      <c r="E226" t="s">
        <v>31</v>
      </c>
      <c r="F226">
        <v>0.72093972990453337</v>
      </c>
      <c r="G226" t="s">
        <v>32</v>
      </c>
      <c r="H226" t="s">
        <v>33</v>
      </c>
      <c r="I226" t="s">
        <v>108</v>
      </c>
      <c r="K226">
        <v>281.07470790976049</v>
      </c>
      <c r="L226">
        <v>2917.551246320797</v>
      </c>
    </row>
    <row r="227" spans="1:12" x14ac:dyDescent="0.25">
      <c r="A227">
        <v>226</v>
      </c>
      <c r="B227" t="s">
        <v>13</v>
      </c>
      <c r="C227" t="s">
        <v>56</v>
      </c>
      <c r="D227" t="s">
        <v>30</v>
      </c>
      <c r="E227" t="s">
        <v>31</v>
      </c>
      <c r="F227">
        <v>0.58783810326345298</v>
      </c>
      <c r="G227" t="s">
        <v>32</v>
      </c>
      <c r="H227" t="s">
        <v>33</v>
      </c>
      <c r="I227" t="s">
        <v>109</v>
      </c>
      <c r="K227">
        <v>284.01174635123448</v>
      </c>
      <c r="L227">
        <v>2378.9059191372999</v>
      </c>
    </row>
    <row r="228" spans="1:12" x14ac:dyDescent="0.25">
      <c r="A228">
        <v>227</v>
      </c>
      <c r="B228" t="s">
        <v>13</v>
      </c>
      <c r="C228" t="s">
        <v>56</v>
      </c>
      <c r="D228" t="s">
        <v>30</v>
      </c>
      <c r="E228" t="s">
        <v>31</v>
      </c>
      <c r="F228">
        <v>0.30487356722404618</v>
      </c>
      <c r="G228" t="s">
        <v>32</v>
      </c>
      <c r="H228" t="s">
        <v>33</v>
      </c>
      <c r="I228" t="s">
        <v>110</v>
      </c>
      <c r="K228">
        <v>179.48410306072671</v>
      </c>
      <c r="L228">
        <v>1233.7844886736491</v>
      </c>
    </row>
    <row r="229" spans="1:12" x14ac:dyDescent="0.25">
      <c r="A229">
        <v>228</v>
      </c>
      <c r="B229" t="s">
        <v>13</v>
      </c>
      <c r="C229" t="s">
        <v>56</v>
      </c>
      <c r="D229" t="s">
        <v>30</v>
      </c>
      <c r="E229" t="s">
        <v>31</v>
      </c>
      <c r="F229">
        <v>0.9496893745526892</v>
      </c>
      <c r="G229" t="s">
        <v>32</v>
      </c>
      <c r="H229" t="s">
        <v>33</v>
      </c>
      <c r="I229" t="s">
        <v>111</v>
      </c>
      <c r="K229">
        <v>250.9531842392233</v>
      </c>
      <c r="L229">
        <v>3843.2719177658869</v>
      </c>
    </row>
    <row r="230" spans="1:12" x14ac:dyDescent="0.25">
      <c r="A230">
        <v>229</v>
      </c>
      <c r="B230" t="s">
        <v>13</v>
      </c>
      <c r="C230" t="s">
        <v>56</v>
      </c>
      <c r="D230" t="s">
        <v>30</v>
      </c>
      <c r="E230" t="s">
        <v>31</v>
      </c>
      <c r="F230">
        <v>0.61859776555905477</v>
      </c>
      <c r="G230" t="s">
        <v>32</v>
      </c>
      <c r="H230" t="s">
        <v>33</v>
      </c>
      <c r="I230" t="s">
        <v>111</v>
      </c>
      <c r="K230">
        <v>214.4537068420334</v>
      </c>
      <c r="L230">
        <v>2503.386353970353</v>
      </c>
    </row>
    <row r="231" spans="1:12" x14ac:dyDescent="0.25">
      <c r="A231">
        <v>230</v>
      </c>
      <c r="B231" t="s">
        <v>13</v>
      </c>
      <c r="C231" t="s">
        <v>56</v>
      </c>
      <c r="D231" t="s">
        <v>30</v>
      </c>
      <c r="E231" t="s">
        <v>31</v>
      </c>
      <c r="F231">
        <v>0.30341857676302381</v>
      </c>
      <c r="G231" t="s">
        <v>32</v>
      </c>
      <c r="H231" t="s">
        <v>33</v>
      </c>
      <c r="I231" t="s">
        <v>112</v>
      </c>
      <c r="K231">
        <v>140.19058635747541</v>
      </c>
      <c r="L231">
        <v>1227.8963276293091</v>
      </c>
    </row>
    <row r="232" spans="1:12" x14ac:dyDescent="0.25">
      <c r="A232">
        <v>231</v>
      </c>
      <c r="B232" t="s">
        <v>13</v>
      </c>
      <c r="C232" t="s">
        <v>56</v>
      </c>
      <c r="D232" t="s">
        <v>30</v>
      </c>
      <c r="E232" t="s">
        <v>31</v>
      </c>
      <c r="F232">
        <v>1.027313874254467</v>
      </c>
      <c r="G232" t="s">
        <v>32</v>
      </c>
      <c r="H232" t="s">
        <v>33</v>
      </c>
      <c r="I232" t="s">
        <v>113</v>
      </c>
      <c r="K232">
        <v>345.5627807184722</v>
      </c>
      <c r="L232">
        <v>4157.408379464202</v>
      </c>
    </row>
    <row r="233" spans="1:12" x14ac:dyDescent="0.25">
      <c r="A233">
        <v>232</v>
      </c>
      <c r="B233" t="s">
        <v>13</v>
      </c>
      <c r="C233" t="s">
        <v>56</v>
      </c>
      <c r="D233" t="s">
        <v>30</v>
      </c>
      <c r="E233" t="s">
        <v>31</v>
      </c>
      <c r="F233">
        <v>1.0122060639702271</v>
      </c>
      <c r="G233" t="s">
        <v>32</v>
      </c>
      <c r="H233" t="s">
        <v>33</v>
      </c>
      <c r="I233" t="s">
        <v>114</v>
      </c>
      <c r="K233">
        <v>268.84704049117107</v>
      </c>
      <c r="L233">
        <v>4096.2689958297378</v>
      </c>
    </row>
    <row r="234" spans="1:12" x14ac:dyDescent="0.25">
      <c r="A234">
        <v>233</v>
      </c>
      <c r="B234" t="s">
        <v>13</v>
      </c>
      <c r="C234" t="s">
        <v>56</v>
      </c>
      <c r="D234" t="s">
        <v>30</v>
      </c>
      <c r="E234" t="s">
        <v>31</v>
      </c>
      <c r="F234">
        <v>1.5108937347898359</v>
      </c>
      <c r="G234" t="s">
        <v>32</v>
      </c>
      <c r="H234" t="s">
        <v>33</v>
      </c>
      <c r="I234" t="s">
        <v>115</v>
      </c>
      <c r="K234">
        <v>330.637384763407</v>
      </c>
      <c r="L234">
        <v>6114.3944717515978</v>
      </c>
    </row>
    <row r="235" spans="1:12" x14ac:dyDescent="0.25">
      <c r="A235">
        <v>234</v>
      </c>
      <c r="B235" t="s">
        <v>13</v>
      </c>
      <c r="C235" t="s">
        <v>56</v>
      </c>
      <c r="D235" t="s">
        <v>30</v>
      </c>
      <c r="E235" t="s">
        <v>31</v>
      </c>
      <c r="F235">
        <v>0.96051504903392071</v>
      </c>
      <c r="G235" t="s">
        <v>32</v>
      </c>
      <c r="H235" t="s">
        <v>33</v>
      </c>
      <c r="I235" t="s">
        <v>116</v>
      </c>
      <c r="K235">
        <v>255.00595533136831</v>
      </c>
      <c r="L235">
        <v>3887.0820433073982</v>
      </c>
    </row>
    <row r="236" spans="1:12" x14ac:dyDescent="0.25">
      <c r="A236">
        <v>235</v>
      </c>
      <c r="B236" t="s">
        <v>13</v>
      </c>
      <c r="D236" t="s">
        <v>30</v>
      </c>
      <c r="E236" t="s">
        <v>31</v>
      </c>
      <c r="F236">
        <v>1.0205756130851069</v>
      </c>
      <c r="G236" t="s">
        <v>32</v>
      </c>
      <c r="H236" t="s">
        <v>33</v>
      </c>
      <c r="I236" t="s">
        <v>117</v>
      </c>
      <c r="K236">
        <v>262.86495297140772</v>
      </c>
      <c r="L236">
        <v>4130.1394948997404</v>
      </c>
    </row>
    <row r="237" spans="1:12" x14ac:dyDescent="0.25">
      <c r="A237">
        <v>236</v>
      </c>
      <c r="B237" t="s">
        <v>13</v>
      </c>
      <c r="D237" t="s">
        <v>30</v>
      </c>
      <c r="E237" t="s">
        <v>31</v>
      </c>
      <c r="F237">
        <v>0.61842366814596261</v>
      </c>
      <c r="G237" t="s">
        <v>32</v>
      </c>
      <c r="H237" t="s">
        <v>33</v>
      </c>
      <c r="I237" t="s">
        <v>118</v>
      </c>
      <c r="K237">
        <v>203.28230826231419</v>
      </c>
      <c r="L237">
        <v>2502.6818039178602</v>
      </c>
    </row>
    <row r="238" spans="1:12" x14ac:dyDescent="0.25">
      <c r="A238">
        <v>237</v>
      </c>
      <c r="B238" t="s">
        <v>13</v>
      </c>
      <c r="C238" t="s">
        <v>56</v>
      </c>
      <c r="D238" t="s">
        <v>30</v>
      </c>
      <c r="E238" t="s">
        <v>31</v>
      </c>
      <c r="F238">
        <v>5.0586937539400783</v>
      </c>
      <c r="G238" t="s">
        <v>32</v>
      </c>
      <c r="H238" t="s">
        <v>33</v>
      </c>
      <c r="I238" t="s">
        <v>119</v>
      </c>
      <c r="K238">
        <v>629.90498389997686</v>
      </c>
      <c r="L238">
        <v>20471.88919456206</v>
      </c>
    </row>
    <row r="239" spans="1:12" x14ac:dyDescent="0.25">
      <c r="A239">
        <v>238</v>
      </c>
      <c r="B239" t="s">
        <v>13</v>
      </c>
      <c r="C239" t="s">
        <v>56</v>
      </c>
      <c r="D239" t="s">
        <v>30</v>
      </c>
      <c r="E239" t="s">
        <v>31</v>
      </c>
      <c r="F239">
        <v>0.37081631933119957</v>
      </c>
      <c r="G239" t="s">
        <v>32</v>
      </c>
      <c r="H239" t="s">
        <v>33</v>
      </c>
      <c r="I239" t="s">
        <v>119</v>
      </c>
      <c r="K239">
        <v>205.059430447452</v>
      </c>
      <c r="L239">
        <v>1500.6464059958159</v>
      </c>
    </row>
    <row r="240" spans="1:12" x14ac:dyDescent="0.25">
      <c r="A240">
        <v>239</v>
      </c>
      <c r="B240" t="s">
        <v>13</v>
      </c>
      <c r="C240" t="s">
        <v>56</v>
      </c>
      <c r="D240" t="s">
        <v>30</v>
      </c>
      <c r="E240" t="s">
        <v>31</v>
      </c>
      <c r="F240">
        <v>0.24763758985910289</v>
      </c>
      <c r="G240" t="s">
        <v>32</v>
      </c>
      <c r="H240" t="s">
        <v>33</v>
      </c>
      <c r="I240" t="s">
        <v>120</v>
      </c>
      <c r="K240">
        <v>127.0102492174683</v>
      </c>
      <c r="L240">
        <v>1002.157779576077</v>
      </c>
    </row>
    <row r="241" spans="1:12" x14ac:dyDescent="0.25">
      <c r="A241">
        <v>240</v>
      </c>
      <c r="B241" t="s">
        <v>13</v>
      </c>
      <c r="C241" t="s">
        <v>56</v>
      </c>
      <c r="D241" t="s">
        <v>30</v>
      </c>
      <c r="E241" t="s">
        <v>31</v>
      </c>
      <c r="F241">
        <v>0.16499293347836269</v>
      </c>
      <c r="G241" t="s">
        <v>32</v>
      </c>
      <c r="H241" t="s">
        <v>33</v>
      </c>
      <c r="I241" t="s">
        <v>121</v>
      </c>
      <c r="K241">
        <v>118.40950841826491</v>
      </c>
      <c r="L241">
        <v>667.70538331639045</v>
      </c>
    </row>
    <row r="242" spans="1:12" x14ac:dyDescent="0.25">
      <c r="A242">
        <v>241</v>
      </c>
      <c r="B242" t="s">
        <v>13</v>
      </c>
      <c r="C242" t="s">
        <v>56</v>
      </c>
      <c r="D242" t="s">
        <v>30</v>
      </c>
      <c r="E242" t="s">
        <v>31</v>
      </c>
      <c r="F242">
        <v>0.39987990001964208</v>
      </c>
      <c r="G242" t="s">
        <v>32</v>
      </c>
      <c r="H242" t="s">
        <v>33</v>
      </c>
      <c r="I242" t="s">
        <v>122</v>
      </c>
      <c r="K242">
        <v>180.4933338270271</v>
      </c>
      <c r="L242">
        <v>1618.263014628744</v>
      </c>
    </row>
    <row r="243" spans="1:12" x14ac:dyDescent="0.25">
      <c r="A243">
        <v>242</v>
      </c>
      <c r="B243" t="s">
        <v>13</v>
      </c>
      <c r="C243" t="s">
        <v>56</v>
      </c>
      <c r="D243" t="s">
        <v>30</v>
      </c>
      <c r="E243" t="s">
        <v>31</v>
      </c>
      <c r="F243">
        <v>0.51717069032659568</v>
      </c>
      <c r="G243" t="s">
        <v>32</v>
      </c>
      <c r="H243" t="s">
        <v>33</v>
      </c>
      <c r="I243" t="s">
        <v>123</v>
      </c>
      <c r="K243">
        <v>179.9420543604042</v>
      </c>
      <c r="L243">
        <v>2092.9239013124588</v>
      </c>
    </row>
    <row r="244" spans="1:12" x14ac:dyDescent="0.25">
      <c r="A244">
        <v>243</v>
      </c>
      <c r="B244" t="s">
        <v>13</v>
      </c>
      <c r="C244" t="s">
        <v>56</v>
      </c>
      <c r="D244" t="s">
        <v>30</v>
      </c>
      <c r="E244" t="s">
        <v>31</v>
      </c>
      <c r="F244">
        <v>0.44002521235642139</v>
      </c>
      <c r="G244" t="s">
        <v>32</v>
      </c>
      <c r="H244" t="s">
        <v>33</v>
      </c>
      <c r="I244" t="s">
        <v>57</v>
      </c>
      <c r="K244">
        <v>208.3131776493484</v>
      </c>
      <c r="L244">
        <v>1780.7259795393029</v>
      </c>
    </row>
    <row r="245" spans="1:12" x14ac:dyDescent="0.25">
      <c r="A245">
        <v>244</v>
      </c>
      <c r="B245" t="s">
        <v>13</v>
      </c>
      <c r="C245" t="s">
        <v>56</v>
      </c>
      <c r="D245" t="s">
        <v>30</v>
      </c>
      <c r="E245" t="s">
        <v>31</v>
      </c>
      <c r="F245">
        <v>2.5977080655899552</v>
      </c>
      <c r="G245" t="s">
        <v>32</v>
      </c>
      <c r="H245" t="s">
        <v>33</v>
      </c>
      <c r="I245" t="s">
        <v>124</v>
      </c>
      <c r="K245">
        <v>413.04510333033147</v>
      </c>
      <c r="L245">
        <v>10512.593619085421</v>
      </c>
    </row>
    <row r="246" spans="1:12" x14ac:dyDescent="0.25">
      <c r="A246">
        <v>245</v>
      </c>
      <c r="B246" t="s">
        <v>13</v>
      </c>
      <c r="C246" t="s">
        <v>56</v>
      </c>
      <c r="D246" t="s">
        <v>30</v>
      </c>
      <c r="E246" t="s">
        <v>31</v>
      </c>
      <c r="F246">
        <v>0.96729058984833272</v>
      </c>
      <c r="G246" t="s">
        <v>32</v>
      </c>
      <c r="H246" t="s">
        <v>33</v>
      </c>
      <c r="I246" t="s">
        <v>124</v>
      </c>
      <c r="K246">
        <v>267.97730750003541</v>
      </c>
      <c r="L246">
        <v>3914.501793846327</v>
      </c>
    </row>
    <row r="247" spans="1:12" x14ac:dyDescent="0.25">
      <c r="A247">
        <v>246</v>
      </c>
      <c r="B247" t="s">
        <v>13</v>
      </c>
      <c r="C247" t="s">
        <v>56</v>
      </c>
      <c r="D247" t="s">
        <v>30</v>
      </c>
      <c r="E247" t="s">
        <v>31</v>
      </c>
      <c r="F247">
        <v>1.930911822563655</v>
      </c>
      <c r="G247" t="s">
        <v>32</v>
      </c>
      <c r="H247" t="s">
        <v>33</v>
      </c>
      <c r="I247" t="s">
        <v>124</v>
      </c>
      <c r="K247">
        <v>419.49389119973608</v>
      </c>
      <c r="L247">
        <v>7814.1541668152286</v>
      </c>
    </row>
    <row r="248" spans="1:12" x14ac:dyDescent="0.25">
      <c r="A248">
        <v>247</v>
      </c>
      <c r="B248" t="s">
        <v>13</v>
      </c>
      <c r="C248" t="s">
        <v>56</v>
      </c>
      <c r="D248" t="s">
        <v>34</v>
      </c>
      <c r="E248" t="s">
        <v>35</v>
      </c>
      <c r="F248">
        <v>0.34154261460019658</v>
      </c>
      <c r="H248" t="s">
        <v>17</v>
      </c>
      <c r="I248" t="s">
        <v>82</v>
      </c>
      <c r="K248">
        <v>159.32906464127339</v>
      </c>
      <c r="L248">
        <v>1382.179452130373</v>
      </c>
    </row>
    <row r="249" spans="1:12" x14ac:dyDescent="0.25">
      <c r="A249">
        <v>248</v>
      </c>
      <c r="B249" t="s">
        <v>13</v>
      </c>
      <c r="C249" t="s">
        <v>56</v>
      </c>
      <c r="D249" t="s">
        <v>30</v>
      </c>
      <c r="E249" t="s">
        <v>31</v>
      </c>
      <c r="F249">
        <v>9.2399729597269595E-2</v>
      </c>
      <c r="G249" t="s">
        <v>32</v>
      </c>
      <c r="H249" t="s">
        <v>33</v>
      </c>
      <c r="I249" t="s">
        <v>57</v>
      </c>
      <c r="K249">
        <v>91.830741606627356</v>
      </c>
      <c r="L249">
        <v>373.92993486697748</v>
      </c>
    </row>
    <row r="250" spans="1:12" x14ac:dyDescent="0.25">
      <c r="A250">
        <v>249</v>
      </c>
      <c r="B250" t="s">
        <v>13</v>
      </c>
      <c r="D250" t="s">
        <v>30</v>
      </c>
      <c r="E250" t="s">
        <v>31</v>
      </c>
      <c r="F250">
        <v>5.0158346166420609</v>
      </c>
      <c r="G250" t="s">
        <v>32</v>
      </c>
      <c r="H250" t="s">
        <v>33</v>
      </c>
      <c r="I250" t="s">
        <v>125</v>
      </c>
      <c r="K250">
        <v>557.25602305896746</v>
      </c>
      <c r="L250">
        <v>20298.443725747871</v>
      </c>
    </row>
    <row r="251" spans="1:12" x14ac:dyDescent="0.25">
      <c r="A251">
        <v>250</v>
      </c>
      <c r="B251" t="s">
        <v>13</v>
      </c>
      <c r="C251" t="s">
        <v>56</v>
      </c>
      <c r="D251" t="s">
        <v>30</v>
      </c>
      <c r="E251" t="s">
        <v>31</v>
      </c>
      <c r="F251">
        <v>1.0026929142557</v>
      </c>
      <c r="G251" t="s">
        <v>32</v>
      </c>
      <c r="H251" t="s">
        <v>33</v>
      </c>
      <c r="I251" t="s">
        <v>126</v>
      </c>
      <c r="K251">
        <v>276.47724389722339</v>
      </c>
      <c r="L251">
        <v>4057.7704908163828</v>
      </c>
    </row>
    <row r="252" spans="1:12" x14ac:dyDescent="0.25">
      <c r="A252">
        <v>251</v>
      </c>
      <c r="B252" t="s">
        <v>13</v>
      </c>
      <c r="C252" t="s">
        <v>56</v>
      </c>
      <c r="D252" t="s">
        <v>30</v>
      </c>
      <c r="E252" t="s">
        <v>31</v>
      </c>
      <c r="F252">
        <v>0.2475464884998525</v>
      </c>
      <c r="G252" t="s">
        <v>32</v>
      </c>
      <c r="H252" t="s">
        <v>33</v>
      </c>
      <c r="I252" t="s">
        <v>127</v>
      </c>
      <c r="K252">
        <v>136.1561639867503</v>
      </c>
      <c r="L252">
        <v>1001.789103980605</v>
      </c>
    </row>
    <row r="253" spans="1:12" x14ac:dyDescent="0.25">
      <c r="A253">
        <v>252</v>
      </c>
      <c r="B253" t="s">
        <v>13</v>
      </c>
      <c r="C253" t="s">
        <v>56</v>
      </c>
      <c r="D253" t="s">
        <v>30</v>
      </c>
      <c r="E253" t="s">
        <v>31</v>
      </c>
      <c r="F253">
        <v>1.132935672988707</v>
      </c>
      <c r="G253" t="s">
        <v>32</v>
      </c>
      <c r="H253" t="s">
        <v>33</v>
      </c>
      <c r="I253" t="s">
        <v>128</v>
      </c>
      <c r="K253">
        <v>289.07814006376151</v>
      </c>
      <c r="L253">
        <v>4584.8463437674491</v>
      </c>
    </row>
    <row r="254" spans="1:12" x14ac:dyDescent="0.25">
      <c r="A254">
        <v>253</v>
      </c>
      <c r="B254" t="s">
        <v>13</v>
      </c>
      <c r="C254" t="s">
        <v>56</v>
      </c>
      <c r="D254" t="s">
        <v>30</v>
      </c>
      <c r="E254" t="s">
        <v>31</v>
      </c>
      <c r="F254">
        <v>0.84906554587154026</v>
      </c>
      <c r="G254" t="s">
        <v>32</v>
      </c>
      <c r="H254" t="s">
        <v>33</v>
      </c>
      <c r="I254" t="s">
        <v>129</v>
      </c>
      <c r="K254">
        <v>349.87679151911698</v>
      </c>
      <c r="L254">
        <v>3436.060101575466</v>
      </c>
    </row>
    <row r="255" spans="1:12" x14ac:dyDescent="0.25">
      <c r="A255">
        <v>254</v>
      </c>
      <c r="B255" t="s">
        <v>13</v>
      </c>
      <c r="C255" t="s">
        <v>56</v>
      </c>
      <c r="D255" t="s">
        <v>30</v>
      </c>
      <c r="E255" t="s">
        <v>31</v>
      </c>
      <c r="F255">
        <v>2.0399300701636629</v>
      </c>
      <c r="G255" t="s">
        <v>32</v>
      </c>
      <c r="H255" t="s">
        <v>33</v>
      </c>
      <c r="I255" t="s">
        <v>57</v>
      </c>
      <c r="K255">
        <v>469.86941502997308</v>
      </c>
      <c r="L255">
        <v>8255.337127004188</v>
      </c>
    </row>
    <row r="256" spans="1:12" x14ac:dyDescent="0.25">
      <c r="A256">
        <v>255</v>
      </c>
      <c r="B256" t="s">
        <v>13</v>
      </c>
      <c r="D256" t="s">
        <v>130</v>
      </c>
      <c r="E256" t="s">
        <v>131</v>
      </c>
      <c r="F256">
        <v>1.2522969744382699</v>
      </c>
      <c r="H256" t="s">
        <v>17</v>
      </c>
      <c r="I256" t="s">
        <v>132</v>
      </c>
      <c r="K256">
        <v>400.54560655078171</v>
      </c>
      <c r="L256">
        <v>5067.8863252826304</v>
      </c>
    </row>
    <row r="257" spans="1:12" x14ac:dyDescent="0.25">
      <c r="A257">
        <v>256</v>
      </c>
      <c r="B257" t="s">
        <v>13</v>
      </c>
      <c r="D257" t="s">
        <v>30</v>
      </c>
      <c r="E257" t="s">
        <v>31</v>
      </c>
      <c r="F257">
        <v>6.2103135311209732</v>
      </c>
      <c r="G257" t="s">
        <v>32</v>
      </c>
      <c r="H257" t="s">
        <v>33</v>
      </c>
      <c r="I257" t="s">
        <v>133</v>
      </c>
      <c r="K257">
        <v>626.63537795117099</v>
      </c>
      <c r="L257">
        <v>25132.347727824908</v>
      </c>
    </row>
    <row r="258" spans="1:12" x14ac:dyDescent="0.25">
      <c r="A258">
        <v>257</v>
      </c>
      <c r="B258" t="s">
        <v>13</v>
      </c>
      <c r="C258" t="s">
        <v>20</v>
      </c>
      <c r="D258" t="s">
        <v>14</v>
      </c>
      <c r="E258" t="s">
        <v>15</v>
      </c>
      <c r="F258">
        <v>0.19435377851826879</v>
      </c>
      <c r="H258" t="s">
        <v>17</v>
      </c>
      <c r="I258" t="s">
        <v>19</v>
      </c>
      <c r="K258">
        <v>151.3666452584697</v>
      </c>
      <c r="L258">
        <v>786.52498291114864</v>
      </c>
    </row>
    <row r="259" spans="1:12" x14ac:dyDescent="0.25">
      <c r="A259">
        <v>258</v>
      </c>
      <c r="B259" t="s">
        <v>13</v>
      </c>
      <c r="C259" t="s">
        <v>20</v>
      </c>
      <c r="D259" t="s">
        <v>14</v>
      </c>
      <c r="E259" t="s">
        <v>15</v>
      </c>
      <c r="F259">
        <v>0.2474680889137813</v>
      </c>
      <c r="H259" t="s">
        <v>17</v>
      </c>
      <c r="I259" t="s">
        <v>19</v>
      </c>
      <c r="K259">
        <v>169.93396908600809</v>
      </c>
      <c r="L259">
        <v>1001.471830843108</v>
      </c>
    </row>
    <row r="260" spans="1:12" x14ac:dyDescent="0.25">
      <c r="A260">
        <v>259</v>
      </c>
      <c r="B260" t="s">
        <v>13</v>
      </c>
      <c r="C260" t="s">
        <v>20</v>
      </c>
      <c r="D260" t="s">
        <v>30</v>
      </c>
      <c r="E260" t="s">
        <v>31</v>
      </c>
      <c r="F260">
        <v>7.7127809451741705E-2</v>
      </c>
      <c r="G260" t="s">
        <v>32</v>
      </c>
      <c r="H260" t="s">
        <v>33</v>
      </c>
      <c r="I260" t="s">
        <v>20</v>
      </c>
      <c r="K260">
        <v>73.400253058159748</v>
      </c>
      <c r="L260">
        <v>312.12641952985388</v>
      </c>
    </row>
    <row r="261" spans="1:12" x14ac:dyDescent="0.25">
      <c r="A261">
        <v>260</v>
      </c>
      <c r="B261" t="s">
        <v>13</v>
      </c>
      <c r="C261" t="s">
        <v>50</v>
      </c>
      <c r="D261" t="s">
        <v>30</v>
      </c>
      <c r="E261" t="s">
        <v>31</v>
      </c>
      <c r="F261">
        <v>1.003038822123111</v>
      </c>
      <c r="G261" t="s">
        <v>32</v>
      </c>
      <c r="H261" t="s">
        <v>33</v>
      </c>
      <c r="I261" t="s">
        <v>134</v>
      </c>
      <c r="K261">
        <v>339.51302392494262</v>
      </c>
      <c r="L261">
        <v>4059.1703358905488</v>
      </c>
    </row>
    <row r="262" spans="1:12" x14ac:dyDescent="0.25">
      <c r="A262">
        <v>261</v>
      </c>
      <c r="B262" t="s">
        <v>13</v>
      </c>
      <c r="D262" t="s">
        <v>30</v>
      </c>
      <c r="E262" t="s">
        <v>31</v>
      </c>
      <c r="F262">
        <v>1.005853327856119</v>
      </c>
      <c r="G262" t="s">
        <v>32</v>
      </c>
      <c r="H262" t="s">
        <v>33</v>
      </c>
      <c r="I262" t="s">
        <v>135</v>
      </c>
      <c r="K262">
        <v>255.2228919819608</v>
      </c>
      <c r="L262">
        <v>4070.560282051792</v>
      </c>
    </row>
    <row r="263" spans="1:12" x14ac:dyDescent="0.25">
      <c r="A263">
        <v>262</v>
      </c>
      <c r="B263" t="s">
        <v>13</v>
      </c>
      <c r="C263" t="s">
        <v>56</v>
      </c>
      <c r="D263" t="s">
        <v>30</v>
      </c>
      <c r="E263" t="s">
        <v>31</v>
      </c>
      <c r="F263">
        <v>9.8687142259320917E-2</v>
      </c>
      <c r="G263" t="s">
        <v>32</v>
      </c>
      <c r="H263" t="s">
        <v>33</v>
      </c>
      <c r="I263" t="s">
        <v>65</v>
      </c>
      <c r="K263">
        <v>115.0635285659762</v>
      </c>
      <c r="L263">
        <v>399.37429295600958</v>
      </c>
    </row>
    <row r="264" spans="1:12" x14ac:dyDescent="0.25">
      <c r="A264">
        <v>263</v>
      </c>
      <c r="B264" t="s">
        <v>13</v>
      </c>
      <c r="C264" t="s">
        <v>56</v>
      </c>
      <c r="D264" t="s">
        <v>60</v>
      </c>
      <c r="E264" t="s">
        <v>61</v>
      </c>
      <c r="F264">
        <v>6.0278375522484932E-2</v>
      </c>
      <c r="G264" t="s">
        <v>43</v>
      </c>
      <c r="H264" t="s">
        <v>62</v>
      </c>
      <c r="I264" t="s">
        <v>136</v>
      </c>
      <c r="K264">
        <v>61.258804023975259</v>
      </c>
      <c r="L264">
        <v>243.93890686965881</v>
      </c>
    </row>
    <row r="265" spans="1:12" x14ac:dyDescent="0.25">
      <c r="A265">
        <v>264</v>
      </c>
      <c r="B265" t="s">
        <v>13</v>
      </c>
      <c r="C265" t="s">
        <v>56</v>
      </c>
      <c r="D265" t="s">
        <v>60</v>
      </c>
      <c r="E265" t="s">
        <v>61</v>
      </c>
      <c r="F265">
        <v>6.7597585660886028E-2</v>
      </c>
      <c r="G265" t="s">
        <v>43</v>
      </c>
      <c r="H265" t="s">
        <v>62</v>
      </c>
      <c r="I265" t="s">
        <v>136</v>
      </c>
      <c r="K265">
        <v>62.669645915656901</v>
      </c>
      <c r="L265">
        <v>273.55881790466822</v>
      </c>
    </row>
    <row r="266" spans="1:12" x14ac:dyDescent="0.25">
      <c r="A266">
        <v>265</v>
      </c>
      <c r="B266" t="s">
        <v>13</v>
      </c>
      <c r="D266" t="s">
        <v>14</v>
      </c>
      <c r="E266" t="s">
        <v>15</v>
      </c>
      <c r="F266">
        <v>0.2411503270127924</v>
      </c>
      <c r="H266" t="s">
        <v>17</v>
      </c>
      <c r="I266" t="s">
        <v>18</v>
      </c>
      <c r="K266">
        <v>192.35296719421871</v>
      </c>
      <c r="L266">
        <v>975.90465325028833</v>
      </c>
    </row>
    <row r="267" spans="1:12" x14ac:dyDescent="0.25">
      <c r="A267">
        <v>266</v>
      </c>
      <c r="B267" t="s">
        <v>13</v>
      </c>
      <c r="D267" t="s">
        <v>14</v>
      </c>
      <c r="E267" t="s">
        <v>15</v>
      </c>
      <c r="F267">
        <v>7.503824998599927E-2</v>
      </c>
      <c r="H267" t="s">
        <v>17</v>
      </c>
      <c r="I267" t="s">
        <v>18</v>
      </c>
      <c r="K267">
        <v>84.694775275010983</v>
      </c>
      <c r="L267">
        <v>303.6702385612374</v>
      </c>
    </row>
    <row r="268" spans="1:12" x14ac:dyDescent="0.25">
      <c r="A268">
        <v>267</v>
      </c>
      <c r="B268" t="s">
        <v>13</v>
      </c>
      <c r="C268" t="s">
        <v>56</v>
      </c>
      <c r="D268" t="s">
        <v>30</v>
      </c>
      <c r="E268" t="s">
        <v>31</v>
      </c>
      <c r="F268">
        <v>0.48773161344043642</v>
      </c>
      <c r="G268" t="s">
        <v>32</v>
      </c>
      <c r="H268" t="s">
        <v>33</v>
      </c>
      <c r="I268" t="s">
        <v>69</v>
      </c>
      <c r="K268">
        <v>186.37828102751709</v>
      </c>
      <c r="L268">
        <v>1973.7877074018779</v>
      </c>
    </row>
    <row r="269" spans="1:12" x14ac:dyDescent="0.25">
      <c r="A269">
        <v>268</v>
      </c>
      <c r="B269" t="s">
        <v>13</v>
      </c>
      <c r="D269" t="s">
        <v>21</v>
      </c>
      <c r="E269" t="s">
        <v>22</v>
      </c>
      <c r="F269">
        <v>4.4841213027222384</v>
      </c>
      <c r="G269" t="s">
        <v>23</v>
      </c>
      <c r="H269" t="s">
        <v>24</v>
      </c>
      <c r="I269" t="s">
        <v>25</v>
      </c>
      <c r="K269">
        <v>563.50372379052783</v>
      </c>
      <c r="L269">
        <v>18146.667679340269</v>
      </c>
    </row>
    <row r="270" spans="1:12" x14ac:dyDescent="0.25">
      <c r="A270">
        <v>269</v>
      </c>
      <c r="B270" t="s">
        <v>13</v>
      </c>
      <c r="D270" t="s">
        <v>21</v>
      </c>
      <c r="E270" t="s">
        <v>22</v>
      </c>
      <c r="F270">
        <v>2.8298177630676289</v>
      </c>
      <c r="G270" t="s">
        <v>23</v>
      </c>
      <c r="H270" t="s">
        <v>24</v>
      </c>
      <c r="I270" t="s">
        <v>137</v>
      </c>
      <c r="K270">
        <v>451.04856238656362</v>
      </c>
      <c r="L270">
        <v>11451.911996294009</v>
      </c>
    </row>
    <row r="271" spans="1:12" x14ac:dyDescent="0.25">
      <c r="A271">
        <v>270</v>
      </c>
      <c r="B271" t="s">
        <v>13</v>
      </c>
      <c r="D271" t="s">
        <v>21</v>
      </c>
      <c r="E271" t="s">
        <v>22</v>
      </c>
      <c r="F271">
        <v>3.8034940567532329</v>
      </c>
      <c r="G271" t="s">
        <v>23</v>
      </c>
      <c r="H271" t="s">
        <v>24</v>
      </c>
      <c r="I271" t="s">
        <v>137</v>
      </c>
      <c r="K271">
        <v>507.02301129245029</v>
      </c>
      <c r="L271">
        <v>15392.25592009416</v>
      </c>
    </row>
    <row r="272" spans="1:12" x14ac:dyDescent="0.25">
      <c r="A272">
        <v>271</v>
      </c>
      <c r="B272" t="s">
        <v>13</v>
      </c>
      <c r="C272" t="s">
        <v>50</v>
      </c>
      <c r="D272" t="s">
        <v>46</v>
      </c>
      <c r="E272" t="s">
        <v>47</v>
      </c>
      <c r="F272">
        <v>6.2980993029588456E-2</v>
      </c>
      <c r="K272">
        <v>61.122253608207252</v>
      </c>
      <c r="L272">
        <v>254.87605563412271</v>
      </c>
    </row>
    <row r="273" spans="1:12" x14ac:dyDescent="0.25">
      <c r="A273">
        <v>273</v>
      </c>
      <c r="B273" t="s">
        <v>13</v>
      </c>
      <c r="D273" t="s">
        <v>138</v>
      </c>
      <c r="E273" t="s">
        <v>139</v>
      </c>
      <c r="F273">
        <v>1.6611053557812141E-2</v>
      </c>
      <c r="G273" t="s">
        <v>72</v>
      </c>
      <c r="H273" t="s">
        <v>99</v>
      </c>
      <c r="K273">
        <v>32.880116402031277</v>
      </c>
      <c r="L273">
        <v>67.222817664264184</v>
      </c>
    </row>
    <row r="274" spans="1:12" x14ac:dyDescent="0.25">
      <c r="A274">
        <v>274</v>
      </c>
      <c r="B274" t="s">
        <v>13</v>
      </c>
      <c r="D274" t="s">
        <v>138</v>
      </c>
      <c r="E274" t="s">
        <v>139</v>
      </c>
      <c r="F274">
        <v>8.6304191477537071E-3</v>
      </c>
      <c r="G274" t="s">
        <v>72</v>
      </c>
      <c r="H274" t="s">
        <v>99</v>
      </c>
      <c r="K274">
        <v>23.809421776252911</v>
      </c>
      <c r="L274">
        <v>34.926206860778763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78DF-7CF8-4C0D-9B8D-EAE5D05D2904}">
  <dimension ref="A1:AL98"/>
  <sheetViews>
    <sheetView workbookViewId="0">
      <selection activeCell="B14" sqref="B14:B40"/>
    </sheetView>
  </sheetViews>
  <sheetFormatPr defaultRowHeight="15" x14ac:dyDescent="0.25"/>
  <cols>
    <col min="1" max="1" width="9.7109375" customWidth="1"/>
    <col min="2" max="2" width="22.5703125" style="7" bestFit="1" customWidth="1"/>
    <col min="3" max="3" width="3.140625" customWidth="1"/>
    <col min="4" max="4" width="8.85546875" customWidth="1"/>
    <col min="5" max="5" width="13.42578125" customWidth="1"/>
    <col min="6" max="6" width="4.28515625" customWidth="1"/>
    <col min="7" max="8" width="8.85546875" customWidth="1"/>
    <col min="9" max="9" width="2.85546875" customWidth="1"/>
    <col min="11" max="11" width="10.85546875" bestFit="1" customWidth="1"/>
    <col min="12" max="12" width="2.85546875" customWidth="1"/>
    <col min="14" max="14" width="10.85546875" bestFit="1" customWidth="1"/>
    <col min="15" max="15" width="2.85546875" customWidth="1"/>
    <col min="17" max="17" width="10.85546875" bestFit="1" customWidth="1"/>
    <col min="18" max="18" width="2.85546875" customWidth="1"/>
    <col min="21" max="21" width="2.85546875" customWidth="1"/>
    <col min="24" max="24" width="2.85546875" customWidth="1"/>
    <col min="27" max="27" width="2.85546875" customWidth="1"/>
    <col min="30" max="30" width="2.85546875" customWidth="1"/>
    <col min="35" max="35" width="11" bestFit="1" customWidth="1"/>
  </cols>
  <sheetData>
    <row r="1" spans="1:32" x14ac:dyDescent="0.25">
      <c r="B1" s="2"/>
      <c r="V1" s="3"/>
      <c r="W1" s="3"/>
      <c r="AB1" s="3"/>
      <c r="AC1" s="3"/>
      <c r="AE1" s="3"/>
      <c r="AF1" s="3"/>
    </row>
    <row r="2" spans="1:32" ht="15.75" thickBot="1" x14ac:dyDescent="0.3">
      <c r="B2" s="4"/>
      <c r="D2" s="5" t="s">
        <v>140</v>
      </c>
      <c r="E2" s="5"/>
      <c r="G2" s="5" t="s">
        <v>141</v>
      </c>
      <c r="H2" s="5"/>
      <c r="J2" s="5" t="s">
        <v>142</v>
      </c>
      <c r="K2" s="5"/>
      <c r="M2" s="5" t="s">
        <v>12</v>
      </c>
      <c r="N2" s="5"/>
      <c r="P2" s="5" t="s">
        <v>143</v>
      </c>
      <c r="Q2" s="5"/>
      <c r="S2" s="5" t="s">
        <v>144</v>
      </c>
      <c r="T2" s="5"/>
      <c r="V2" s="5" t="s">
        <v>145</v>
      </c>
      <c r="W2" s="5"/>
      <c r="Y2" s="5" t="s">
        <v>146</v>
      </c>
      <c r="Z2" s="5"/>
      <c r="AB2" s="5" t="s">
        <v>147</v>
      </c>
      <c r="AC2" s="5"/>
      <c r="AE2" s="5" t="s">
        <v>148</v>
      </c>
      <c r="AF2" s="5"/>
    </row>
    <row r="3" spans="1:32" x14ac:dyDescent="0.25">
      <c r="B3" s="6" t="s">
        <v>149</v>
      </c>
      <c r="D3" s="6" t="s">
        <v>150</v>
      </c>
      <c r="E3" s="6" t="s">
        <v>151</v>
      </c>
      <c r="G3" s="6" t="s">
        <v>150</v>
      </c>
      <c r="H3" s="6" t="s">
        <v>151</v>
      </c>
      <c r="J3" s="6" t="s">
        <v>150</v>
      </c>
      <c r="K3" s="6" t="s">
        <v>151</v>
      </c>
      <c r="M3" s="6" t="s">
        <v>150</v>
      </c>
      <c r="N3" s="6" t="s">
        <v>151</v>
      </c>
      <c r="P3" s="6" t="s">
        <v>150</v>
      </c>
      <c r="Q3" s="6" t="s">
        <v>151</v>
      </c>
      <c r="S3" s="6" t="s">
        <v>150</v>
      </c>
      <c r="T3" s="6" t="s">
        <v>151</v>
      </c>
      <c r="V3" s="6" t="s">
        <v>150</v>
      </c>
      <c r="W3" s="6" t="s">
        <v>151</v>
      </c>
      <c r="Y3" s="6" t="s">
        <v>150</v>
      </c>
      <c r="Z3" s="6" t="s">
        <v>151</v>
      </c>
      <c r="AB3" s="6" t="s">
        <v>150</v>
      </c>
      <c r="AC3" s="6" t="s">
        <v>151</v>
      </c>
      <c r="AE3" s="6" t="s">
        <v>150</v>
      </c>
      <c r="AF3" s="6" t="s">
        <v>151</v>
      </c>
    </row>
    <row r="4" spans="1:32" x14ac:dyDescent="0.25">
      <c r="B4" t="s">
        <v>14</v>
      </c>
      <c r="D4">
        <f>COUNTIFS('[1]unit-ditch-irr-crop'!$I$2:$I$1048576,"AA",'[1]unit-ditch-irr-crop'!$K$2:$K$1048576,$B4)</f>
        <v>13</v>
      </c>
      <c r="E4" s="8">
        <f>SUMIFS('[1]unit-ditch-irr-crop'!$M$2:$M$1048576,'[1]unit-ditch-irr-crop'!$I$2:$I$1048576,"AA",'[1]unit-ditch-irr-crop'!$K$2:$K$1048576,$B4)</f>
        <v>46.803024659438812</v>
      </c>
      <c r="G4">
        <f>COUNTIFS('[1]unit-ditch-irr-crop'!$I$2:$I$1048576,"CG",'[1]unit-ditch-irr-crop'!$K$2:$K$1048576,$B4)</f>
        <v>7</v>
      </c>
      <c r="H4" s="8">
        <f>SUMIFS('[1]unit-ditch-irr-crop'!$M$2:$M$1048576,'[1]unit-ditch-irr-crop'!$I$2:$I$1048576,"CG",'[1]unit-ditch-irr-crop'!$K$2:$K$1048576,$B4)</f>
        <v>37.545594040432654</v>
      </c>
      <c r="J4">
        <f>COUNTIFS('[1]unit-ditch-irr-crop'!$I$2:$I$1048576,"Gw",'[1]unit-ditch-irr-crop'!$K$2:$K$1048576,$B4)</f>
        <v>10</v>
      </c>
      <c r="K4" s="8">
        <f>SUMIFS('[1]unit-ditch-irr-crop'!$M$2:$M$1048576,'[1]unit-ditch-irr-crop'!$I$2:$I$1048576,"GW",'[1]unit-ditch-irr-crop'!$K$2:$K$1048576,$B4)</f>
        <v>32.128554047488386</v>
      </c>
      <c r="M4">
        <f>COUNTIFS(IA_2025!B:B,"LU",IA_2025!D:D,$B4)</f>
        <v>87</v>
      </c>
      <c r="N4" s="8">
        <f>SUMIFS('[1]unit-ditch-irr-crop'!$M$2:$M$1048576,'[1]unit-ditch-irr-crop'!$I$2:$I$1048576,"LU",'[1]unit-ditch-irr-crop'!$K$2:$K$1048576,$B4)</f>
        <v>1016.6691570894228</v>
      </c>
      <c r="P4">
        <f>COUNTIFS('[1]unit-ditch-irr-crop'!$I$2:$I$1048576,"RR",'[1]unit-ditch-irr-crop'!$K$2:$K$1048576,$B4)</f>
        <v>21</v>
      </c>
      <c r="Q4" s="8">
        <f>SUMIFS('[1]unit-ditch-irr-crop'!$M$2:$M$1048576,'[1]unit-ditch-irr-crop'!$I$2:$I$1048576,"RR",'[1]unit-ditch-irr-crop'!$K$2:$K$1048576,$B4)</f>
        <v>276.89393994004837</v>
      </c>
      <c r="S4">
        <f>COUNTIFS('[1]unit-ditch-irr-crop'!$I$2:$I$1048576,"RS",'[1]unit-ditch-irr-crop'!$K$2:$K$1048576,$B4)</f>
        <v>25</v>
      </c>
      <c r="T4" s="8">
        <f>SUMIFS('[1]unit-ditch-irr-crop'!$M$2:$M$1048576,'[1]unit-ditch-irr-crop'!$I$2:$I$1048576,"RS",'[1]unit-ditch-irr-crop'!$K$2:$K$1048576,$B4)</f>
        <v>90.157118113651933</v>
      </c>
      <c r="V4">
        <f>COUNTIFS('[1]unit-ditch-irr-crop'!$I$2:$I$1048576,"SS",'[1]unit-ditch-irr-crop'!$K$2:$K$1048576,$B4)</f>
        <v>1</v>
      </c>
      <c r="W4" s="8">
        <f>SUMIFS('[1]unit-ditch-irr-crop'!$M$2:$M$1048576,'[1]unit-ditch-irr-crop'!$I$2:$I$1048576,"SS",'[1]unit-ditch-irr-crop'!$K$2:$K$1048576,$B4)</f>
        <v>0.33275798291997999</v>
      </c>
      <c r="Y4">
        <f>COUNTIFS('[1]unit-ditch-irr-crop'!$I$2:$I$1048576,"UG",'[1]unit-ditch-irr-crop'!$K$2:$K$1048576,$B4)</f>
        <v>0</v>
      </c>
      <c r="Z4" s="8">
        <f>SUMIFS('[1]unit-ditch-irr-crop'!$M$2:$M$1048576,'[1]unit-ditch-irr-crop'!$I$2:$I$1048576,"UG",'[1]unit-ditch-irr-crop'!$K$2:$K$1048576,$B4)</f>
        <v>0</v>
      </c>
      <c r="AB4">
        <f>COUNTIFS('[1]unit-ditch-irr-crop'!$I$2:$I$1048576,"VV",'[1]unit-ditch-irr-crop'!$E$2:$E$1048576,"Arizona v California",'[1]unit-ditch-irr-crop'!$K$2:$K$1048576,$B4)</f>
        <v>0</v>
      </c>
      <c r="AC4" s="8">
        <f>SUMIFS('[1]unit-ditch-irr-crop'!$M$2:$M$1048576,'[1]unit-ditch-irr-crop'!$I$2:$I$1048576,"VV",'[1]unit-ditch-irr-crop'!$E$2:$E$1048576,"Arizona v California",'[1]unit-ditch-irr-crop'!$K$2:$K$1048576,$B4)</f>
        <v>0</v>
      </c>
      <c r="AE4">
        <f>COUNTIFS('[1]unit-ditch-irr-crop'!$I$2:$I$1048576,"VV",'[1]unit-ditch-irr-crop'!$E$2:$E$1048576,"Globe Equity Decree",'[1]unit-ditch-irr-crop'!$K$2:$K$1048576,$B4)</f>
        <v>0</v>
      </c>
      <c r="AF4" s="8">
        <f>SUMIFS('[1]unit-ditch-irr-crop'!$M$2:$M$1048576,'[1]unit-ditch-irr-crop'!$I$2:$I$1048576,"VV",'[1]unit-ditch-irr-crop'!$E$2:$E$1048576,"Globe Equity Decree",'[1]unit-ditch-irr-crop'!$K$2:$K$1048576,$B4)</f>
        <v>0</v>
      </c>
    </row>
    <row r="5" spans="1:32" x14ac:dyDescent="0.25">
      <c r="B5" t="s">
        <v>21</v>
      </c>
      <c r="D5">
        <f>COUNTIFS('[1]unit-ditch-irr-crop'!$I$2:$I$1048576,"AA",'[1]unit-ditch-irr-crop'!$K$2:$K$1048576,$B5)</f>
        <v>0</v>
      </c>
      <c r="E5" s="8">
        <f>SUMIFS('[1]unit-ditch-irr-crop'!$M$2:$M$1048576,'[1]unit-ditch-irr-crop'!$I$2:$I$1048576,"AA",'[1]unit-ditch-irr-crop'!$K$2:$K$1048576,$B5)</f>
        <v>0</v>
      </c>
      <c r="G5">
        <f>COUNTIFS('[1]unit-ditch-irr-crop'!$I$2:$I$1048576,"CG",'[1]unit-ditch-irr-crop'!$K$2:$K$1048576,$B5)</f>
        <v>0</v>
      </c>
      <c r="H5" s="8">
        <f>SUMIFS('[1]unit-ditch-irr-crop'!$M$2:$M$1048576,'[1]unit-ditch-irr-crop'!$I$2:$I$1048576,"CG",'[1]unit-ditch-irr-crop'!$K$2:$K$1048576,$B5)</f>
        <v>0</v>
      </c>
      <c r="J5">
        <f>COUNTIFS('[1]unit-ditch-irr-crop'!$I$2:$I$1048576,"Gw",'[1]unit-ditch-irr-crop'!$K$2:$K$1048576,$B5)</f>
        <v>0</v>
      </c>
      <c r="K5" s="8">
        <f>SUMIFS('[1]unit-ditch-irr-crop'!$M$2:$M$1048576,'[1]unit-ditch-irr-crop'!$I$2:$I$1048576,"GW",'[1]unit-ditch-irr-crop'!$K$2:$K$1048576,$B5)</f>
        <v>0</v>
      </c>
      <c r="M5">
        <f>COUNTIFS('[1]unit-ditch-irr-crop'!$I$2:$I$1048576,"LU",'[1]unit-ditch-irr-crop'!$K$2:$K$1048576,$B5)</f>
        <v>0</v>
      </c>
      <c r="N5" s="8">
        <f>SUMIFS('[1]unit-ditch-irr-crop'!$M$2:$M$1048576,'[1]unit-ditch-irr-crop'!$I$2:$I$1048576,"LU",'[1]unit-ditch-irr-crop'!$K$2:$K$1048576,$B5)</f>
        <v>0</v>
      </c>
      <c r="P5">
        <f>COUNTIFS('[1]unit-ditch-irr-crop'!$I$2:$I$1048576,"RR",'[1]unit-ditch-irr-crop'!$K$2:$K$1048576,$B5)</f>
        <v>0</v>
      </c>
      <c r="Q5" s="8">
        <f>SUMIFS('[1]unit-ditch-irr-crop'!$M$2:$M$1048576,'[1]unit-ditch-irr-crop'!$I$2:$I$1048576,"RR",'[1]unit-ditch-irr-crop'!$K$2:$K$1048576,$B5)</f>
        <v>0</v>
      </c>
      <c r="S5">
        <f>COUNTIFS('[1]unit-ditch-irr-crop'!$I$2:$I$1048576,"RS",'[1]unit-ditch-irr-crop'!$K$2:$K$1048576,$B5)</f>
        <v>0</v>
      </c>
      <c r="T5" s="8">
        <f>SUMIFS('[1]unit-ditch-irr-crop'!$M$2:$M$1048576,'[1]unit-ditch-irr-crop'!$I$2:$I$1048576,"RS",'[1]unit-ditch-irr-crop'!$K$2:$K$1048576,$B5)</f>
        <v>0</v>
      </c>
      <c r="V5">
        <f>COUNTIFS('[1]unit-ditch-irr-crop'!$I$2:$I$1048576,"SS",'[1]unit-ditch-irr-crop'!$K$2:$K$1048576,$B5)</f>
        <v>0</v>
      </c>
      <c r="W5" s="8">
        <f>SUMIFS('[1]unit-ditch-irr-crop'!$M$2:$M$1048576,'[1]unit-ditch-irr-crop'!$I$2:$I$1048576,"SS",'[1]unit-ditch-irr-crop'!$K$2:$K$1048576,$B5)</f>
        <v>0</v>
      </c>
      <c r="Y5">
        <f>COUNTIFS('[1]unit-ditch-irr-crop'!$I$2:$I$1048576,"UG",'[1]unit-ditch-irr-crop'!$K$2:$K$1048576,$B5)</f>
        <v>0</v>
      </c>
      <c r="Z5" s="8">
        <f>SUMIFS('[1]unit-ditch-irr-crop'!$M$2:$M$1048576,'[1]unit-ditch-irr-crop'!$I$2:$I$1048576,"UG",'[1]unit-ditch-irr-crop'!$K$2:$K$1048576,$B5)</f>
        <v>0</v>
      </c>
      <c r="AB5">
        <f>COUNTIFS('[1]unit-ditch-irr-crop'!$I$2:$I$1048576,"VV",'[1]unit-ditch-irr-crop'!$E$2:$E$1048576,"Arizona v California",'[1]unit-ditch-irr-crop'!$K$2:$K$1048576,$B5)</f>
        <v>0</v>
      </c>
      <c r="AC5" s="8">
        <f>SUMIFS('[1]unit-ditch-irr-crop'!$M$2:$M$1048576,'[1]unit-ditch-irr-crop'!$I$2:$I$1048576,"VV",'[1]unit-ditch-irr-crop'!$E$2:$E$1048576,"Arizona v California",'[1]unit-ditch-irr-crop'!$K$2:$K$1048576,$B5)</f>
        <v>0</v>
      </c>
      <c r="AE5">
        <f>COUNTIFS('[1]unit-ditch-irr-crop'!$I$2:$I$1048576,"VV",'[1]unit-ditch-irr-crop'!$E$2:$E$1048576,"Globe Equity Decree",'[1]unit-ditch-irr-crop'!$K$2:$K$1048576,$B5)</f>
        <v>0</v>
      </c>
      <c r="AF5" s="8">
        <f>SUMIFS('[1]unit-ditch-irr-crop'!$M$2:$M$1048576,'[1]unit-ditch-irr-crop'!$I$2:$I$1048576,"VV",'[1]unit-ditch-irr-crop'!$E$2:$E$1048576,"Globe Equity Decree",'[1]unit-ditch-irr-crop'!$K$2:$K$1048576,$B5)</f>
        <v>0</v>
      </c>
    </row>
    <row r="6" spans="1:32" x14ac:dyDescent="0.25">
      <c r="B6" t="s">
        <v>26</v>
      </c>
      <c r="D6">
        <f>COUNTIFS('[1]unit-ditch-irr-crop'!$I$2:$I$1048576,"AA",'[1]unit-ditch-irr-crop'!$K$2:$K$1048576,$B6)</f>
        <v>0</v>
      </c>
      <c r="E6" s="8">
        <f>SUMIFS('[1]unit-ditch-irr-crop'!$M$2:$M$1048576,'[1]unit-ditch-irr-crop'!$I$2:$I$1048576,"AA",'[1]unit-ditch-irr-crop'!$K$2:$K$1048576,$B6)</f>
        <v>0</v>
      </c>
      <c r="G6">
        <f>COUNTIFS('[1]unit-ditch-irr-crop'!$I$2:$I$1048576,"CG",'[1]unit-ditch-irr-crop'!$K$2:$K$1048576,$B6)</f>
        <v>0</v>
      </c>
      <c r="H6" s="8">
        <f>SUMIFS('[1]unit-ditch-irr-crop'!$M$2:$M$1048576,'[1]unit-ditch-irr-crop'!$I$2:$I$1048576,"CG",'[1]unit-ditch-irr-crop'!$K$2:$K$1048576,$B6)</f>
        <v>0</v>
      </c>
      <c r="J6">
        <f>COUNTIFS('[1]unit-ditch-irr-crop'!$I$2:$I$1048576,"Gw",'[1]unit-ditch-irr-crop'!$K$2:$K$1048576,$B6)</f>
        <v>0</v>
      </c>
      <c r="K6" s="8">
        <f>SUMIFS('[1]unit-ditch-irr-crop'!$M$2:$M$1048576,'[1]unit-ditch-irr-crop'!$I$2:$I$1048576,"GW",'[1]unit-ditch-irr-crop'!$K$2:$K$1048576,$B6)</f>
        <v>0</v>
      </c>
      <c r="M6">
        <f>COUNTIFS('[1]unit-ditch-irr-crop'!$I$2:$I$1048576,"LU",'[1]unit-ditch-irr-crop'!$K$2:$K$1048576,$B6)</f>
        <v>0</v>
      </c>
      <c r="N6" s="8">
        <f>SUMIFS('[1]unit-ditch-irr-crop'!$M$2:$M$1048576,'[1]unit-ditch-irr-crop'!$I$2:$I$1048576,"LU",'[1]unit-ditch-irr-crop'!$K$2:$K$1048576,$B6)</f>
        <v>0</v>
      </c>
      <c r="P6">
        <f>COUNTIFS('[1]unit-ditch-irr-crop'!$I$2:$I$1048576,"RR",'[1]unit-ditch-irr-crop'!$K$2:$K$1048576,$B6)</f>
        <v>0</v>
      </c>
      <c r="Q6" s="8">
        <f>SUMIFS('[1]unit-ditch-irr-crop'!$M$2:$M$1048576,'[1]unit-ditch-irr-crop'!$I$2:$I$1048576,"RR",'[1]unit-ditch-irr-crop'!$K$2:$K$1048576,$B6)</f>
        <v>0</v>
      </c>
      <c r="S6">
        <f>COUNTIFS('[1]unit-ditch-irr-crop'!$I$2:$I$1048576,"RS",'[1]unit-ditch-irr-crop'!$K$2:$K$1048576,$B6)</f>
        <v>0</v>
      </c>
      <c r="T6" s="8">
        <f>SUMIFS('[1]unit-ditch-irr-crop'!$M$2:$M$1048576,'[1]unit-ditch-irr-crop'!$I$2:$I$1048576,"RS",'[1]unit-ditch-irr-crop'!$K$2:$K$1048576,$B6)</f>
        <v>0</v>
      </c>
      <c r="V6">
        <f>COUNTIFS('[1]unit-ditch-irr-crop'!$I$2:$I$1048576,"SS",'[1]unit-ditch-irr-crop'!$K$2:$K$1048576,$B6)</f>
        <v>0</v>
      </c>
      <c r="W6" s="8">
        <f>SUMIFS('[1]unit-ditch-irr-crop'!$M$2:$M$1048576,'[1]unit-ditch-irr-crop'!$I$2:$I$1048576,"SS",'[1]unit-ditch-irr-crop'!$K$2:$K$1048576,$B6)</f>
        <v>0</v>
      </c>
      <c r="Y6">
        <f>COUNTIFS('[1]unit-ditch-irr-crop'!$I$2:$I$1048576,"UG",'[1]unit-ditch-irr-crop'!$K$2:$K$1048576,$B6)</f>
        <v>0</v>
      </c>
      <c r="Z6" s="8">
        <f>SUMIFS('[1]unit-ditch-irr-crop'!$M$2:$M$1048576,'[1]unit-ditch-irr-crop'!$I$2:$I$1048576,"UG",'[1]unit-ditch-irr-crop'!$K$2:$K$1048576,$B6)</f>
        <v>0</v>
      </c>
      <c r="AB6">
        <f>COUNTIFS('[1]unit-ditch-irr-crop'!$I$2:$I$1048576,"VV",'[1]unit-ditch-irr-crop'!$E$2:$E$1048576,"Arizona v California",'[1]unit-ditch-irr-crop'!$K$2:$K$1048576,$B6)</f>
        <v>0</v>
      </c>
      <c r="AC6" s="8">
        <f>SUMIFS('[1]unit-ditch-irr-crop'!$M$2:$M$1048576,'[1]unit-ditch-irr-crop'!$I$2:$I$1048576,"VV",'[1]unit-ditch-irr-crop'!$E$2:$E$1048576,"Arizona v California",'[1]unit-ditch-irr-crop'!$K$2:$K$1048576,$B6)</f>
        <v>0</v>
      </c>
      <c r="AE6">
        <f>COUNTIFS('[1]unit-ditch-irr-crop'!$I$2:$I$1048576,"VV",'[1]unit-ditch-irr-crop'!$E$2:$E$1048576,"Globe Equity Decree",'[1]unit-ditch-irr-crop'!$K$2:$K$1048576,$B6)</f>
        <v>0</v>
      </c>
      <c r="AF6" s="8">
        <f>SUMIFS('[1]unit-ditch-irr-crop'!$M$2:$M$1048576,'[1]unit-ditch-irr-crop'!$I$2:$I$1048576,"VV",'[1]unit-ditch-irr-crop'!$E$2:$E$1048576,"Globe Equity Decree",'[1]unit-ditch-irr-crop'!$K$2:$K$1048576,$B6)</f>
        <v>0</v>
      </c>
    </row>
    <row r="7" spans="1:32" x14ac:dyDescent="0.25">
      <c r="B7" t="s">
        <v>30</v>
      </c>
      <c r="D7">
        <f>COUNTIFS('[1]unit-ditch-irr-crop'!$I$2:$I$1048576,"AA",'[1]unit-ditch-irr-crop'!$K$2:$K$1048576,$B7)</f>
        <v>0</v>
      </c>
      <c r="E7" s="8">
        <f>SUMIFS('[1]unit-ditch-irr-crop'!$M$2:$M$1048576,'[1]unit-ditch-irr-crop'!$I$2:$I$1048576,"AA",'[1]unit-ditch-irr-crop'!$K$2:$K$1048576,$B7)</f>
        <v>0</v>
      </c>
      <c r="G7">
        <f>COUNTIFS('[1]unit-ditch-irr-crop'!$I$2:$I$1048576,"CG",'[1]unit-ditch-irr-crop'!$K$2:$K$1048576,$B7)</f>
        <v>0</v>
      </c>
      <c r="H7" s="8">
        <f>SUMIFS('[1]unit-ditch-irr-crop'!$M$2:$M$1048576,'[1]unit-ditch-irr-crop'!$I$2:$I$1048576,"CG",'[1]unit-ditch-irr-crop'!$K$2:$K$1048576,$B7)</f>
        <v>0</v>
      </c>
      <c r="J7">
        <f>COUNTIFS('[1]unit-ditch-irr-crop'!$I$2:$I$1048576,"Gw",'[1]unit-ditch-irr-crop'!$K$2:$K$1048576,$B7)</f>
        <v>0</v>
      </c>
      <c r="K7" s="8">
        <f>SUMIFS('[1]unit-ditch-irr-crop'!$M$2:$M$1048576,'[1]unit-ditch-irr-crop'!$I$2:$I$1048576,"GW",'[1]unit-ditch-irr-crop'!$K$2:$K$1048576,$B7)</f>
        <v>0</v>
      </c>
      <c r="M7">
        <f>COUNTIFS('[1]unit-ditch-irr-crop'!$I$2:$I$1048576,"LU",'[1]unit-ditch-irr-crop'!$K$2:$K$1048576,$B7)</f>
        <v>0</v>
      </c>
      <c r="N7" s="8">
        <f>SUMIFS('[1]unit-ditch-irr-crop'!$M$2:$M$1048576,'[1]unit-ditch-irr-crop'!$I$2:$I$1048576,"LU",'[1]unit-ditch-irr-crop'!$K$2:$K$1048576,$B7)</f>
        <v>0</v>
      </c>
      <c r="P7">
        <f>COUNTIFS('[1]unit-ditch-irr-crop'!$I$2:$I$1048576,"RR",'[1]unit-ditch-irr-crop'!$K$2:$K$1048576,$B7)</f>
        <v>0</v>
      </c>
      <c r="Q7" s="8">
        <f>SUMIFS('[1]unit-ditch-irr-crop'!$M$2:$M$1048576,'[1]unit-ditch-irr-crop'!$I$2:$I$1048576,"RR",'[1]unit-ditch-irr-crop'!$K$2:$K$1048576,$B7)</f>
        <v>0</v>
      </c>
      <c r="S7">
        <f>COUNTIFS('[1]unit-ditch-irr-crop'!$I$2:$I$1048576,"RS",'[1]unit-ditch-irr-crop'!$K$2:$K$1048576,$B7)</f>
        <v>0</v>
      </c>
      <c r="T7" s="8">
        <f>SUMIFS('[1]unit-ditch-irr-crop'!$M$2:$M$1048576,'[1]unit-ditch-irr-crop'!$I$2:$I$1048576,"RS",'[1]unit-ditch-irr-crop'!$K$2:$K$1048576,$B7)</f>
        <v>0</v>
      </c>
      <c r="V7">
        <f>COUNTIFS('[1]unit-ditch-irr-crop'!$I$2:$I$1048576,"SS",'[1]unit-ditch-irr-crop'!$K$2:$K$1048576,$B7)</f>
        <v>0</v>
      </c>
      <c r="W7" s="8">
        <f>SUMIFS('[1]unit-ditch-irr-crop'!$M$2:$M$1048576,'[1]unit-ditch-irr-crop'!$I$2:$I$1048576,"SS",'[1]unit-ditch-irr-crop'!$K$2:$K$1048576,$B7)</f>
        <v>0</v>
      </c>
      <c r="Y7">
        <f>COUNTIFS('[1]unit-ditch-irr-crop'!$I$2:$I$1048576,"UG",'[1]unit-ditch-irr-crop'!$K$2:$K$1048576,$B7)</f>
        <v>0</v>
      </c>
      <c r="Z7" s="8">
        <f>SUMIFS('[1]unit-ditch-irr-crop'!$M$2:$M$1048576,'[1]unit-ditch-irr-crop'!$I$2:$I$1048576,"UG",'[1]unit-ditch-irr-crop'!$K$2:$K$1048576,$B7)</f>
        <v>0</v>
      </c>
      <c r="AB7">
        <f>COUNTIFS('[1]unit-ditch-irr-crop'!$I$2:$I$1048576,"VV",'[1]unit-ditch-irr-crop'!$E$2:$E$1048576,"Arizona v California",'[1]unit-ditch-irr-crop'!$K$2:$K$1048576,$B7)</f>
        <v>0</v>
      </c>
      <c r="AC7" s="8">
        <f>SUMIFS('[1]unit-ditch-irr-crop'!$M$2:$M$1048576,'[1]unit-ditch-irr-crop'!$I$2:$I$1048576,"VV",'[1]unit-ditch-irr-crop'!$E$2:$E$1048576,"Arizona v California",'[1]unit-ditch-irr-crop'!$K$2:$K$1048576,$B7)</f>
        <v>0</v>
      </c>
      <c r="AE7">
        <f>COUNTIFS('[1]unit-ditch-irr-crop'!$I$2:$I$1048576,"VV",'[1]unit-ditch-irr-crop'!$E$2:$E$1048576,"Globe Equity Decree",'[1]unit-ditch-irr-crop'!$K$2:$K$1048576,$B7)</f>
        <v>0</v>
      </c>
      <c r="AF7" s="8">
        <f>SUMIFS('[1]unit-ditch-irr-crop'!$M$2:$M$1048576,'[1]unit-ditch-irr-crop'!$I$2:$I$1048576,"VV",'[1]unit-ditch-irr-crop'!$E$2:$E$1048576,"Globe Equity Decree",'[1]unit-ditch-irr-crop'!$K$2:$K$1048576,$B7)</f>
        <v>0</v>
      </c>
    </row>
    <row r="8" spans="1:32" x14ac:dyDescent="0.25">
      <c r="A8" s="9"/>
      <c r="B8" t="s">
        <v>34</v>
      </c>
      <c r="D8">
        <f>COUNTIFS('[1]unit-ditch-irr-crop'!$I$2:$I$1048576,"AA",'[1]unit-ditch-irr-crop'!$K$2:$K$1048576,$B8)</f>
        <v>0</v>
      </c>
      <c r="E8" s="8">
        <f>SUMIFS('[1]unit-ditch-irr-crop'!$M$2:$M$1048576,'[1]unit-ditch-irr-crop'!$I$2:$I$1048576,"AA",'[1]unit-ditch-irr-crop'!$K$2:$K$1048576,$B8)</f>
        <v>0</v>
      </c>
      <c r="G8">
        <f>COUNTIFS('[1]unit-ditch-irr-crop'!$I$2:$I$1048576,"CG",'[1]unit-ditch-irr-crop'!$K$2:$K$1048576,$B8)</f>
        <v>0</v>
      </c>
      <c r="H8" s="8">
        <f>SUMIFS('[1]unit-ditch-irr-crop'!$M$2:$M$1048576,'[1]unit-ditch-irr-crop'!$I$2:$I$1048576,"CG",'[1]unit-ditch-irr-crop'!$K$2:$K$1048576,$B8)</f>
        <v>0</v>
      </c>
      <c r="J8">
        <f>COUNTIFS('[1]unit-ditch-irr-crop'!$I$2:$I$1048576,"Gw",'[1]unit-ditch-irr-crop'!$K$2:$K$1048576,$B8)</f>
        <v>0</v>
      </c>
      <c r="K8" s="8">
        <f>SUMIFS('[1]unit-ditch-irr-crop'!$M$2:$M$1048576,'[1]unit-ditch-irr-crop'!$I$2:$I$1048576,"GW",'[1]unit-ditch-irr-crop'!$K$2:$K$1048576,$B8)</f>
        <v>0</v>
      </c>
      <c r="M8">
        <f>COUNTIFS('[1]unit-ditch-irr-crop'!$I$2:$I$1048576,"LU",'[1]unit-ditch-irr-crop'!$K$2:$K$1048576,$B8)</f>
        <v>0</v>
      </c>
      <c r="N8" s="8">
        <f>SUMIFS('[1]unit-ditch-irr-crop'!$M$2:$M$1048576,'[1]unit-ditch-irr-crop'!$I$2:$I$1048576,"LU",'[1]unit-ditch-irr-crop'!$K$2:$K$1048576,$B8)</f>
        <v>0</v>
      </c>
      <c r="P8">
        <f>COUNTIFS('[1]unit-ditch-irr-crop'!$I$2:$I$1048576,"RR",'[1]unit-ditch-irr-crop'!$K$2:$K$1048576,$B8)</f>
        <v>0</v>
      </c>
      <c r="Q8" s="8">
        <f>SUMIFS('[1]unit-ditch-irr-crop'!$M$2:$M$1048576,'[1]unit-ditch-irr-crop'!$I$2:$I$1048576,"RR",'[1]unit-ditch-irr-crop'!$K$2:$K$1048576,$B8)</f>
        <v>0</v>
      </c>
      <c r="S8">
        <f>COUNTIFS('[1]unit-ditch-irr-crop'!$I$2:$I$1048576,"RS",'[1]unit-ditch-irr-crop'!$K$2:$K$1048576,$B8)</f>
        <v>0</v>
      </c>
      <c r="T8" s="8">
        <f>SUMIFS('[1]unit-ditch-irr-crop'!$M$2:$M$1048576,'[1]unit-ditch-irr-crop'!$I$2:$I$1048576,"RS",'[1]unit-ditch-irr-crop'!$K$2:$K$1048576,$B8)</f>
        <v>0</v>
      </c>
      <c r="V8">
        <f>COUNTIFS('[1]unit-ditch-irr-crop'!$I$2:$I$1048576,"SS",'[1]unit-ditch-irr-crop'!$K$2:$K$1048576,$B8)</f>
        <v>0</v>
      </c>
      <c r="W8" s="8">
        <f>SUMIFS('[1]unit-ditch-irr-crop'!$M$2:$M$1048576,'[1]unit-ditch-irr-crop'!$I$2:$I$1048576,"SS",'[1]unit-ditch-irr-crop'!$K$2:$K$1048576,$B8)</f>
        <v>0</v>
      </c>
      <c r="Y8">
        <f>COUNTIFS('[1]unit-ditch-irr-crop'!$I$2:$I$1048576,"UG",'[1]unit-ditch-irr-crop'!$K$2:$K$1048576,$B8)</f>
        <v>0</v>
      </c>
      <c r="Z8" s="8">
        <f>SUMIFS('[1]unit-ditch-irr-crop'!$M$2:$M$1048576,'[1]unit-ditch-irr-crop'!$I$2:$I$1048576,"UG",'[1]unit-ditch-irr-crop'!$K$2:$K$1048576,$B8)</f>
        <v>0</v>
      </c>
      <c r="AB8">
        <f>COUNTIFS('[1]unit-ditch-irr-crop'!$I$2:$I$1048576,"VV",'[1]unit-ditch-irr-crop'!$E$2:$E$1048576,"Arizona v California",'[1]unit-ditch-irr-crop'!$K$2:$K$1048576,$B8)</f>
        <v>0</v>
      </c>
      <c r="AC8" s="8">
        <f>SUMIFS('[1]unit-ditch-irr-crop'!$M$2:$M$1048576,'[1]unit-ditch-irr-crop'!$I$2:$I$1048576,"VV",'[1]unit-ditch-irr-crop'!$E$2:$E$1048576,"Arizona v California",'[1]unit-ditch-irr-crop'!$K$2:$K$1048576,$B8)</f>
        <v>0</v>
      </c>
      <c r="AE8">
        <f>COUNTIFS('[1]unit-ditch-irr-crop'!$I$2:$I$1048576,"VV",'[1]unit-ditch-irr-crop'!$E$2:$E$1048576,"Globe Equity Decree",'[1]unit-ditch-irr-crop'!$K$2:$K$1048576,$B8)</f>
        <v>0</v>
      </c>
      <c r="AF8" s="8">
        <f>SUMIFS('[1]unit-ditch-irr-crop'!$M$2:$M$1048576,'[1]unit-ditch-irr-crop'!$I$2:$I$1048576,"VV",'[1]unit-ditch-irr-crop'!$E$2:$E$1048576,"Globe Equity Decree",'[1]unit-ditch-irr-crop'!$K$2:$K$1048576,$B8)</f>
        <v>0</v>
      </c>
    </row>
    <row r="9" spans="1:32" x14ac:dyDescent="0.25">
      <c r="B9" t="s">
        <v>46</v>
      </c>
      <c r="D9">
        <f>COUNTIFS('[1]unit-ditch-irr-crop'!$I$2:$I$1048576,"AA",'[1]unit-ditch-irr-crop'!$K$2:$K$1048576,$B9)</f>
        <v>0</v>
      </c>
      <c r="E9" s="8">
        <f>SUMIFS('[1]unit-ditch-irr-crop'!$M$2:$M$1048576,'[1]unit-ditch-irr-crop'!$I$2:$I$1048576,"AA",'[1]unit-ditch-irr-crop'!$K$2:$K$1048576,$B9)</f>
        <v>0</v>
      </c>
      <c r="G9">
        <f>COUNTIFS('[1]unit-ditch-irr-crop'!$I$2:$I$1048576,"CG",'[1]unit-ditch-irr-crop'!$K$2:$K$1048576,$B9)</f>
        <v>0</v>
      </c>
      <c r="H9" s="8">
        <f>SUMIFS('[1]unit-ditch-irr-crop'!$M$2:$M$1048576,'[1]unit-ditch-irr-crop'!$I$2:$I$1048576,"CG",'[1]unit-ditch-irr-crop'!$K$2:$K$1048576,$B9)</f>
        <v>0</v>
      </c>
      <c r="J9">
        <f>COUNTIFS('[1]unit-ditch-irr-crop'!$I$2:$I$1048576,"Gw",'[1]unit-ditch-irr-crop'!$K$2:$K$1048576,$B9)</f>
        <v>0</v>
      </c>
      <c r="K9" s="8">
        <f>SUMIFS('[1]unit-ditch-irr-crop'!$M$2:$M$1048576,'[1]unit-ditch-irr-crop'!$I$2:$I$1048576,"GW",'[1]unit-ditch-irr-crop'!$K$2:$K$1048576,$B9)</f>
        <v>0</v>
      </c>
      <c r="M9">
        <f>COUNTIFS('[1]unit-ditch-irr-crop'!$I$2:$I$1048576,"LU",'[1]unit-ditch-irr-crop'!$K$2:$K$1048576,$B9)</f>
        <v>0</v>
      </c>
      <c r="N9" s="8">
        <f>SUMIFS('[1]unit-ditch-irr-crop'!$M$2:$M$1048576,'[1]unit-ditch-irr-crop'!$I$2:$I$1048576,"LU",'[1]unit-ditch-irr-crop'!$K$2:$K$1048576,$B9)</f>
        <v>0</v>
      </c>
      <c r="P9">
        <f>COUNTIFS('[1]unit-ditch-irr-crop'!$I$2:$I$1048576,"RR",'[1]unit-ditch-irr-crop'!$K$2:$K$1048576,$B9)</f>
        <v>0</v>
      </c>
      <c r="Q9" s="8">
        <f>SUMIFS('[1]unit-ditch-irr-crop'!$M$2:$M$1048576,'[1]unit-ditch-irr-crop'!$I$2:$I$1048576,"RR",'[1]unit-ditch-irr-crop'!$K$2:$K$1048576,$B9)</f>
        <v>0</v>
      </c>
      <c r="S9">
        <f>COUNTIFS('[1]unit-ditch-irr-crop'!$I$2:$I$1048576,"RS",'[1]unit-ditch-irr-crop'!$K$2:$K$1048576,$B9)</f>
        <v>0</v>
      </c>
      <c r="T9" s="8">
        <f>SUMIFS('[1]unit-ditch-irr-crop'!$M$2:$M$1048576,'[1]unit-ditch-irr-crop'!$I$2:$I$1048576,"RS",'[1]unit-ditch-irr-crop'!$K$2:$K$1048576,$B9)</f>
        <v>0</v>
      </c>
      <c r="V9">
        <f>COUNTIFS('[1]unit-ditch-irr-crop'!$I$2:$I$1048576,"SS",'[1]unit-ditch-irr-crop'!$K$2:$K$1048576,$B9)</f>
        <v>0</v>
      </c>
      <c r="W9" s="8">
        <f>SUMIFS('[1]unit-ditch-irr-crop'!$M$2:$M$1048576,'[1]unit-ditch-irr-crop'!$I$2:$I$1048576,"SS",'[1]unit-ditch-irr-crop'!$K$2:$K$1048576,$B9)</f>
        <v>0</v>
      </c>
      <c r="Y9">
        <f>COUNTIFS('[1]unit-ditch-irr-crop'!$I$2:$I$1048576,"UG",'[1]unit-ditch-irr-crop'!$K$2:$K$1048576,$B9)</f>
        <v>0</v>
      </c>
      <c r="Z9" s="8">
        <f>SUMIFS('[1]unit-ditch-irr-crop'!$M$2:$M$1048576,'[1]unit-ditch-irr-crop'!$I$2:$I$1048576,"UG",'[1]unit-ditch-irr-crop'!$K$2:$K$1048576,$B9)</f>
        <v>0</v>
      </c>
      <c r="AB9">
        <f>COUNTIFS('[1]unit-ditch-irr-crop'!$I$2:$I$1048576,"VV",'[1]unit-ditch-irr-crop'!$E$2:$E$1048576,"Arizona v California",'[1]unit-ditch-irr-crop'!$K$2:$K$1048576,$B9)</f>
        <v>0</v>
      </c>
      <c r="AC9" s="8">
        <f>SUMIFS('[1]unit-ditch-irr-crop'!$M$2:$M$1048576,'[1]unit-ditch-irr-crop'!$I$2:$I$1048576,"VV",'[1]unit-ditch-irr-crop'!$E$2:$E$1048576,"Arizona v California",'[1]unit-ditch-irr-crop'!$K$2:$K$1048576,$B9)</f>
        <v>0</v>
      </c>
      <c r="AE9">
        <f>COUNTIFS('[1]unit-ditch-irr-crop'!$I$2:$I$1048576,"VV",'[1]unit-ditch-irr-crop'!$E$2:$E$1048576,"Globe Equity Decree",'[1]unit-ditch-irr-crop'!$K$2:$K$1048576,$B9)</f>
        <v>0</v>
      </c>
      <c r="AF9" s="8">
        <f>SUMIFS('[1]unit-ditch-irr-crop'!$M$2:$M$1048576,'[1]unit-ditch-irr-crop'!$I$2:$I$1048576,"VV",'[1]unit-ditch-irr-crop'!$E$2:$E$1048576,"Globe Equity Decree",'[1]unit-ditch-irr-crop'!$K$2:$K$1048576,$B9)</f>
        <v>0</v>
      </c>
    </row>
    <row r="10" spans="1:32" x14ac:dyDescent="0.25">
      <c r="B10" t="s">
        <v>60</v>
      </c>
      <c r="D10">
        <f>COUNTIFS('[1]unit-ditch-irr-crop'!$I$2:$I$1048576,"AA",'[1]unit-ditch-irr-crop'!$K$2:$K$1048576,$B10)</f>
        <v>0</v>
      </c>
      <c r="E10" s="8">
        <f>SUMIFS('[1]unit-ditch-irr-crop'!$M$2:$M$1048576,'[1]unit-ditch-irr-crop'!$I$2:$I$1048576,"AA",'[1]unit-ditch-irr-crop'!$K$2:$K$1048576,$B10)</f>
        <v>0</v>
      </c>
      <c r="G10">
        <f>COUNTIFS('[1]unit-ditch-irr-crop'!$I$2:$I$1048576,"CG",'[1]unit-ditch-irr-crop'!$K$2:$K$1048576,$B10)</f>
        <v>0</v>
      </c>
      <c r="H10" s="8">
        <f>SUMIFS('[1]unit-ditch-irr-crop'!$M$2:$M$1048576,'[1]unit-ditch-irr-crop'!$I$2:$I$1048576,"CG",'[1]unit-ditch-irr-crop'!$K$2:$K$1048576,$B10)</f>
        <v>0</v>
      </c>
      <c r="J10">
        <f>COUNTIFS('[1]unit-ditch-irr-crop'!$I$2:$I$1048576,"Gw",'[1]unit-ditch-irr-crop'!$K$2:$K$1048576,$B10)</f>
        <v>0</v>
      </c>
      <c r="K10" s="8">
        <f>SUMIFS('[1]unit-ditch-irr-crop'!$M$2:$M$1048576,'[1]unit-ditch-irr-crop'!$I$2:$I$1048576,"GW",'[1]unit-ditch-irr-crop'!$K$2:$K$1048576,$B10)</f>
        <v>0</v>
      </c>
      <c r="M10">
        <f>COUNTIFS('[1]unit-ditch-irr-crop'!$I$2:$I$1048576,"LU",'[1]unit-ditch-irr-crop'!$K$2:$K$1048576,$B10)</f>
        <v>0</v>
      </c>
      <c r="N10" s="8">
        <f>SUMIFS('[1]unit-ditch-irr-crop'!$M$2:$M$1048576,'[1]unit-ditch-irr-crop'!$I$2:$I$1048576,"LU",'[1]unit-ditch-irr-crop'!$K$2:$K$1048576,$B10)</f>
        <v>0</v>
      </c>
      <c r="P10">
        <f>COUNTIFS('[1]unit-ditch-irr-crop'!$I$2:$I$1048576,"RR",'[1]unit-ditch-irr-crop'!$K$2:$K$1048576,$B10)</f>
        <v>0</v>
      </c>
      <c r="Q10" s="8">
        <f>SUMIFS('[1]unit-ditch-irr-crop'!$M$2:$M$1048576,'[1]unit-ditch-irr-crop'!$I$2:$I$1048576,"RR",'[1]unit-ditch-irr-crop'!$K$2:$K$1048576,$B10)</f>
        <v>0</v>
      </c>
      <c r="S10">
        <f>COUNTIFS('[1]unit-ditch-irr-crop'!$I$2:$I$1048576,"RS",'[1]unit-ditch-irr-crop'!$K$2:$K$1048576,$B10)</f>
        <v>1</v>
      </c>
      <c r="T10" s="8">
        <f>SUMIFS('[1]unit-ditch-irr-crop'!$M$2:$M$1048576,'[1]unit-ditch-irr-crop'!$I$2:$I$1048576,"RS",'[1]unit-ditch-irr-crop'!$K$2:$K$1048576,$B10)</f>
        <v>1.9958598450059399</v>
      </c>
      <c r="V10">
        <f>COUNTIFS('[1]unit-ditch-irr-crop'!$I$2:$I$1048576,"SS",'[1]unit-ditch-irr-crop'!$K$2:$K$1048576,$B10)</f>
        <v>0</v>
      </c>
      <c r="W10" s="8">
        <f>SUMIFS('[1]unit-ditch-irr-crop'!$M$2:$M$1048576,'[1]unit-ditch-irr-crop'!$I$2:$I$1048576,"SS",'[1]unit-ditch-irr-crop'!$K$2:$K$1048576,$B10)</f>
        <v>0</v>
      </c>
      <c r="Y10">
        <f>COUNTIFS('[1]unit-ditch-irr-crop'!$I$2:$I$1048576,"UG",'[1]unit-ditch-irr-crop'!$K$2:$K$1048576,$B10)</f>
        <v>0</v>
      </c>
      <c r="Z10" s="8">
        <f>SUMIFS('[1]unit-ditch-irr-crop'!$M$2:$M$1048576,'[1]unit-ditch-irr-crop'!$I$2:$I$1048576,"UG",'[1]unit-ditch-irr-crop'!$K$2:$K$1048576,$B10)</f>
        <v>0</v>
      </c>
      <c r="AB10">
        <f>COUNTIFS('[1]unit-ditch-irr-crop'!$I$2:$I$1048576,"VV",'[1]unit-ditch-irr-crop'!$E$2:$E$1048576,"Arizona v California",'[1]unit-ditch-irr-crop'!$K$2:$K$1048576,$B10)</f>
        <v>0</v>
      </c>
      <c r="AC10" s="8">
        <f>SUMIFS('[1]unit-ditch-irr-crop'!$M$2:$M$1048576,'[1]unit-ditch-irr-crop'!$I$2:$I$1048576,"VV",'[1]unit-ditch-irr-crop'!$E$2:$E$1048576,"Arizona v California",'[1]unit-ditch-irr-crop'!$K$2:$K$1048576,$B10)</f>
        <v>0</v>
      </c>
      <c r="AE10">
        <f>COUNTIFS('[1]unit-ditch-irr-crop'!$I$2:$I$1048576,"VV",'[1]unit-ditch-irr-crop'!$E$2:$E$1048576,"Globe Equity Decree",'[1]unit-ditch-irr-crop'!$K$2:$K$1048576,$B10)</f>
        <v>0</v>
      </c>
      <c r="AF10" s="8">
        <f>SUMIFS('[1]unit-ditch-irr-crop'!$M$2:$M$1048576,'[1]unit-ditch-irr-crop'!$I$2:$I$1048576,"VV",'[1]unit-ditch-irr-crop'!$E$2:$E$1048576,"Globe Equity Decree",'[1]unit-ditch-irr-crop'!$K$2:$K$1048576,$B10)</f>
        <v>0</v>
      </c>
    </row>
    <row r="11" spans="1:32" x14ac:dyDescent="0.25">
      <c r="B11" t="s">
        <v>97</v>
      </c>
      <c r="D11">
        <f>COUNTIFS('[1]unit-ditch-irr-crop'!$I$2:$I$1048576,"AA",'[1]unit-ditch-irr-crop'!$K$2:$K$1048576,$B11)</f>
        <v>0</v>
      </c>
      <c r="E11" s="8">
        <f>SUMIFS('[1]unit-ditch-irr-crop'!$M$2:$M$1048576,'[1]unit-ditch-irr-crop'!$I$2:$I$1048576,"AA",'[1]unit-ditch-irr-crop'!$K$2:$K$1048576,$B11)</f>
        <v>0</v>
      </c>
      <c r="G11">
        <f>COUNTIFS('[1]unit-ditch-irr-crop'!$I$2:$I$1048576,"CG",'[1]unit-ditch-irr-crop'!$K$2:$K$1048576,$B11)</f>
        <v>0</v>
      </c>
      <c r="H11" s="8">
        <f>SUMIFS('[1]unit-ditch-irr-crop'!$M$2:$M$1048576,'[1]unit-ditch-irr-crop'!$I$2:$I$1048576,"CG",'[1]unit-ditch-irr-crop'!$K$2:$K$1048576,$B11)</f>
        <v>0</v>
      </c>
      <c r="J11">
        <f>COUNTIFS('[1]unit-ditch-irr-crop'!$I$2:$I$1048576,"Gw",'[1]unit-ditch-irr-crop'!$K$2:$K$1048576,$B11)</f>
        <v>0</v>
      </c>
      <c r="K11" s="8">
        <f>SUMIFS('[1]unit-ditch-irr-crop'!$M$2:$M$1048576,'[1]unit-ditch-irr-crop'!$I$2:$I$1048576,"GW",'[1]unit-ditch-irr-crop'!$K$2:$K$1048576,$B11)</f>
        <v>0</v>
      </c>
      <c r="M11">
        <f>COUNTIFS('[1]unit-ditch-irr-crop'!$I$2:$I$1048576,"LU",'[1]unit-ditch-irr-crop'!$K$2:$K$1048576,$B11)</f>
        <v>0</v>
      </c>
      <c r="N11" s="8">
        <f>SUMIFS('[1]unit-ditch-irr-crop'!$M$2:$M$1048576,'[1]unit-ditch-irr-crop'!$I$2:$I$1048576,"LU",'[1]unit-ditch-irr-crop'!$K$2:$K$1048576,$B11)</f>
        <v>0</v>
      </c>
      <c r="P11">
        <f>COUNTIFS('[1]unit-ditch-irr-crop'!$I$2:$I$1048576,"RR",'[1]unit-ditch-irr-crop'!$K$2:$K$1048576,$B11)</f>
        <v>0</v>
      </c>
      <c r="Q11" s="8">
        <f>SUMIFS('[1]unit-ditch-irr-crop'!$M$2:$M$1048576,'[1]unit-ditch-irr-crop'!$I$2:$I$1048576,"RR",'[1]unit-ditch-irr-crop'!$K$2:$K$1048576,$B11)</f>
        <v>0</v>
      </c>
      <c r="S11">
        <f>COUNTIFS('[1]unit-ditch-irr-crop'!$I$2:$I$1048576,"RS",'[1]unit-ditch-irr-crop'!$K$2:$K$1048576,$B11)</f>
        <v>0</v>
      </c>
      <c r="T11" s="8">
        <f>SUMIFS('[1]unit-ditch-irr-crop'!$M$2:$M$1048576,'[1]unit-ditch-irr-crop'!$I$2:$I$1048576,"RS",'[1]unit-ditch-irr-crop'!$K$2:$K$1048576,$B11)</f>
        <v>0</v>
      </c>
      <c r="V11">
        <f>COUNTIFS('[1]unit-ditch-irr-crop'!$I$2:$I$1048576,"SS",'[1]unit-ditch-irr-crop'!$K$2:$K$1048576,$B11)</f>
        <v>0</v>
      </c>
      <c r="W11" s="8">
        <f>SUMIFS('[1]unit-ditch-irr-crop'!$M$2:$M$1048576,'[1]unit-ditch-irr-crop'!$I$2:$I$1048576,"SS",'[1]unit-ditch-irr-crop'!$K$2:$K$1048576,$B11)</f>
        <v>0</v>
      </c>
      <c r="Y11">
        <f>COUNTIFS('[1]unit-ditch-irr-crop'!$I$2:$I$1048576,"UG",'[1]unit-ditch-irr-crop'!$K$2:$K$1048576,$B11)</f>
        <v>0</v>
      </c>
      <c r="Z11" s="8">
        <f>SUMIFS('[1]unit-ditch-irr-crop'!$M$2:$M$1048576,'[1]unit-ditch-irr-crop'!$I$2:$I$1048576,"UG",'[1]unit-ditch-irr-crop'!$K$2:$K$1048576,$B11)</f>
        <v>0</v>
      </c>
      <c r="AB11">
        <f>COUNTIFS('[1]unit-ditch-irr-crop'!$I$2:$I$1048576,"VV",'[1]unit-ditch-irr-crop'!$E$2:$E$1048576,"Arizona v California",'[1]unit-ditch-irr-crop'!$K$2:$K$1048576,$B11)</f>
        <v>0</v>
      </c>
      <c r="AC11" s="8">
        <f>SUMIFS('[1]unit-ditch-irr-crop'!$M$2:$M$1048576,'[1]unit-ditch-irr-crop'!$I$2:$I$1048576,"VV",'[1]unit-ditch-irr-crop'!$E$2:$E$1048576,"Arizona v California",'[1]unit-ditch-irr-crop'!$K$2:$K$1048576,$B11)</f>
        <v>0</v>
      </c>
      <c r="AE11">
        <f>COUNTIFS('[1]unit-ditch-irr-crop'!$I$2:$I$1048576,"VV",'[1]unit-ditch-irr-crop'!$E$2:$E$1048576,"Globe Equity Decree",'[1]unit-ditch-irr-crop'!$K$2:$K$1048576,$B11)</f>
        <v>0</v>
      </c>
      <c r="AF11" s="8">
        <f>SUMIFS('[1]unit-ditch-irr-crop'!$M$2:$M$1048576,'[1]unit-ditch-irr-crop'!$I$2:$I$1048576,"VV",'[1]unit-ditch-irr-crop'!$E$2:$E$1048576,"Globe Equity Decree",'[1]unit-ditch-irr-crop'!$K$2:$K$1048576,$B11)</f>
        <v>0</v>
      </c>
    </row>
    <row r="12" spans="1:32" x14ac:dyDescent="0.25">
      <c r="B12" t="s">
        <v>130</v>
      </c>
      <c r="D12">
        <f>COUNTIFS('[1]unit-ditch-irr-crop'!$I$2:$I$1048576,"AA",'[1]unit-ditch-irr-crop'!$K$2:$K$1048576,$B12)</f>
        <v>0</v>
      </c>
      <c r="E12" s="8">
        <f>SUMIFS('[1]unit-ditch-irr-crop'!$M$2:$M$1048576,'[1]unit-ditch-irr-crop'!$I$2:$I$1048576,"AA",'[1]unit-ditch-irr-crop'!$K$2:$K$1048576,$B12)</f>
        <v>0</v>
      </c>
      <c r="G12">
        <f>COUNTIFS('[1]unit-ditch-irr-crop'!$I$2:$I$1048576,"CG",'[1]unit-ditch-irr-crop'!$K$2:$K$1048576,$B12)</f>
        <v>0</v>
      </c>
      <c r="H12" s="8">
        <f>SUMIFS('[1]unit-ditch-irr-crop'!$M$2:$M$1048576,'[1]unit-ditch-irr-crop'!$I$2:$I$1048576,"CG",'[1]unit-ditch-irr-crop'!$K$2:$K$1048576,$B12)</f>
        <v>0</v>
      </c>
      <c r="J12">
        <f>COUNTIFS('[1]unit-ditch-irr-crop'!$I$2:$I$1048576,"Gw",'[1]unit-ditch-irr-crop'!$K$2:$K$1048576,$B12)</f>
        <v>0</v>
      </c>
      <c r="K12" s="8">
        <f>SUMIFS('[1]unit-ditch-irr-crop'!$M$2:$M$1048576,'[1]unit-ditch-irr-crop'!$I$2:$I$1048576,"GW",'[1]unit-ditch-irr-crop'!$K$2:$K$1048576,$B12)</f>
        <v>0</v>
      </c>
      <c r="M12">
        <f>COUNTIFS('[1]unit-ditch-irr-crop'!$I$2:$I$1048576,"LU",'[1]unit-ditch-irr-crop'!$K$2:$K$1048576,$B12)</f>
        <v>0</v>
      </c>
      <c r="N12" s="8">
        <f>SUMIFS('[1]unit-ditch-irr-crop'!$M$2:$M$1048576,'[1]unit-ditch-irr-crop'!$I$2:$I$1048576,"LU",'[1]unit-ditch-irr-crop'!$K$2:$K$1048576,$B12)</f>
        <v>0</v>
      </c>
      <c r="P12">
        <f>COUNTIFS('[1]unit-ditch-irr-crop'!$I$2:$I$1048576,"RR",'[1]unit-ditch-irr-crop'!$K$2:$K$1048576,$B12)</f>
        <v>0</v>
      </c>
      <c r="Q12" s="8">
        <f>SUMIFS('[1]unit-ditch-irr-crop'!$M$2:$M$1048576,'[1]unit-ditch-irr-crop'!$I$2:$I$1048576,"RR",'[1]unit-ditch-irr-crop'!$K$2:$K$1048576,$B12)</f>
        <v>0</v>
      </c>
      <c r="S12">
        <f>COUNTIFS('[1]unit-ditch-irr-crop'!$I$2:$I$1048576,"RS",'[1]unit-ditch-irr-crop'!$K$2:$K$1048576,$B12)</f>
        <v>0</v>
      </c>
      <c r="T12" s="8">
        <f>SUMIFS('[1]unit-ditch-irr-crop'!$M$2:$M$1048576,'[1]unit-ditch-irr-crop'!$I$2:$I$1048576,"RS",'[1]unit-ditch-irr-crop'!$K$2:$K$1048576,$B12)</f>
        <v>0</v>
      </c>
      <c r="V12">
        <f>COUNTIFS('[1]unit-ditch-irr-crop'!$I$2:$I$1048576,"SS",'[1]unit-ditch-irr-crop'!$K$2:$K$1048576,$B12)</f>
        <v>0</v>
      </c>
      <c r="W12" s="8">
        <f>SUMIFS('[1]unit-ditch-irr-crop'!$M$2:$M$1048576,'[1]unit-ditch-irr-crop'!$I$2:$I$1048576,"SS",'[1]unit-ditch-irr-crop'!$K$2:$K$1048576,$B12)</f>
        <v>0</v>
      </c>
      <c r="Y12">
        <f>COUNTIFS('[1]unit-ditch-irr-crop'!$I$2:$I$1048576,"UG",'[1]unit-ditch-irr-crop'!$K$2:$K$1048576,$B12)</f>
        <v>0</v>
      </c>
      <c r="Z12" s="8">
        <f>SUMIFS('[1]unit-ditch-irr-crop'!$M$2:$M$1048576,'[1]unit-ditch-irr-crop'!$I$2:$I$1048576,"UG",'[1]unit-ditch-irr-crop'!$K$2:$K$1048576,$B12)</f>
        <v>0</v>
      </c>
      <c r="AB12">
        <f>COUNTIFS('[1]unit-ditch-irr-crop'!$I$2:$I$1048576,"VV",'[1]unit-ditch-irr-crop'!$E$2:$E$1048576,"Arizona v California",'[1]unit-ditch-irr-crop'!$K$2:$K$1048576,$B12)</f>
        <v>0</v>
      </c>
      <c r="AC12" s="8">
        <f>SUMIFS('[1]unit-ditch-irr-crop'!$M$2:$M$1048576,'[1]unit-ditch-irr-crop'!$I$2:$I$1048576,"VV",'[1]unit-ditch-irr-crop'!$E$2:$E$1048576,"Arizona v California",'[1]unit-ditch-irr-crop'!$K$2:$K$1048576,$B12)</f>
        <v>0</v>
      </c>
      <c r="AE12">
        <f>COUNTIFS('[1]unit-ditch-irr-crop'!$I$2:$I$1048576,"VV",'[1]unit-ditch-irr-crop'!$E$2:$E$1048576,"Globe Equity Decree",'[1]unit-ditch-irr-crop'!$K$2:$K$1048576,$B12)</f>
        <v>0</v>
      </c>
      <c r="AF12" s="8">
        <f>SUMIFS('[1]unit-ditch-irr-crop'!$M$2:$M$1048576,'[1]unit-ditch-irr-crop'!$I$2:$I$1048576,"VV",'[1]unit-ditch-irr-crop'!$E$2:$E$1048576,"Globe Equity Decree",'[1]unit-ditch-irr-crop'!$K$2:$K$1048576,$B12)</f>
        <v>0</v>
      </c>
    </row>
    <row r="13" spans="1:32" x14ac:dyDescent="0.25">
      <c r="B13" t="s">
        <v>138</v>
      </c>
      <c r="D13">
        <f>COUNTIFS('[1]unit-ditch-irr-crop'!$I$2:$I$1048576,"AA",'[1]unit-ditch-irr-crop'!$K$2:$K$1048576,$B13)</f>
        <v>5</v>
      </c>
      <c r="E13" s="8">
        <f>SUMIFS('[1]unit-ditch-irr-crop'!$M$2:$M$1048576,'[1]unit-ditch-irr-crop'!$I$2:$I$1048576,"AA",'[1]unit-ditch-irr-crop'!$K$2:$K$1048576,$B13)</f>
        <v>0.433681214310561</v>
      </c>
      <c r="G13">
        <f>COUNTIFS('[1]unit-ditch-irr-crop'!$I$2:$I$1048576,"CG",'[1]unit-ditch-irr-crop'!$K$2:$K$1048576,$B13)</f>
        <v>14</v>
      </c>
      <c r="H13" s="8">
        <f>SUMIFS('[1]unit-ditch-irr-crop'!$M$2:$M$1048576,'[1]unit-ditch-irr-crop'!$I$2:$I$1048576,"CG",'[1]unit-ditch-irr-crop'!$K$2:$K$1048576,$B13)</f>
        <v>6.0528836067961498</v>
      </c>
      <c r="J13">
        <f>COUNTIFS('[1]unit-ditch-irr-crop'!$I$2:$I$1048576,"Gw",'[1]unit-ditch-irr-crop'!$K$2:$K$1048576,$B13)</f>
        <v>5</v>
      </c>
      <c r="K13" s="8">
        <f>SUMIFS('[1]unit-ditch-irr-crop'!$M$2:$M$1048576,'[1]unit-ditch-irr-crop'!$I$2:$I$1048576,"GW",'[1]unit-ditch-irr-crop'!$K$2:$K$1048576,$B13)</f>
        <v>6.1127082214548034</v>
      </c>
      <c r="M13">
        <f>COUNTIFS('[1]unit-ditch-irr-crop'!$I$2:$I$1048576,"LU",'[1]unit-ditch-irr-crop'!$K$2:$K$1048576,$B13)</f>
        <v>0</v>
      </c>
      <c r="N13" s="8">
        <f>SUMIFS('[1]unit-ditch-irr-crop'!$M$2:$M$1048576,'[1]unit-ditch-irr-crop'!$I$2:$I$1048576,"LU",'[1]unit-ditch-irr-crop'!$K$2:$K$1048576,$B13)</f>
        <v>0</v>
      </c>
      <c r="P13">
        <f>COUNTIFS('[1]unit-ditch-irr-crop'!$I$2:$I$1048576,"RR",'[1]unit-ditch-irr-crop'!$K$2:$K$1048576,$B13)</f>
        <v>0</v>
      </c>
      <c r="Q13" s="8">
        <f>SUMIFS('[1]unit-ditch-irr-crop'!$M$2:$M$1048576,'[1]unit-ditch-irr-crop'!$I$2:$I$1048576,"RR",'[1]unit-ditch-irr-crop'!$K$2:$K$1048576,$B13)</f>
        <v>0</v>
      </c>
      <c r="S13">
        <f>COUNTIFS('[1]unit-ditch-irr-crop'!$I$2:$I$1048576,"RS",'[1]unit-ditch-irr-crop'!$K$2:$K$1048576,$B13)</f>
        <v>3</v>
      </c>
      <c r="T13" s="8">
        <f>SUMIFS('[1]unit-ditch-irr-crop'!$M$2:$M$1048576,'[1]unit-ditch-irr-crop'!$I$2:$I$1048576,"RS",'[1]unit-ditch-irr-crop'!$K$2:$K$1048576,$B13)</f>
        <v>0.77935169709525998</v>
      </c>
      <c r="V13">
        <f>COUNTIFS('[1]unit-ditch-irr-crop'!$I$2:$I$1048576,"SS",'[1]unit-ditch-irr-crop'!$K$2:$K$1048576,$B13)</f>
        <v>1</v>
      </c>
      <c r="W13" s="8">
        <f>SUMIFS('[1]unit-ditch-irr-crop'!$M$2:$M$1048576,'[1]unit-ditch-irr-crop'!$I$2:$I$1048576,"SS",'[1]unit-ditch-irr-crop'!$K$2:$K$1048576,$B13)</f>
        <v>0.323600829178813</v>
      </c>
      <c r="Y13">
        <f>COUNTIFS('[1]unit-ditch-irr-crop'!$I$2:$I$1048576,"UG",'[1]unit-ditch-irr-crop'!$K$2:$K$1048576,$B13)</f>
        <v>3</v>
      </c>
      <c r="Z13" s="8">
        <f>SUMIFS('[1]unit-ditch-irr-crop'!$M$2:$M$1048576,'[1]unit-ditch-irr-crop'!$I$2:$I$1048576,"UG",'[1]unit-ditch-irr-crop'!$K$2:$K$1048576,$B13)</f>
        <v>0.29228832447847497</v>
      </c>
      <c r="AB13">
        <f>COUNTIFS('[1]unit-ditch-irr-crop'!$I$2:$I$1048576,"VV",'[1]unit-ditch-irr-crop'!$E$2:$E$1048576,"Arizona v California",'[1]unit-ditch-irr-crop'!$K$2:$K$1048576,$B13)</f>
        <v>0</v>
      </c>
      <c r="AC13" s="8">
        <f>SUMIFS('[1]unit-ditch-irr-crop'!$M$2:$M$1048576,'[1]unit-ditch-irr-crop'!$I$2:$I$1048576,"VV",'[1]unit-ditch-irr-crop'!$E$2:$E$1048576,"Arizona v California",'[1]unit-ditch-irr-crop'!$K$2:$K$1048576,$B13)</f>
        <v>0</v>
      </c>
      <c r="AE13">
        <f>COUNTIFS('[1]unit-ditch-irr-crop'!$I$2:$I$1048576,"VV",'[1]unit-ditch-irr-crop'!$E$2:$E$1048576,"Globe Equity Decree",'[1]unit-ditch-irr-crop'!$K$2:$K$1048576,$B13)</f>
        <v>0</v>
      </c>
      <c r="AF13" s="8">
        <f>SUMIFS('[1]unit-ditch-irr-crop'!$M$2:$M$1048576,'[1]unit-ditch-irr-crop'!$I$2:$I$1048576,"VV",'[1]unit-ditch-irr-crop'!$E$2:$E$1048576,"Globe Equity Decree",'[1]unit-ditch-irr-crop'!$K$2:$K$1048576,$B13)</f>
        <v>0</v>
      </c>
    </row>
    <row r="14" spans="1:32" x14ac:dyDescent="0.25">
      <c r="B14" s="7" t="s">
        <v>152</v>
      </c>
      <c r="D14">
        <f>COUNTIFS('[1]unit-ditch-irr-crop'!$I$2:$I$1048576,"AA",'[1]unit-ditch-irr-crop'!$K$2:$K$1048576,$B14)</f>
        <v>0</v>
      </c>
      <c r="E14" s="8">
        <f>SUMIFS('[1]unit-ditch-irr-crop'!$M$2:$M$1048576,'[1]unit-ditch-irr-crop'!$I$2:$I$1048576,"AA",'[1]unit-ditch-irr-crop'!$K$2:$K$1048576,$B14)</f>
        <v>0</v>
      </c>
      <c r="G14">
        <f>COUNTIFS('[1]unit-ditch-irr-crop'!$I$2:$I$1048576,"CG",'[1]unit-ditch-irr-crop'!$K$2:$K$1048576,$B14)</f>
        <v>0</v>
      </c>
      <c r="H14" s="8">
        <f>SUMIFS('[1]unit-ditch-irr-crop'!$M$2:$M$1048576,'[1]unit-ditch-irr-crop'!$I$2:$I$1048576,"CG",'[1]unit-ditch-irr-crop'!$K$2:$K$1048576,$B14)</f>
        <v>0</v>
      </c>
      <c r="J14">
        <f>COUNTIFS('[1]unit-ditch-irr-crop'!$I$2:$I$1048576,"Gw",'[1]unit-ditch-irr-crop'!$K$2:$K$1048576,$B14)</f>
        <v>0</v>
      </c>
      <c r="K14" s="8">
        <f>SUMIFS('[1]unit-ditch-irr-crop'!$M$2:$M$1048576,'[1]unit-ditch-irr-crop'!$I$2:$I$1048576,"GW",'[1]unit-ditch-irr-crop'!$K$2:$K$1048576,$B14)</f>
        <v>0</v>
      </c>
      <c r="M14">
        <f>COUNTIFS('[1]unit-ditch-irr-crop'!$I$2:$I$1048576,"LU",'[1]unit-ditch-irr-crop'!$K$2:$K$1048576,$B14)</f>
        <v>0</v>
      </c>
      <c r="N14" s="8">
        <f>SUMIFS('[1]unit-ditch-irr-crop'!$M$2:$M$1048576,'[1]unit-ditch-irr-crop'!$I$2:$I$1048576,"LU",'[1]unit-ditch-irr-crop'!$K$2:$K$1048576,$B14)</f>
        <v>0</v>
      </c>
      <c r="P14">
        <f>COUNTIFS('[1]unit-ditch-irr-crop'!$I$2:$I$1048576,"RR",'[1]unit-ditch-irr-crop'!$K$2:$K$1048576,$B14)</f>
        <v>0</v>
      </c>
      <c r="Q14" s="8">
        <f>SUMIFS('[1]unit-ditch-irr-crop'!$M$2:$M$1048576,'[1]unit-ditch-irr-crop'!$I$2:$I$1048576,"RR",'[1]unit-ditch-irr-crop'!$K$2:$K$1048576,$B14)</f>
        <v>0</v>
      </c>
      <c r="S14">
        <f>COUNTIFS('[1]unit-ditch-irr-crop'!$I$2:$I$1048576,"RS",'[1]unit-ditch-irr-crop'!$K$2:$K$1048576,$B14)</f>
        <v>0</v>
      </c>
      <c r="T14" s="8">
        <f>SUMIFS('[1]unit-ditch-irr-crop'!$M$2:$M$1048576,'[1]unit-ditch-irr-crop'!$I$2:$I$1048576,"RS",'[1]unit-ditch-irr-crop'!$K$2:$K$1048576,$B14)</f>
        <v>0</v>
      </c>
      <c r="V14">
        <f>COUNTIFS('[1]unit-ditch-irr-crop'!$I$2:$I$1048576,"SS",'[1]unit-ditch-irr-crop'!$K$2:$K$1048576,$B14)</f>
        <v>0</v>
      </c>
      <c r="W14" s="8">
        <f>SUMIFS('[1]unit-ditch-irr-crop'!$M$2:$M$1048576,'[1]unit-ditch-irr-crop'!$I$2:$I$1048576,"SS",'[1]unit-ditch-irr-crop'!$K$2:$K$1048576,$B14)</f>
        <v>0</v>
      </c>
      <c r="Y14">
        <f>COUNTIFS('[1]unit-ditch-irr-crop'!$I$2:$I$1048576,"UG",'[1]unit-ditch-irr-crop'!$K$2:$K$1048576,$B14)</f>
        <v>0</v>
      </c>
      <c r="Z14" s="8">
        <f>SUMIFS('[1]unit-ditch-irr-crop'!$M$2:$M$1048576,'[1]unit-ditch-irr-crop'!$I$2:$I$1048576,"UG",'[1]unit-ditch-irr-crop'!$K$2:$K$1048576,$B14)</f>
        <v>0</v>
      </c>
      <c r="AB14">
        <f>COUNTIFS('[1]unit-ditch-irr-crop'!$I$2:$I$1048576,"VV",'[1]unit-ditch-irr-crop'!$E$2:$E$1048576,"Arizona v California",'[1]unit-ditch-irr-crop'!$K$2:$K$1048576,$B14)</f>
        <v>0</v>
      </c>
      <c r="AC14" s="8">
        <f>SUMIFS('[1]unit-ditch-irr-crop'!$M$2:$M$1048576,'[1]unit-ditch-irr-crop'!$I$2:$I$1048576,"VV",'[1]unit-ditch-irr-crop'!$E$2:$E$1048576,"Arizona v California",'[1]unit-ditch-irr-crop'!$K$2:$K$1048576,$B14)</f>
        <v>0</v>
      </c>
      <c r="AE14">
        <f>COUNTIFS('[1]unit-ditch-irr-crop'!$I$2:$I$1048576,"VV",'[1]unit-ditch-irr-crop'!$E$2:$E$1048576,"Globe Equity Decree",'[1]unit-ditch-irr-crop'!$K$2:$K$1048576,$B14)</f>
        <v>0</v>
      </c>
      <c r="AF14" s="8">
        <f>SUMIFS('[1]unit-ditch-irr-crop'!$M$2:$M$1048576,'[1]unit-ditch-irr-crop'!$I$2:$I$1048576,"VV",'[1]unit-ditch-irr-crop'!$E$2:$E$1048576,"Globe Equity Decree",'[1]unit-ditch-irr-crop'!$K$2:$K$1048576,$B14)</f>
        <v>0</v>
      </c>
    </row>
    <row r="15" spans="1:32" x14ac:dyDescent="0.25">
      <c r="B15" s="7" t="s">
        <v>153</v>
      </c>
      <c r="D15">
        <f>COUNTIFS('[1]unit-ditch-irr-crop'!$I$2:$I$1048576,"AA",'[1]unit-ditch-irr-crop'!$K$2:$K$1048576,$B15)</f>
        <v>0</v>
      </c>
      <c r="E15" s="8">
        <f>SUMIFS('[1]unit-ditch-irr-crop'!$M$2:$M$1048576,'[1]unit-ditch-irr-crop'!$I$2:$I$1048576,"AA",'[1]unit-ditch-irr-crop'!$K$2:$K$1048576,$B15)</f>
        <v>0</v>
      </c>
      <c r="G15">
        <f>COUNTIFS('[1]unit-ditch-irr-crop'!$I$2:$I$1048576,"CG",'[1]unit-ditch-irr-crop'!$K$2:$K$1048576,$B15)</f>
        <v>0</v>
      </c>
      <c r="H15" s="8">
        <f>SUMIFS('[1]unit-ditch-irr-crop'!$M$2:$M$1048576,'[1]unit-ditch-irr-crop'!$I$2:$I$1048576,"CG",'[1]unit-ditch-irr-crop'!$K$2:$K$1048576,$B15)</f>
        <v>0</v>
      </c>
      <c r="J15">
        <f>COUNTIFS('[1]unit-ditch-irr-crop'!$I$2:$I$1048576,"Gw",'[1]unit-ditch-irr-crop'!$K$2:$K$1048576,$B15)</f>
        <v>0</v>
      </c>
      <c r="K15" s="8">
        <f>SUMIFS('[1]unit-ditch-irr-crop'!$M$2:$M$1048576,'[1]unit-ditch-irr-crop'!$I$2:$I$1048576,"GW",'[1]unit-ditch-irr-crop'!$K$2:$K$1048576,$B15)</f>
        <v>0</v>
      </c>
      <c r="M15">
        <f>COUNTIFS('[1]unit-ditch-irr-crop'!$I$2:$I$1048576,"LU",'[1]unit-ditch-irr-crop'!$K$2:$K$1048576,$B15)</f>
        <v>0</v>
      </c>
      <c r="N15" s="8">
        <f>SUMIFS('[1]unit-ditch-irr-crop'!$M$2:$M$1048576,'[1]unit-ditch-irr-crop'!$I$2:$I$1048576,"LU",'[1]unit-ditch-irr-crop'!$K$2:$K$1048576,$B15)</f>
        <v>0</v>
      </c>
      <c r="P15">
        <f>COUNTIFS('[1]unit-ditch-irr-crop'!$I$2:$I$1048576,"RR",'[1]unit-ditch-irr-crop'!$K$2:$K$1048576,$B15)</f>
        <v>0</v>
      </c>
      <c r="Q15" s="8">
        <f>SUMIFS('[1]unit-ditch-irr-crop'!$M$2:$M$1048576,'[1]unit-ditch-irr-crop'!$I$2:$I$1048576,"RR",'[1]unit-ditch-irr-crop'!$K$2:$K$1048576,$B15)</f>
        <v>0</v>
      </c>
      <c r="S15">
        <f>COUNTIFS('[1]unit-ditch-irr-crop'!$I$2:$I$1048576,"RS",'[1]unit-ditch-irr-crop'!$K$2:$K$1048576,$B15)</f>
        <v>0</v>
      </c>
      <c r="T15" s="8">
        <f>SUMIFS('[1]unit-ditch-irr-crop'!$M$2:$M$1048576,'[1]unit-ditch-irr-crop'!$I$2:$I$1048576,"RS",'[1]unit-ditch-irr-crop'!$K$2:$K$1048576,$B15)</f>
        <v>0</v>
      </c>
      <c r="V15">
        <f>COUNTIFS('[1]unit-ditch-irr-crop'!$I$2:$I$1048576,"SS",'[1]unit-ditch-irr-crop'!$K$2:$K$1048576,$B15)</f>
        <v>0</v>
      </c>
      <c r="W15" s="8">
        <f>SUMIFS('[1]unit-ditch-irr-crop'!$M$2:$M$1048576,'[1]unit-ditch-irr-crop'!$I$2:$I$1048576,"SS",'[1]unit-ditch-irr-crop'!$K$2:$K$1048576,$B15)</f>
        <v>0</v>
      </c>
      <c r="Y15">
        <f>COUNTIFS('[1]unit-ditch-irr-crop'!$I$2:$I$1048576,"UG",'[1]unit-ditch-irr-crop'!$K$2:$K$1048576,$B15)</f>
        <v>0</v>
      </c>
      <c r="Z15" s="8">
        <f>SUMIFS('[1]unit-ditch-irr-crop'!$M$2:$M$1048576,'[1]unit-ditch-irr-crop'!$I$2:$I$1048576,"UG",'[1]unit-ditch-irr-crop'!$K$2:$K$1048576,$B15)</f>
        <v>0</v>
      </c>
      <c r="AB15">
        <f>COUNTIFS('[1]unit-ditch-irr-crop'!$I$2:$I$1048576,"VV",'[1]unit-ditch-irr-crop'!$E$2:$E$1048576,"Arizona v California",'[1]unit-ditch-irr-crop'!$K$2:$K$1048576,$B15)</f>
        <v>1</v>
      </c>
      <c r="AC15" s="8">
        <f>SUMIFS('[1]unit-ditch-irr-crop'!$M$2:$M$1048576,'[1]unit-ditch-irr-crop'!$I$2:$I$1048576,"VV",'[1]unit-ditch-irr-crop'!$E$2:$E$1048576,"Arizona v California",'[1]unit-ditch-irr-crop'!$K$2:$K$1048576,$B15)</f>
        <v>18.709873370653401</v>
      </c>
      <c r="AE15">
        <f>COUNTIFS('[1]unit-ditch-irr-crop'!$I$2:$I$1048576,"VV",'[1]unit-ditch-irr-crop'!$E$2:$E$1048576,"Globe Equity Decree",'[1]unit-ditch-irr-crop'!$K$2:$K$1048576,$B15)</f>
        <v>24</v>
      </c>
      <c r="AF15" s="8">
        <f>SUMIFS('[1]unit-ditch-irr-crop'!$M$2:$M$1048576,'[1]unit-ditch-irr-crop'!$I$2:$I$1048576,"VV",'[1]unit-ditch-irr-crop'!$E$2:$E$1048576,"Globe Equity Decree",'[1]unit-ditch-irr-crop'!$K$2:$K$1048576,$B15)</f>
        <v>508.07424627198293</v>
      </c>
    </row>
    <row r="16" spans="1:32" x14ac:dyDescent="0.25">
      <c r="B16" s="7" t="s">
        <v>154</v>
      </c>
      <c r="D16">
        <f>COUNTIFS('[1]unit-ditch-irr-crop'!$I$2:$I$1048576,"AA",'[1]unit-ditch-irr-crop'!$K$2:$K$1048576,$B16)</f>
        <v>0</v>
      </c>
      <c r="E16" s="8">
        <f>SUMIFS('[1]unit-ditch-irr-crop'!$M$2:$M$1048576,'[1]unit-ditch-irr-crop'!$I$2:$I$1048576,"AA",'[1]unit-ditch-irr-crop'!$K$2:$K$1048576,$B16)</f>
        <v>0</v>
      </c>
      <c r="G16">
        <f>COUNTIFS('[1]unit-ditch-irr-crop'!$I$2:$I$1048576,"CG",'[1]unit-ditch-irr-crop'!$K$2:$K$1048576,$B16)</f>
        <v>0</v>
      </c>
      <c r="H16" s="8">
        <f>SUMIFS('[1]unit-ditch-irr-crop'!$M$2:$M$1048576,'[1]unit-ditch-irr-crop'!$I$2:$I$1048576,"CG",'[1]unit-ditch-irr-crop'!$K$2:$K$1048576,$B16)</f>
        <v>0</v>
      </c>
      <c r="J16">
        <f>COUNTIFS('[1]unit-ditch-irr-crop'!$I$2:$I$1048576,"Gw",'[1]unit-ditch-irr-crop'!$K$2:$K$1048576,$B16)</f>
        <v>0</v>
      </c>
      <c r="K16" s="8">
        <f>SUMIFS('[1]unit-ditch-irr-crop'!$M$2:$M$1048576,'[1]unit-ditch-irr-crop'!$I$2:$I$1048576,"GW",'[1]unit-ditch-irr-crop'!$K$2:$K$1048576,$B16)</f>
        <v>0</v>
      </c>
      <c r="M16">
        <f>COUNTIFS('[1]unit-ditch-irr-crop'!$I$2:$I$1048576,"LU",'[1]unit-ditch-irr-crop'!$K$2:$K$1048576,$B16)</f>
        <v>0</v>
      </c>
      <c r="N16" s="8">
        <f>SUMIFS('[1]unit-ditch-irr-crop'!$M$2:$M$1048576,'[1]unit-ditch-irr-crop'!$I$2:$I$1048576,"LU",'[1]unit-ditch-irr-crop'!$K$2:$K$1048576,$B16)</f>
        <v>0</v>
      </c>
      <c r="P16">
        <f>COUNTIFS('[1]unit-ditch-irr-crop'!$I$2:$I$1048576,"RR",'[1]unit-ditch-irr-crop'!$K$2:$K$1048576,$B16)</f>
        <v>0</v>
      </c>
      <c r="Q16" s="8">
        <f>SUMIFS('[1]unit-ditch-irr-crop'!$M$2:$M$1048576,'[1]unit-ditch-irr-crop'!$I$2:$I$1048576,"RR",'[1]unit-ditch-irr-crop'!$K$2:$K$1048576,$B16)</f>
        <v>0</v>
      </c>
      <c r="S16">
        <f>COUNTIFS('[1]unit-ditch-irr-crop'!$I$2:$I$1048576,"RS",'[1]unit-ditch-irr-crop'!$K$2:$K$1048576,$B16)</f>
        <v>0</v>
      </c>
      <c r="T16" s="8">
        <f>SUMIFS('[1]unit-ditch-irr-crop'!$M$2:$M$1048576,'[1]unit-ditch-irr-crop'!$I$2:$I$1048576,"RS",'[1]unit-ditch-irr-crop'!$K$2:$K$1048576,$B16)</f>
        <v>0</v>
      </c>
      <c r="V16">
        <f>COUNTIFS('[1]unit-ditch-irr-crop'!$I$2:$I$1048576,"SS",'[1]unit-ditch-irr-crop'!$K$2:$K$1048576,$B16)</f>
        <v>0</v>
      </c>
      <c r="W16" s="8">
        <f>SUMIFS('[1]unit-ditch-irr-crop'!$M$2:$M$1048576,'[1]unit-ditch-irr-crop'!$I$2:$I$1048576,"SS",'[1]unit-ditch-irr-crop'!$K$2:$K$1048576,$B16)</f>
        <v>0</v>
      </c>
      <c r="Y16">
        <f>COUNTIFS('[1]unit-ditch-irr-crop'!$I$2:$I$1048576,"UG",'[1]unit-ditch-irr-crop'!$K$2:$K$1048576,$B16)</f>
        <v>0</v>
      </c>
      <c r="Z16" s="8">
        <f>SUMIFS('[1]unit-ditch-irr-crop'!$M$2:$M$1048576,'[1]unit-ditch-irr-crop'!$I$2:$I$1048576,"UG",'[1]unit-ditch-irr-crop'!$K$2:$K$1048576,$B16)</f>
        <v>0</v>
      </c>
      <c r="AB16">
        <f>COUNTIFS('[1]unit-ditch-irr-crop'!$I$2:$I$1048576,"VV",'[1]unit-ditch-irr-crop'!$E$2:$E$1048576,"Arizona v California",'[1]unit-ditch-irr-crop'!$K$2:$K$1048576,$B16)</f>
        <v>0</v>
      </c>
      <c r="AC16" s="8">
        <f>SUMIFS('[1]unit-ditch-irr-crop'!$M$2:$M$1048576,'[1]unit-ditch-irr-crop'!$I$2:$I$1048576,"VV",'[1]unit-ditch-irr-crop'!$E$2:$E$1048576,"Arizona v California",'[1]unit-ditch-irr-crop'!$K$2:$K$1048576,$B16)</f>
        <v>0</v>
      </c>
      <c r="AE16">
        <f>COUNTIFS('[1]unit-ditch-irr-crop'!$I$2:$I$1048576,"VV",'[1]unit-ditch-irr-crop'!$E$2:$E$1048576,"Globe Equity Decree",'[1]unit-ditch-irr-crop'!$K$2:$K$1048576,$B16)</f>
        <v>0</v>
      </c>
      <c r="AF16" s="8">
        <f>SUMIFS('[1]unit-ditch-irr-crop'!$M$2:$M$1048576,'[1]unit-ditch-irr-crop'!$I$2:$I$1048576,"VV",'[1]unit-ditch-irr-crop'!$E$2:$E$1048576,"Globe Equity Decree",'[1]unit-ditch-irr-crop'!$K$2:$K$1048576,$B16)</f>
        <v>0</v>
      </c>
    </row>
    <row r="17" spans="1:36" x14ac:dyDescent="0.25">
      <c r="B17" s="7" t="s">
        <v>155</v>
      </c>
      <c r="D17">
        <f>COUNTIFS('[1]unit-ditch-irr-crop'!$I$2:$I$1048576,"AA",'[1]unit-ditch-irr-crop'!$K$2:$K$1048576,$B17)</f>
        <v>47</v>
      </c>
      <c r="E17" s="8">
        <f>SUMIFS('[1]unit-ditch-irr-crop'!$M$2:$M$1048576,'[1]unit-ditch-irr-crop'!$I$2:$I$1048576,"AA",'[1]unit-ditch-irr-crop'!$K$2:$K$1048576,$B17)</f>
        <v>143.99134832734043</v>
      </c>
      <c r="G17">
        <f>COUNTIFS('[1]unit-ditch-irr-crop'!$I$2:$I$1048576,"CG",'[1]unit-ditch-irr-crop'!$K$2:$K$1048576,$B17)</f>
        <v>143</v>
      </c>
      <c r="H17" s="8">
        <f>SUMIFS('[1]unit-ditch-irr-crop'!$M$2:$M$1048576,'[1]unit-ditch-irr-crop'!$I$2:$I$1048576,"CG",'[1]unit-ditch-irr-crop'!$K$2:$K$1048576,$B17)</f>
        <v>1040.2945219535657</v>
      </c>
      <c r="J17">
        <f>COUNTIFS('[1]unit-ditch-irr-crop'!$I$2:$I$1048576,"Gw",'[1]unit-ditch-irr-crop'!$K$2:$K$1048576,$B17)</f>
        <v>43</v>
      </c>
      <c r="K17" s="8">
        <f>SUMIFS('[1]unit-ditch-irr-crop'!$M$2:$M$1048576,'[1]unit-ditch-irr-crop'!$I$2:$I$1048576,"GW",'[1]unit-ditch-irr-crop'!$K$2:$K$1048576,$B17)</f>
        <v>146.39103367294558</v>
      </c>
      <c r="M17">
        <f>COUNTIFS('[1]unit-ditch-irr-crop'!$I$2:$I$1048576,"LU",'[1]unit-ditch-irr-crop'!$K$2:$K$1048576,$B17)</f>
        <v>32</v>
      </c>
      <c r="N17" s="8">
        <f>SUMIFS('[1]unit-ditch-irr-crop'!$M$2:$M$1048576,'[1]unit-ditch-irr-crop'!$I$2:$I$1048576,"LU",'[1]unit-ditch-irr-crop'!$K$2:$K$1048576,$B17)</f>
        <v>178.56866287912322</v>
      </c>
      <c r="P17">
        <f>COUNTIFS('[1]unit-ditch-irr-crop'!$I$2:$I$1048576,"RR",'[1]unit-ditch-irr-crop'!$K$2:$K$1048576,$B17)</f>
        <v>5</v>
      </c>
      <c r="Q17" s="8">
        <f>SUMIFS('[1]unit-ditch-irr-crop'!$M$2:$M$1048576,'[1]unit-ditch-irr-crop'!$I$2:$I$1048576,"RR",'[1]unit-ditch-irr-crop'!$K$2:$K$1048576,$B17)</f>
        <v>42.145561538104552</v>
      </c>
      <c r="S17">
        <f>COUNTIFS('[1]unit-ditch-irr-crop'!$I$2:$I$1048576,"RS",'[1]unit-ditch-irr-crop'!$K$2:$K$1048576,$B17)</f>
        <v>79</v>
      </c>
      <c r="T17" s="8">
        <f>SUMIFS('[1]unit-ditch-irr-crop'!$M$2:$M$1048576,'[1]unit-ditch-irr-crop'!$I$2:$I$1048576,"RS",'[1]unit-ditch-irr-crop'!$K$2:$K$1048576,$B17)</f>
        <v>285.54034985838774</v>
      </c>
      <c r="V17">
        <f>COUNTIFS('[1]unit-ditch-irr-crop'!$I$2:$I$1048576,"SS",'[1]unit-ditch-irr-crop'!$K$2:$K$1048576,$B17)</f>
        <v>0</v>
      </c>
      <c r="W17" s="8">
        <f>SUMIFS('[1]unit-ditch-irr-crop'!$M$2:$M$1048576,'[1]unit-ditch-irr-crop'!$I$2:$I$1048576,"SS",'[1]unit-ditch-irr-crop'!$K$2:$K$1048576,$B17)</f>
        <v>0</v>
      </c>
      <c r="Y17">
        <f>COUNTIFS('[1]unit-ditch-irr-crop'!$I$2:$I$1048576,"UG",'[1]unit-ditch-irr-crop'!$K$2:$K$1048576,$B17)</f>
        <v>19</v>
      </c>
      <c r="Z17" s="8">
        <f>SUMIFS('[1]unit-ditch-irr-crop'!$M$2:$M$1048576,'[1]unit-ditch-irr-crop'!$I$2:$I$1048576,"UG",'[1]unit-ditch-irr-crop'!$K$2:$K$1048576,$B17)</f>
        <v>43.685652316622608</v>
      </c>
      <c r="AB17">
        <f>COUNTIFS('[1]unit-ditch-irr-crop'!$I$2:$I$1048576,"VV",'[1]unit-ditch-irr-crop'!$E$2:$E$1048576,"Arizona v California",'[1]unit-ditch-irr-crop'!$K$2:$K$1048576,$B17)</f>
        <v>0</v>
      </c>
      <c r="AC17" s="8">
        <f>SUMIFS('[1]unit-ditch-irr-crop'!$M$2:$M$1048576,'[1]unit-ditch-irr-crop'!$I$2:$I$1048576,"VV",'[1]unit-ditch-irr-crop'!$E$2:$E$1048576,"Arizona v California",'[1]unit-ditch-irr-crop'!$K$2:$K$1048576,$B17)</f>
        <v>0</v>
      </c>
      <c r="AE17">
        <f>COUNTIFS('[1]unit-ditch-irr-crop'!$I$2:$I$1048576,"VV",'[1]unit-ditch-irr-crop'!$E$2:$E$1048576,"Globe Equity Decree",'[1]unit-ditch-irr-crop'!$K$2:$K$1048576,$B17)</f>
        <v>0</v>
      </c>
      <c r="AF17" s="8">
        <f>SUMIFS('[1]unit-ditch-irr-crop'!$M$2:$M$1048576,'[1]unit-ditch-irr-crop'!$I$2:$I$1048576,"VV",'[1]unit-ditch-irr-crop'!$E$2:$E$1048576,"Globe Equity Decree",'[1]unit-ditch-irr-crop'!$K$2:$K$1048576,$B17)</f>
        <v>0</v>
      </c>
    </row>
    <row r="18" spans="1:36" x14ac:dyDescent="0.25">
      <c r="B18" s="7" t="s">
        <v>156</v>
      </c>
      <c r="D18">
        <f>COUNTIFS('[1]unit-ditch-irr-crop'!$I$2:$I$1048576,"AA",'[1]unit-ditch-irr-crop'!$K$2:$K$1048576,$B18)</f>
        <v>0</v>
      </c>
      <c r="E18" s="8">
        <f>SUMIFS('[1]unit-ditch-irr-crop'!$M$2:$M$1048576,'[1]unit-ditch-irr-crop'!$I$2:$I$1048576,"AA",'[1]unit-ditch-irr-crop'!$K$2:$K$1048576,$B18)</f>
        <v>0</v>
      </c>
      <c r="G18">
        <f>COUNTIFS('[1]unit-ditch-irr-crop'!$I$2:$I$1048576,"CG",'[1]unit-ditch-irr-crop'!$K$2:$K$1048576,$B18)</f>
        <v>4</v>
      </c>
      <c r="H18" s="8">
        <f>SUMIFS('[1]unit-ditch-irr-crop'!$M$2:$M$1048576,'[1]unit-ditch-irr-crop'!$I$2:$I$1048576,"CG",'[1]unit-ditch-irr-crop'!$K$2:$K$1048576,$B18)</f>
        <v>28.066656690759373</v>
      </c>
      <c r="J18">
        <f>COUNTIFS('[1]unit-ditch-irr-crop'!$I$2:$I$1048576,"Gw",'[1]unit-ditch-irr-crop'!$K$2:$K$1048576,$B18)</f>
        <v>0</v>
      </c>
      <c r="K18" s="8">
        <f>SUMIFS('[1]unit-ditch-irr-crop'!$M$2:$M$1048576,'[1]unit-ditch-irr-crop'!$I$2:$I$1048576,"GW",'[1]unit-ditch-irr-crop'!$K$2:$K$1048576,$B18)</f>
        <v>0</v>
      </c>
      <c r="M18">
        <f>COUNTIFS('[1]unit-ditch-irr-crop'!$I$2:$I$1048576,"LU",'[1]unit-ditch-irr-crop'!$K$2:$K$1048576,$B18)</f>
        <v>0</v>
      </c>
      <c r="N18" s="8">
        <f>SUMIFS('[1]unit-ditch-irr-crop'!$M$2:$M$1048576,'[1]unit-ditch-irr-crop'!$I$2:$I$1048576,"LU",'[1]unit-ditch-irr-crop'!$K$2:$K$1048576,$B18)</f>
        <v>0</v>
      </c>
      <c r="P18">
        <f>COUNTIFS('[1]unit-ditch-irr-crop'!$I$2:$I$1048576,"RR",'[1]unit-ditch-irr-crop'!$K$2:$K$1048576,$B18)</f>
        <v>0</v>
      </c>
      <c r="Q18" s="8">
        <f>SUMIFS('[1]unit-ditch-irr-crop'!$M$2:$M$1048576,'[1]unit-ditch-irr-crop'!$I$2:$I$1048576,"RR",'[1]unit-ditch-irr-crop'!$K$2:$K$1048576,$B18)</f>
        <v>0</v>
      </c>
      <c r="S18">
        <f>COUNTIFS('[1]unit-ditch-irr-crop'!$I$2:$I$1048576,"RS",'[1]unit-ditch-irr-crop'!$K$2:$K$1048576,$B18)</f>
        <v>2</v>
      </c>
      <c r="T18" s="8">
        <f>SUMIFS('[1]unit-ditch-irr-crop'!$M$2:$M$1048576,'[1]unit-ditch-irr-crop'!$I$2:$I$1048576,"RS",'[1]unit-ditch-irr-crop'!$K$2:$K$1048576,$B18)</f>
        <v>1.293522774679251</v>
      </c>
      <c r="V18">
        <f>COUNTIFS('[1]unit-ditch-irr-crop'!$I$2:$I$1048576,"SS",'[1]unit-ditch-irr-crop'!$K$2:$K$1048576,$B18)</f>
        <v>1</v>
      </c>
      <c r="W18" s="8">
        <f>SUMIFS('[1]unit-ditch-irr-crop'!$M$2:$M$1048576,'[1]unit-ditch-irr-crop'!$I$2:$I$1048576,"SS",'[1]unit-ditch-irr-crop'!$K$2:$K$1048576,$B18)</f>
        <v>111.847874762084</v>
      </c>
      <c r="Y18">
        <f>COUNTIFS('[1]unit-ditch-irr-crop'!$I$2:$I$1048576,"UG",'[1]unit-ditch-irr-crop'!$K$2:$K$1048576,$B18)</f>
        <v>0</v>
      </c>
      <c r="Z18" s="8">
        <f>SUMIFS('[1]unit-ditch-irr-crop'!$M$2:$M$1048576,'[1]unit-ditch-irr-crop'!$I$2:$I$1048576,"UG",'[1]unit-ditch-irr-crop'!$K$2:$K$1048576,$B18)</f>
        <v>0</v>
      </c>
      <c r="AB18">
        <f>COUNTIFS('[1]unit-ditch-irr-crop'!$I$2:$I$1048576,"VV",'[1]unit-ditch-irr-crop'!$E$2:$E$1048576,"Arizona v California",'[1]unit-ditch-irr-crop'!$K$2:$K$1048576,$B18)</f>
        <v>0</v>
      </c>
      <c r="AC18" s="8">
        <f>SUMIFS('[1]unit-ditch-irr-crop'!$M$2:$M$1048576,'[1]unit-ditch-irr-crop'!$I$2:$I$1048576,"VV",'[1]unit-ditch-irr-crop'!$E$2:$E$1048576,"Arizona v California",'[1]unit-ditch-irr-crop'!$K$2:$K$1048576,$B18)</f>
        <v>0</v>
      </c>
      <c r="AE18">
        <f>COUNTIFS('[1]unit-ditch-irr-crop'!$I$2:$I$1048576,"VV",'[1]unit-ditch-irr-crop'!$E$2:$E$1048576,"Globe Equity Decree",'[1]unit-ditch-irr-crop'!$K$2:$K$1048576,$B18)</f>
        <v>0</v>
      </c>
      <c r="AF18" s="8">
        <f>SUMIFS('[1]unit-ditch-irr-crop'!$M$2:$M$1048576,'[1]unit-ditch-irr-crop'!$I$2:$I$1048576,"VV",'[1]unit-ditch-irr-crop'!$E$2:$E$1048576,"Globe Equity Decree",'[1]unit-ditch-irr-crop'!$K$2:$K$1048576,$B18)</f>
        <v>0</v>
      </c>
    </row>
    <row r="19" spans="1:36" x14ac:dyDescent="0.25">
      <c r="B19" s="7" t="s">
        <v>157</v>
      </c>
      <c r="D19">
        <f>COUNTIFS('[1]unit-ditch-irr-crop'!$I$2:$I$1048576,"AA",'[1]unit-ditch-irr-crop'!$K$2:$K$1048576,$B19)</f>
        <v>0</v>
      </c>
      <c r="E19" s="8">
        <f>SUMIFS('[1]unit-ditch-irr-crop'!$M$2:$M$1048576,'[1]unit-ditch-irr-crop'!$I$2:$I$1048576,"AA",'[1]unit-ditch-irr-crop'!$K$2:$K$1048576,$B19)</f>
        <v>0</v>
      </c>
      <c r="G19">
        <f>COUNTIFS('[1]unit-ditch-irr-crop'!$I$2:$I$1048576,"CG",'[1]unit-ditch-irr-crop'!$K$2:$K$1048576,$B19)</f>
        <v>102</v>
      </c>
      <c r="H19" s="8">
        <f>SUMIFS('[1]unit-ditch-irr-crop'!$M$2:$M$1048576,'[1]unit-ditch-irr-crop'!$I$2:$I$1048576,"CG",'[1]unit-ditch-irr-crop'!$K$2:$K$1048576,$B19)</f>
        <v>644.38425356843334</v>
      </c>
      <c r="J19">
        <f>COUNTIFS('[1]unit-ditch-irr-crop'!$I$2:$I$1048576,"Gw",'[1]unit-ditch-irr-crop'!$K$2:$K$1048576,$B19)</f>
        <v>66</v>
      </c>
      <c r="K19" s="8">
        <f>SUMIFS('[1]unit-ditch-irr-crop'!$M$2:$M$1048576,'[1]unit-ditch-irr-crop'!$I$2:$I$1048576,"GW",'[1]unit-ditch-irr-crop'!$K$2:$K$1048576,$B19)</f>
        <v>383.44685287112924</v>
      </c>
      <c r="M19">
        <f>COUNTIFS('[1]unit-ditch-irr-crop'!$I$2:$I$1048576,"LU",'[1]unit-ditch-irr-crop'!$K$2:$K$1048576,$B19)</f>
        <v>0</v>
      </c>
      <c r="N19" s="8">
        <f>SUMIFS('[1]unit-ditch-irr-crop'!$M$2:$M$1048576,'[1]unit-ditch-irr-crop'!$I$2:$I$1048576,"LU",'[1]unit-ditch-irr-crop'!$K$2:$K$1048576,$B19)</f>
        <v>0</v>
      </c>
      <c r="P19">
        <f>COUNTIFS('[1]unit-ditch-irr-crop'!$I$2:$I$1048576,"RR",'[1]unit-ditch-irr-crop'!$K$2:$K$1048576,$B19)</f>
        <v>6</v>
      </c>
      <c r="Q19" s="8">
        <f>SUMIFS('[1]unit-ditch-irr-crop'!$M$2:$M$1048576,'[1]unit-ditch-irr-crop'!$I$2:$I$1048576,"RR",'[1]unit-ditch-irr-crop'!$K$2:$K$1048576,$B19)</f>
        <v>70.986827280139579</v>
      </c>
      <c r="S19">
        <f>COUNTIFS('[1]unit-ditch-irr-crop'!$I$2:$I$1048576,"RS",'[1]unit-ditch-irr-crop'!$K$2:$K$1048576,$B19)</f>
        <v>6</v>
      </c>
      <c r="T19" s="8">
        <f>SUMIFS('[1]unit-ditch-irr-crop'!$M$2:$M$1048576,'[1]unit-ditch-irr-crop'!$I$2:$I$1048576,"RS",'[1]unit-ditch-irr-crop'!$K$2:$K$1048576,$B19)</f>
        <v>32.857458842622449</v>
      </c>
      <c r="V19">
        <f>COUNTIFS('[1]unit-ditch-irr-crop'!$I$2:$I$1048576,"SS",'[1]unit-ditch-irr-crop'!$K$2:$K$1048576,$B19)</f>
        <v>3</v>
      </c>
      <c r="W19" s="8">
        <f>SUMIFS('[1]unit-ditch-irr-crop'!$M$2:$M$1048576,'[1]unit-ditch-irr-crop'!$I$2:$I$1048576,"SS",'[1]unit-ditch-irr-crop'!$K$2:$K$1048576,$B19)</f>
        <v>216.06943045762281</v>
      </c>
      <c r="Y19">
        <f>COUNTIFS('[1]unit-ditch-irr-crop'!$I$2:$I$1048576,"UG",'[1]unit-ditch-irr-crop'!$K$2:$K$1048576,$B19)</f>
        <v>12</v>
      </c>
      <c r="Z19" s="8">
        <f>SUMIFS('[1]unit-ditch-irr-crop'!$M$2:$M$1048576,'[1]unit-ditch-irr-crop'!$I$2:$I$1048576,"UG",'[1]unit-ditch-irr-crop'!$K$2:$K$1048576,$B19)</f>
        <v>30.77333760800466</v>
      </c>
      <c r="AB19">
        <f>COUNTIFS('[1]unit-ditch-irr-crop'!$I$2:$I$1048576,"VV",'[1]unit-ditch-irr-crop'!$E$2:$E$1048576,"Arizona v California",'[1]unit-ditch-irr-crop'!$K$2:$K$1048576,$B19)</f>
        <v>1</v>
      </c>
      <c r="AC19" s="8">
        <f>SUMIFS('[1]unit-ditch-irr-crop'!$M$2:$M$1048576,'[1]unit-ditch-irr-crop'!$I$2:$I$1048576,"VV",'[1]unit-ditch-irr-crop'!$E$2:$E$1048576,"Arizona v California",'[1]unit-ditch-irr-crop'!$K$2:$K$1048576,$B19)</f>
        <v>10.7395146650419</v>
      </c>
      <c r="AE19">
        <f>COUNTIFS('[1]unit-ditch-irr-crop'!$I$2:$I$1048576,"VV",'[1]unit-ditch-irr-crop'!$E$2:$E$1048576,"Globe Equity Decree",'[1]unit-ditch-irr-crop'!$K$2:$K$1048576,$B19)</f>
        <v>58</v>
      </c>
      <c r="AF19" s="8">
        <f>SUMIFS('[1]unit-ditch-irr-crop'!$M$2:$M$1048576,'[1]unit-ditch-irr-crop'!$I$2:$I$1048576,"VV",'[1]unit-ditch-irr-crop'!$E$2:$E$1048576,"Globe Equity Decree",'[1]unit-ditch-irr-crop'!$K$2:$K$1048576,$B19)</f>
        <v>445.323909815722</v>
      </c>
    </row>
    <row r="20" spans="1:36" x14ac:dyDescent="0.25">
      <c r="B20" s="7" t="s">
        <v>138</v>
      </c>
      <c r="D20">
        <f>COUNTIFS('[1]unit-ditch-irr-crop'!$I$2:$I$1048576,"AA",'[1]unit-ditch-irr-crop'!$K$2:$K$1048576,$B20)</f>
        <v>5</v>
      </c>
      <c r="E20" s="8">
        <f>SUMIFS('[1]unit-ditch-irr-crop'!$M$2:$M$1048576,'[1]unit-ditch-irr-crop'!$I$2:$I$1048576,"AA",'[1]unit-ditch-irr-crop'!$K$2:$K$1048576,$B20)</f>
        <v>0.433681214310561</v>
      </c>
      <c r="G20">
        <f>COUNTIFS('[1]unit-ditch-irr-crop'!$I$2:$I$1048576,"CG",'[1]unit-ditch-irr-crop'!$K$2:$K$1048576,$B20)</f>
        <v>14</v>
      </c>
      <c r="H20" s="8">
        <f>SUMIFS('[1]unit-ditch-irr-crop'!$M$2:$M$1048576,'[1]unit-ditch-irr-crop'!$I$2:$I$1048576,"CG",'[1]unit-ditch-irr-crop'!$K$2:$K$1048576,$B20)</f>
        <v>6.0528836067961498</v>
      </c>
      <c r="J20">
        <f>COUNTIFS('[1]unit-ditch-irr-crop'!$I$2:$I$1048576,"Gw",'[1]unit-ditch-irr-crop'!$K$2:$K$1048576,$B20)</f>
        <v>5</v>
      </c>
      <c r="K20" s="8">
        <f>SUMIFS('[1]unit-ditch-irr-crop'!$M$2:$M$1048576,'[1]unit-ditch-irr-crop'!$I$2:$I$1048576,"GW",'[1]unit-ditch-irr-crop'!$K$2:$K$1048576,$B20)</f>
        <v>6.1127082214548034</v>
      </c>
      <c r="M20">
        <f>COUNTIFS('[1]unit-ditch-irr-crop'!$I$2:$I$1048576,"LU",'[1]unit-ditch-irr-crop'!$K$2:$K$1048576,$B20)</f>
        <v>0</v>
      </c>
      <c r="N20" s="8">
        <f>SUMIFS('[1]unit-ditch-irr-crop'!$M$2:$M$1048576,'[1]unit-ditch-irr-crop'!$I$2:$I$1048576,"LU",'[1]unit-ditch-irr-crop'!$K$2:$K$1048576,$B20)</f>
        <v>0</v>
      </c>
      <c r="P20">
        <f>COUNTIFS('[1]unit-ditch-irr-crop'!$I$2:$I$1048576,"RR",'[1]unit-ditch-irr-crop'!$K$2:$K$1048576,$B20)</f>
        <v>0</v>
      </c>
      <c r="Q20" s="8">
        <f>SUMIFS('[1]unit-ditch-irr-crop'!$M$2:$M$1048576,'[1]unit-ditch-irr-crop'!$I$2:$I$1048576,"RR",'[1]unit-ditch-irr-crop'!$K$2:$K$1048576,$B20)</f>
        <v>0</v>
      </c>
      <c r="S20">
        <f>COUNTIFS('[1]unit-ditch-irr-crop'!$I$2:$I$1048576,"RS",'[1]unit-ditch-irr-crop'!$K$2:$K$1048576,$B20)</f>
        <v>3</v>
      </c>
      <c r="T20" s="8">
        <f>SUMIFS('[1]unit-ditch-irr-crop'!$M$2:$M$1048576,'[1]unit-ditch-irr-crop'!$I$2:$I$1048576,"RS",'[1]unit-ditch-irr-crop'!$K$2:$K$1048576,$B20)</f>
        <v>0.77935169709525998</v>
      </c>
      <c r="V20">
        <f>COUNTIFS('[1]unit-ditch-irr-crop'!$I$2:$I$1048576,"SS",'[1]unit-ditch-irr-crop'!$K$2:$K$1048576,$B20)</f>
        <v>1</v>
      </c>
      <c r="W20" s="8">
        <f>SUMIFS('[1]unit-ditch-irr-crop'!$M$2:$M$1048576,'[1]unit-ditch-irr-crop'!$I$2:$I$1048576,"SS",'[1]unit-ditch-irr-crop'!$K$2:$K$1048576,$B20)</f>
        <v>0.323600829178813</v>
      </c>
      <c r="Y20">
        <f>COUNTIFS('[1]unit-ditch-irr-crop'!$I$2:$I$1048576,"UG",'[1]unit-ditch-irr-crop'!$K$2:$K$1048576,$B20)</f>
        <v>3</v>
      </c>
      <c r="Z20" s="8">
        <f>SUMIFS('[1]unit-ditch-irr-crop'!$M$2:$M$1048576,'[1]unit-ditch-irr-crop'!$I$2:$I$1048576,"UG",'[1]unit-ditch-irr-crop'!$K$2:$K$1048576,$B20)</f>
        <v>0.29228832447847497</v>
      </c>
      <c r="AB20">
        <f>COUNTIFS('[1]unit-ditch-irr-crop'!$I$2:$I$1048576,"VV",'[1]unit-ditch-irr-crop'!$E$2:$E$1048576,"Arizona v California",'[1]unit-ditch-irr-crop'!$K$2:$K$1048576,$B20)</f>
        <v>0</v>
      </c>
      <c r="AC20" s="8">
        <f>SUMIFS('[1]unit-ditch-irr-crop'!$M$2:$M$1048576,'[1]unit-ditch-irr-crop'!$I$2:$I$1048576,"VV",'[1]unit-ditch-irr-crop'!$E$2:$E$1048576,"Arizona v California",'[1]unit-ditch-irr-crop'!$K$2:$K$1048576,$B20)</f>
        <v>0</v>
      </c>
      <c r="AE20">
        <f>COUNTIFS('[1]unit-ditch-irr-crop'!$I$2:$I$1048576,"VV",'[1]unit-ditch-irr-crop'!$E$2:$E$1048576,"Globe Equity Decree",'[1]unit-ditch-irr-crop'!$K$2:$K$1048576,$B20)</f>
        <v>0</v>
      </c>
      <c r="AF20" s="8">
        <f>SUMIFS('[1]unit-ditch-irr-crop'!$M$2:$M$1048576,'[1]unit-ditch-irr-crop'!$I$2:$I$1048576,"VV",'[1]unit-ditch-irr-crop'!$E$2:$E$1048576,"Globe Equity Decree",'[1]unit-ditch-irr-crop'!$K$2:$K$1048576,$B20)</f>
        <v>0</v>
      </c>
    </row>
    <row r="21" spans="1:36" x14ac:dyDescent="0.25">
      <c r="B21" s="7" t="s">
        <v>158</v>
      </c>
      <c r="D21">
        <f>COUNTIFS('[1]unit-ditch-irr-crop'!$I$2:$I$1048576,"AA",'[1]unit-ditch-irr-crop'!$K$2:$K$1048576,$B21)</f>
        <v>1</v>
      </c>
      <c r="E21" s="8">
        <f>SUMIFS('[1]unit-ditch-irr-crop'!$M$2:$M$1048576,'[1]unit-ditch-irr-crop'!$I$2:$I$1048576,"AA",'[1]unit-ditch-irr-crop'!$K$2:$K$1048576,$B21)</f>
        <v>0.51395658421577395</v>
      </c>
      <c r="G21">
        <f>COUNTIFS('[1]unit-ditch-irr-crop'!$I$2:$I$1048576,"CG",'[1]unit-ditch-irr-crop'!$K$2:$K$1048576,$B21)</f>
        <v>5</v>
      </c>
      <c r="H21" s="8">
        <f>SUMIFS('[1]unit-ditch-irr-crop'!$M$2:$M$1048576,'[1]unit-ditch-irr-crop'!$I$2:$I$1048576,"CG",'[1]unit-ditch-irr-crop'!$K$2:$K$1048576,$B21)</f>
        <v>1.618256956473421</v>
      </c>
      <c r="J21">
        <f>COUNTIFS('[1]unit-ditch-irr-crop'!$I$2:$I$1048576,"Gw",'[1]unit-ditch-irr-crop'!$K$2:$K$1048576,$B21)</f>
        <v>4</v>
      </c>
      <c r="K21" s="8">
        <f>SUMIFS('[1]unit-ditch-irr-crop'!$M$2:$M$1048576,'[1]unit-ditch-irr-crop'!$I$2:$I$1048576,"GW",'[1]unit-ditch-irr-crop'!$K$2:$K$1048576,$B21)</f>
        <v>1.399989076015145</v>
      </c>
      <c r="M21">
        <f>COUNTIFS('[1]unit-ditch-irr-crop'!$I$2:$I$1048576,"LU",'[1]unit-ditch-irr-crop'!$K$2:$K$1048576,$B21)</f>
        <v>0</v>
      </c>
      <c r="N21" s="8">
        <f>SUMIFS('[1]unit-ditch-irr-crop'!$M$2:$M$1048576,'[1]unit-ditch-irr-crop'!$I$2:$I$1048576,"LU",'[1]unit-ditch-irr-crop'!$K$2:$K$1048576,$B21)</f>
        <v>0</v>
      </c>
      <c r="P21">
        <f>COUNTIFS('[1]unit-ditch-irr-crop'!$I$2:$I$1048576,"RR",'[1]unit-ditch-irr-crop'!$K$2:$K$1048576,$B21)</f>
        <v>0</v>
      </c>
      <c r="Q21" s="8">
        <f>SUMIFS('[1]unit-ditch-irr-crop'!$M$2:$M$1048576,'[1]unit-ditch-irr-crop'!$I$2:$I$1048576,"RR",'[1]unit-ditch-irr-crop'!$K$2:$K$1048576,$B21)</f>
        <v>0</v>
      </c>
      <c r="S21">
        <f>COUNTIFS('[1]unit-ditch-irr-crop'!$I$2:$I$1048576,"RS",'[1]unit-ditch-irr-crop'!$K$2:$K$1048576,$B21)</f>
        <v>7</v>
      </c>
      <c r="T21" s="8">
        <f>SUMIFS('[1]unit-ditch-irr-crop'!$M$2:$M$1048576,'[1]unit-ditch-irr-crop'!$I$2:$I$1048576,"RS",'[1]unit-ditch-irr-crop'!$K$2:$K$1048576,$B21)</f>
        <v>6.3103035594624037</v>
      </c>
      <c r="V21">
        <f>COUNTIFS('[1]unit-ditch-irr-crop'!$I$2:$I$1048576,"SS",'[1]unit-ditch-irr-crop'!$K$2:$K$1048576,$B21)</f>
        <v>0</v>
      </c>
      <c r="W21" s="8">
        <f>SUMIFS('[1]unit-ditch-irr-crop'!$M$2:$M$1048576,'[1]unit-ditch-irr-crop'!$I$2:$I$1048576,"SS",'[1]unit-ditch-irr-crop'!$K$2:$K$1048576,$B21)</f>
        <v>0</v>
      </c>
      <c r="Y21">
        <f>COUNTIFS('[1]unit-ditch-irr-crop'!$I$2:$I$1048576,"UG",'[1]unit-ditch-irr-crop'!$K$2:$K$1048576,$B21)</f>
        <v>4</v>
      </c>
      <c r="Z21" s="8">
        <f>SUMIFS('[1]unit-ditch-irr-crop'!$M$2:$M$1048576,'[1]unit-ditch-irr-crop'!$I$2:$I$1048576,"UG",'[1]unit-ditch-irr-crop'!$K$2:$K$1048576,$B21)</f>
        <v>1.1440683130686409</v>
      </c>
      <c r="AB21">
        <f>COUNTIFS('[1]unit-ditch-irr-crop'!$I$2:$I$1048576,"VV",'[1]unit-ditch-irr-crop'!$E$2:$E$1048576,"Arizona v California",'[1]unit-ditch-irr-crop'!$K$2:$K$1048576,$B21)</f>
        <v>2</v>
      </c>
      <c r="AC21" s="8">
        <f>SUMIFS('[1]unit-ditch-irr-crop'!$M$2:$M$1048576,'[1]unit-ditch-irr-crop'!$I$2:$I$1048576,"VV",'[1]unit-ditch-irr-crop'!$E$2:$E$1048576,"Arizona v California",'[1]unit-ditch-irr-crop'!$K$2:$K$1048576,$B21)</f>
        <v>2.1093990565669118</v>
      </c>
      <c r="AE21">
        <f>COUNTIFS('[1]unit-ditch-irr-crop'!$I$2:$I$1048576,"VV",'[1]unit-ditch-irr-crop'!$E$2:$E$1048576,"Globe Equity Decree",'[1]unit-ditch-irr-crop'!$K$2:$K$1048576,$B21)</f>
        <v>2</v>
      </c>
      <c r="AF21" s="8">
        <f>SUMIFS('[1]unit-ditch-irr-crop'!$M$2:$M$1048576,'[1]unit-ditch-irr-crop'!$I$2:$I$1048576,"VV",'[1]unit-ditch-irr-crop'!$E$2:$E$1048576,"Globe Equity Decree",'[1]unit-ditch-irr-crop'!$K$2:$K$1048576,$B21)</f>
        <v>0.88539815111902009</v>
      </c>
    </row>
    <row r="22" spans="1:36" x14ac:dyDescent="0.25">
      <c r="B22" s="7" t="s">
        <v>159</v>
      </c>
      <c r="D22">
        <f>COUNTIFS('[1]unit-ditch-irr-crop'!$I$2:$I$1048576,"AA",'[1]unit-ditch-irr-crop'!$K$2:$K$1048576,$B22)</f>
        <v>0</v>
      </c>
      <c r="E22" s="8">
        <f>SUMIFS('[1]unit-ditch-irr-crop'!$M$2:$M$1048576,'[1]unit-ditch-irr-crop'!$I$2:$I$1048576,"AA",'[1]unit-ditch-irr-crop'!$K$2:$K$1048576,$B22)</f>
        <v>0</v>
      </c>
      <c r="G22">
        <f>COUNTIFS('[1]unit-ditch-irr-crop'!$I$2:$I$1048576,"CG",'[1]unit-ditch-irr-crop'!$K$2:$K$1048576,$B22)</f>
        <v>0</v>
      </c>
      <c r="H22" s="8">
        <f>SUMIFS('[1]unit-ditch-irr-crop'!$M$2:$M$1048576,'[1]unit-ditch-irr-crop'!$I$2:$I$1048576,"CG",'[1]unit-ditch-irr-crop'!$K$2:$K$1048576,$B22)</f>
        <v>0</v>
      </c>
      <c r="J22">
        <f>COUNTIFS('[1]unit-ditch-irr-crop'!$I$2:$I$1048576,"Gw",'[1]unit-ditch-irr-crop'!$K$2:$K$1048576,$B22)</f>
        <v>0</v>
      </c>
      <c r="K22" s="8">
        <f>SUMIFS('[1]unit-ditch-irr-crop'!$M$2:$M$1048576,'[1]unit-ditch-irr-crop'!$I$2:$I$1048576,"GW",'[1]unit-ditch-irr-crop'!$K$2:$K$1048576,$B22)</f>
        <v>0</v>
      </c>
      <c r="M22">
        <f>COUNTIFS('[1]unit-ditch-irr-crop'!$I$2:$I$1048576,"LU",'[1]unit-ditch-irr-crop'!$K$2:$K$1048576,$B22)</f>
        <v>0</v>
      </c>
      <c r="N22" s="8">
        <f>SUMIFS('[1]unit-ditch-irr-crop'!$M$2:$M$1048576,'[1]unit-ditch-irr-crop'!$I$2:$I$1048576,"LU",'[1]unit-ditch-irr-crop'!$K$2:$K$1048576,$B22)</f>
        <v>0</v>
      </c>
      <c r="P22">
        <f>COUNTIFS('[1]unit-ditch-irr-crop'!$I$2:$I$1048576,"RR",'[1]unit-ditch-irr-crop'!$K$2:$K$1048576,$B22)</f>
        <v>0</v>
      </c>
      <c r="Q22" s="8">
        <f>SUMIFS('[1]unit-ditch-irr-crop'!$M$2:$M$1048576,'[1]unit-ditch-irr-crop'!$I$2:$I$1048576,"RR",'[1]unit-ditch-irr-crop'!$K$2:$K$1048576,$B22)</f>
        <v>0</v>
      </c>
      <c r="S22">
        <f>COUNTIFS('[1]unit-ditch-irr-crop'!$I$2:$I$1048576,"RS",'[1]unit-ditch-irr-crop'!$K$2:$K$1048576,$B22)</f>
        <v>0</v>
      </c>
      <c r="T22" s="8">
        <f>SUMIFS('[1]unit-ditch-irr-crop'!$M$2:$M$1048576,'[1]unit-ditch-irr-crop'!$I$2:$I$1048576,"RS",'[1]unit-ditch-irr-crop'!$K$2:$K$1048576,$B22)</f>
        <v>0</v>
      </c>
      <c r="V22">
        <f>COUNTIFS('[1]unit-ditch-irr-crop'!$I$2:$I$1048576,"SS",'[1]unit-ditch-irr-crop'!$K$2:$K$1048576,$B22)</f>
        <v>0</v>
      </c>
      <c r="W22" s="8">
        <f>SUMIFS('[1]unit-ditch-irr-crop'!$M$2:$M$1048576,'[1]unit-ditch-irr-crop'!$I$2:$I$1048576,"SS",'[1]unit-ditch-irr-crop'!$K$2:$K$1048576,$B22)</f>
        <v>0</v>
      </c>
      <c r="Y22">
        <f>COUNTIFS('[1]unit-ditch-irr-crop'!$I$2:$I$1048576,"UG",'[1]unit-ditch-irr-crop'!$K$2:$K$1048576,$B22)</f>
        <v>0</v>
      </c>
      <c r="Z22" s="8">
        <f>SUMIFS('[1]unit-ditch-irr-crop'!$M$2:$M$1048576,'[1]unit-ditch-irr-crop'!$I$2:$I$1048576,"UG",'[1]unit-ditch-irr-crop'!$K$2:$K$1048576,$B22)</f>
        <v>0</v>
      </c>
      <c r="AB22">
        <f>COUNTIFS('[1]unit-ditch-irr-crop'!$I$2:$I$1048576,"VV",'[1]unit-ditch-irr-crop'!$E$2:$E$1048576,"Arizona v California",'[1]unit-ditch-irr-crop'!$K$2:$K$1048576,$B22)</f>
        <v>1</v>
      </c>
      <c r="AC22" s="8">
        <f>SUMIFS('[1]unit-ditch-irr-crop'!$M$2:$M$1048576,'[1]unit-ditch-irr-crop'!$I$2:$I$1048576,"VV",'[1]unit-ditch-irr-crop'!$E$2:$E$1048576,"Arizona v California",'[1]unit-ditch-irr-crop'!$K$2:$K$1048576,$B22)</f>
        <v>0.34033576098402102</v>
      </c>
      <c r="AE22">
        <f>COUNTIFS('[1]unit-ditch-irr-crop'!$I$2:$I$1048576,"VV",'[1]unit-ditch-irr-crop'!$E$2:$E$1048576,"Globe Equity Decree",'[1]unit-ditch-irr-crop'!$K$2:$K$1048576,$B22)</f>
        <v>3</v>
      </c>
      <c r="AF22" s="8">
        <f>SUMIFS('[1]unit-ditch-irr-crop'!$M$2:$M$1048576,'[1]unit-ditch-irr-crop'!$I$2:$I$1048576,"VV",'[1]unit-ditch-irr-crop'!$E$2:$E$1048576,"Globe Equity Decree",'[1]unit-ditch-irr-crop'!$K$2:$K$1048576,$B22)</f>
        <v>3.6608316350461463</v>
      </c>
    </row>
    <row r="23" spans="1:36" x14ac:dyDescent="0.25">
      <c r="B23" s="7" t="s">
        <v>160</v>
      </c>
      <c r="D23">
        <f>COUNTIFS('[1]unit-ditch-irr-crop'!$I$2:$I$1048576,"AA",'[1]unit-ditch-irr-crop'!$K$2:$K$1048576,$B23)</f>
        <v>0</v>
      </c>
      <c r="E23" s="8">
        <f>SUMIFS('[1]unit-ditch-irr-crop'!$M$2:$M$1048576,'[1]unit-ditch-irr-crop'!$I$2:$I$1048576,"AA",'[1]unit-ditch-irr-crop'!$K$2:$K$1048576,$B23)</f>
        <v>0</v>
      </c>
      <c r="G23">
        <f>COUNTIFS('[1]unit-ditch-irr-crop'!$I$2:$I$1048576,"CG",'[1]unit-ditch-irr-crop'!$K$2:$K$1048576,$B23)</f>
        <v>2</v>
      </c>
      <c r="H23" s="8">
        <f>SUMIFS('[1]unit-ditch-irr-crop'!$M$2:$M$1048576,'[1]unit-ditch-irr-crop'!$I$2:$I$1048576,"CG",'[1]unit-ditch-irr-crop'!$K$2:$K$1048576,$B23)</f>
        <v>2.2044173160818521</v>
      </c>
      <c r="J23">
        <f>COUNTIFS('[1]unit-ditch-irr-crop'!$I$2:$I$1048576,"Gw",'[1]unit-ditch-irr-crop'!$K$2:$K$1048576,$B23)</f>
        <v>0</v>
      </c>
      <c r="K23" s="8">
        <f>SUMIFS('[1]unit-ditch-irr-crop'!$M$2:$M$1048576,'[1]unit-ditch-irr-crop'!$I$2:$I$1048576,"GW",'[1]unit-ditch-irr-crop'!$K$2:$K$1048576,$B23)</f>
        <v>0</v>
      </c>
      <c r="M23">
        <f>COUNTIFS('[1]unit-ditch-irr-crop'!$I$2:$I$1048576,"LU",'[1]unit-ditch-irr-crop'!$K$2:$K$1048576,$B23)</f>
        <v>0</v>
      </c>
      <c r="N23" s="8">
        <f>SUMIFS('[1]unit-ditch-irr-crop'!$M$2:$M$1048576,'[1]unit-ditch-irr-crop'!$I$2:$I$1048576,"LU",'[1]unit-ditch-irr-crop'!$K$2:$K$1048576,$B23)</f>
        <v>0</v>
      </c>
      <c r="P23">
        <f>COUNTIFS('[1]unit-ditch-irr-crop'!$I$2:$I$1048576,"RR",'[1]unit-ditch-irr-crop'!$K$2:$K$1048576,$B23)</f>
        <v>1</v>
      </c>
      <c r="Q23" s="8">
        <f>SUMIFS('[1]unit-ditch-irr-crop'!$M$2:$M$1048576,'[1]unit-ditch-irr-crop'!$I$2:$I$1048576,"RR",'[1]unit-ditch-irr-crop'!$K$2:$K$1048576,$B23)</f>
        <v>1.5349550450557099</v>
      </c>
      <c r="S23">
        <f>COUNTIFS('[1]unit-ditch-irr-crop'!$I$2:$I$1048576,"RS",'[1]unit-ditch-irr-crop'!$K$2:$K$1048576,$B23)</f>
        <v>0</v>
      </c>
      <c r="T23" s="8">
        <f>SUMIFS('[1]unit-ditch-irr-crop'!$M$2:$M$1048576,'[1]unit-ditch-irr-crop'!$I$2:$I$1048576,"RS",'[1]unit-ditch-irr-crop'!$K$2:$K$1048576,$B23)</f>
        <v>0</v>
      </c>
      <c r="V23">
        <f>COUNTIFS('[1]unit-ditch-irr-crop'!$I$2:$I$1048576,"SS",'[1]unit-ditch-irr-crop'!$K$2:$K$1048576,$B23)</f>
        <v>1</v>
      </c>
      <c r="W23" s="8">
        <f>SUMIFS('[1]unit-ditch-irr-crop'!$M$2:$M$1048576,'[1]unit-ditch-irr-crop'!$I$2:$I$1048576,"SS",'[1]unit-ditch-irr-crop'!$K$2:$K$1048576,$B23)</f>
        <v>8.8011554244807595</v>
      </c>
      <c r="Y23">
        <f>COUNTIFS('[1]unit-ditch-irr-crop'!$I$2:$I$1048576,"UG",'[1]unit-ditch-irr-crop'!$K$2:$K$1048576,$B23)</f>
        <v>0</v>
      </c>
      <c r="Z23" s="8">
        <f>SUMIFS('[1]unit-ditch-irr-crop'!$M$2:$M$1048576,'[1]unit-ditch-irr-crop'!$I$2:$I$1048576,"UG",'[1]unit-ditch-irr-crop'!$K$2:$K$1048576,$B23)</f>
        <v>0</v>
      </c>
      <c r="AB23">
        <f>COUNTIFS('[1]unit-ditch-irr-crop'!$I$2:$I$1048576,"VV",'[1]unit-ditch-irr-crop'!$E$2:$E$1048576,"Arizona v California",'[1]unit-ditch-irr-crop'!$K$2:$K$1048576,$B23)</f>
        <v>1</v>
      </c>
      <c r="AC23" s="8">
        <f>SUMIFS('[1]unit-ditch-irr-crop'!$M$2:$M$1048576,'[1]unit-ditch-irr-crop'!$I$2:$I$1048576,"VV",'[1]unit-ditch-irr-crop'!$E$2:$E$1048576,"Arizona v California",'[1]unit-ditch-irr-crop'!$K$2:$K$1048576,$B23)</f>
        <v>4.7402802047258499</v>
      </c>
      <c r="AE23">
        <f>COUNTIFS('[1]unit-ditch-irr-crop'!$I$2:$I$1048576,"VV",'[1]unit-ditch-irr-crop'!$E$2:$E$1048576,"Globe Equity Decree",'[1]unit-ditch-irr-crop'!$K$2:$K$1048576,$B23)</f>
        <v>17</v>
      </c>
      <c r="AF23" s="8">
        <f>SUMIFS('[1]unit-ditch-irr-crop'!$M$2:$M$1048576,'[1]unit-ditch-irr-crop'!$I$2:$I$1048576,"VV",'[1]unit-ditch-irr-crop'!$E$2:$E$1048576,"Globe Equity Decree",'[1]unit-ditch-irr-crop'!$K$2:$K$1048576,$B23)</f>
        <v>80.240157651524655</v>
      </c>
    </row>
    <row r="24" spans="1:36" x14ac:dyDescent="0.25">
      <c r="B24" s="7" t="s">
        <v>161</v>
      </c>
      <c r="D24">
        <f>COUNTIFS('[1]unit-ditch-irr-crop'!$I$2:$I$1048576,"AA",'[1]unit-ditch-irr-crop'!$K$2:$K$1048576,$B24)</f>
        <v>0</v>
      </c>
      <c r="E24" s="8">
        <f>SUMIFS('[1]unit-ditch-irr-crop'!$M$2:$M$1048576,'[1]unit-ditch-irr-crop'!$I$2:$I$1048576,"AA",'[1]unit-ditch-irr-crop'!$K$2:$K$1048576,$B24)</f>
        <v>0</v>
      </c>
      <c r="G24">
        <f>COUNTIFS('[1]unit-ditch-irr-crop'!$I$2:$I$1048576,"CG",'[1]unit-ditch-irr-crop'!$K$2:$K$1048576,$B24)</f>
        <v>0</v>
      </c>
      <c r="H24" s="8">
        <f>SUMIFS('[1]unit-ditch-irr-crop'!$M$2:$M$1048576,'[1]unit-ditch-irr-crop'!$I$2:$I$1048576,"CG",'[1]unit-ditch-irr-crop'!$K$2:$K$1048576,$B24)</f>
        <v>0</v>
      </c>
      <c r="J24">
        <f>COUNTIFS('[1]unit-ditch-irr-crop'!$I$2:$I$1048576,"Gw",'[1]unit-ditch-irr-crop'!$K$2:$K$1048576,$B24)</f>
        <v>0</v>
      </c>
      <c r="K24" s="8">
        <f>SUMIFS('[1]unit-ditch-irr-crop'!$M$2:$M$1048576,'[1]unit-ditch-irr-crop'!$I$2:$I$1048576,"GW",'[1]unit-ditch-irr-crop'!$K$2:$K$1048576,$B24)</f>
        <v>0</v>
      </c>
      <c r="M24">
        <f>COUNTIFS('[1]unit-ditch-irr-crop'!$I$2:$I$1048576,"LU",'[1]unit-ditch-irr-crop'!$K$2:$K$1048576,$B24)</f>
        <v>0</v>
      </c>
      <c r="N24" s="8">
        <f>SUMIFS('[1]unit-ditch-irr-crop'!$M$2:$M$1048576,'[1]unit-ditch-irr-crop'!$I$2:$I$1048576,"LU",'[1]unit-ditch-irr-crop'!$K$2:$K$1048576,$B24)</f>
        <v>0</v>
      </c>
      <c r="P24">
        <f>COUNTIFS('[1]unit-ditch-irr-crop'!$I$2:$I$1048576,"RR",'[1]unit-ditch-irr-crop'!$K$2:$K$1048576,$B24)</f>
        <v>0</v>
      </c>
      <c r="Q24" s="8">
        <f>SUMIFS('[1]unit-ditch-irr-crop'!$M$2:$M$1048576,'[1]unit-ditch-irr-crop'!$I$2:$I$1048576,"RR",'[1]unit-ditch-irr-crop'!$K$2:$K$1048576,$B24)</f>
        <v>0</v>
      </c>
      <c r="S24">
        <f>COUNTIFS('[1]unit-ditch-irr-crop'!$I$2:$I$1048576,"RS",'[1]unit-ditch-irr-crop'!$K$2:$K$1048576,$B24)</f>
        <v>0</v>
      </c>
      <c r="T24" s="8">
        <f>SUMIFS('[1]unit-ditch-irr-crop'!$M$2:$M$1048576,'[1]unit-ditch-irr-crop'!$I$2:$I$1048576,"RS",'[1]unit-ditch-irr-crop'!$K$2:$K$1048576,$B24)</f>
        <v>0</v>
      </c>
      <c r="V24">
        <f>COUNTIFS('[1]unit-ditch-irr-crop'!$I$2:$I$1048576,"SS",'[1]unit-ditch-irr-crop'!$K$2:$K$1048576,$B24)</f>
        <v>0</v>
      </c>
      <c r="W24" s="8">
        <f>SUMIFS('[1]unit-ditch-irr-crop'!$M$2:$M$1048576,'[1]unit-ditch-irr-crop'!$I$2:$I$1048576,"SS",'[1]unit-ditch-irr-crop'!$K$2:$K$1048576,$B24)</f>
        <v>0</v>
      </c>
      <c r="Y24">
        <f>COUNTIFS('[1]unit-ditch-irr-crop'!$I$2:$I$1048576,"UG",'[1]unit-ditch-irr-crop'!$K$2:$K$1048576,$B24)</f>
        <v>0</v>
      </c>
      <c r="Z24" s="8">
        <f>SUMIFS('[1]unit-ditch-irr-crop'!$M$2:$M$1048576,'[1]unit-ditch-irr-crop'!$I$2:$I$1048576,"UG",'[1]unit-ditch-irr-crop'!$K$2:$K$1048576,$B24)</f>
        <v>0</v>
      </c>
      <c r="AB24">
        <f>COUNTIFS('[1]unit-ditch-irr-crop'!$I$2:$I$1048576,"VV",'[1]unit-ditch-irr-crop'!$E$2:$E$1048576,"Arizona v California",'[1]unit-ditch-irr-crop'!$K$2:$K$1048576,$B24)</f>
        <v>0</v>
      </c>
      <c r="AC24" s="8">
        <f>SUMIFS('[1]unit-ditch-irr-crop'!$M$2:$M$1048576,'[1]unit-ditch-irr-crop'!$I$2:$I$1048576,"VV",'[1]unit-ditch-irr-crop'!$E$2:$E$1048576,"Arizona v California",'[1]unit-ditch-irr-crop'!$K$2:$K$1048576,$B24)</f>
        <v>0</v>
      </c>
      <c r="AE24">
        <f>COUNTIFS('[1]unit-ditch-irr-crop'!$I$2:$I$1048576,"VV",'[1]unit-ditch-irr-crop'!$E$2:$E$1048576,"Globe Equity Decree",'[1]unit-ditch-irr-crop'!$K$2:$K$1048576,$B24)</f>
        <v>2</v>
      </c>
      <c r="AF24" s="8">
        <f>SUMIFS('[1]unit-ditch-irr-crop'!$M$2:$M$1048576,'[1]unit-ditch-irr-crop'!$I$2:$I$1048576,"VV",'[1]unit-ditch-irr-crop'!$E$2:$E$1048576,"Globe Equity Decree",'[1]unit-ditch-irr-crop'!$K$2:$K$1048576,$B24)</f>
        <v>3.8947804144362999</v>
      </c>
    </row>
    <row r="25" spans="1:36" x14ac:dyDescent="0.25">
      <c r="B25" s="7" t="s">
        <v>162</v>
      </c>
      <c r="D25">
        <f>COUNTIFS('[1]unit-ditch-irr-crop'!$I$2:$I$1048576,"AA",'[1]unit-ditch-irr-crop'!$K$2:$K$1048576,$B25)</f>
        <v>0</v>
      </c>
      <c r="E25" s="8">
        <f>SUMIFS('[1]unit-ditch-irr-crop'!$M$2:$M$1048576,'[1]unit-ditch-irr-crop'!$I$2:$I$1048576,"AA",'[1]unit-ditch-irr-crop'!$K$2:$K$1048576,$B25)</f>
        <v>0</v>
      </c>
      <c r="G25">
        <f>COUNTIFS('[1]unit-ditch-irr-crop'!$I$2:$I$1048576,"CG",'[1]unit-ditch-irr-crop'!$K$2:$K$1048576,$B25)</f>
        <v>0</v>
      </c>
      <c r="H25" s="8">
        <f>SUMIFS('[1]unit-ditch-irr-crop'!$M$2:$M$1048576,'[1]unit-ditch-irr-crop'!$I$2:$I$1048576,"CG",'[1]unit-ditch-irr-crop'!$K$2:$K$1048576,$B25)</f>
        <v>0</v>
      </c>
      <c r="J25">
        <f>COUNTIFS('[1]unit-ditch-irr-crop'!$I$2:$I$1048576,"Gw",'[1]unit-ditch-irr-crop'!$K$2:$K$1048576,$B25)</f>
        <v>0</v>
      </c>
      <c r="K25" s="8">
        <f>SUMIFS('[1]unit-ditch-irr-crop'!$M$2:$M$1048576,'[1]unit-ditch-irr-crop'!$I$2:$I$1048576,"GW",'[1]unit-ditch-irr-crop'!$K$2:$K$1048576,$B25)</f>
        <v>0</v>
      </c>
      <c r="M25">
        <f>COUNTIFS('[1]unit-ditch-irr-crop'!$I$2:$I$1048576,"LU",'[1]unit-ditch-irr-crop'!$K$2:$K$1048576,$B25)</f>
        <v>0</v>
      </c>
      <c r="N25" s="8">
        <f>SUMIFS('[1]unit-ditch-irr-crop'!$M$2:$M$1048576,'[1]unit-ditch-irr-crop'!$I$2:$I$1048576,"LU",'[1]unit-ditch-irr-crop'!$K$2:$K$1048576,$B25)</f>
        <v>0</v>
      </c>
      <c r="P25">
        <f>COUNTIFS('[1]unit-ditch-irr-crop'!$I$2:$I$1048576,"RR",'[1]unit-ditch-irr-crop'!$K$2:$K$1048576,$B25)</f>
        <v>0</v>
      </c>
      <c r="Q25" s="8">
        <f>SUMIFS('[1]unit-ditch-irr-crop'!$M$2:$M$1048576,'[1]unit-ditch-irr-crop'!$I$2:$I$1048576,"RR",'[1]unit-ditch-irr-crop'!$K$2:$K$1048576,$B25)</f>
        <v>0</v>
      </c>
      <c r="S25">
        <f>COUNTIFS('[1]unit-ditch-irr-crop'!$I$2:$I$1048576,"RS",'[1]unit-ditch-irr-crop'!$K$2:$K$1048576,$B25)</f>
        <v>0</v>
      </c>
      <c r="T25" s="8">
        <f>SUMIFS('[1]unit-ditch-irr-crop'!$M$2:$M$1048576,'[1]unit-ditch-irr-crop'!$I$2:$I$1048576,"RS",'[1]unit-ditch-irr-crop'!$K$2:$K$1048576,$B25)</f>
        <v>0</v>
      </c>
      <c r="V25">
        <f>COUNTIFS('[1]unit-ditch-irr-crop'!$I$2:$I$1048576,"SS",'[1]unit-ditch-irr-crop'!$K$2:$K$1048576,$B25)</f>
        <v>0</v>
      </c>
      <c r="W25" s="8">
        <f>SUMIFS('[1]unit-ditch-irr-crop'!$M$2:$M$1048576,'[1]unit-ditch-irr-crop'!$I$2:$I$1048576,"SS",'[1]unit-ditch-irr-crop'!$K$2:$K$1048576,$B25)</f>
        <v>0</v>
      </c>
      <c r="Y25">
        <f>COUNTIFS('[1]unit-ditch-irr-crop'!$I$2:$I$1048576,"UG",'[1]unit-ditch-irr-crop'!$K$2:$K$1048576,$B25)</f>
        <v>0</v>
      </c>
      <c r="Z25" s="8">
        <f>SUMIFS('[1]unit-ditch-irr-crop'!$M$2:$M$1048576,'[1]unit-ditch-irr-crop'!$I$2:$I$1048576,"UG",'[1]unit-ditch-irr-crop'!$K$2:$K$1048576,$B25)</f>
        <v>0</v>
      </c>
      <c r="AB25">
        <f>COUNTIFS('[1]unit-ditch-irr-crop'!$I$2:$I$1048576,"VV",'[1]unit-ditch-irr-crop'!$E$2:$E$1048576,"Arizona v California",'[1]unit-ditch-irr-crop'!$K$2:$K$1048576,$B25)</f>
        <v>0</v>
      </c>
      <c r="AC25" s="8">
        <f>SUMIFS('[1]unit-ditch-irr-crop'!$M$2:$M$1048576,'[1]unit-ditch-irr-crop'!$I$2:$I$1048576,"VV",'[1]unit-ditch-irr-crop'!$E$2:$E$1048576,"Arizona v California",'[1]unit-ditch-irr-crop'!$K$2:$K$1048576,$B25)</f>
        <v>0</v>
      </c>
      <c r="AE25">
        <f>COUNTIFS('[1]unit-ditch-irr-crop'!$I$2:$I$1048576,"VV",'[1]unit-ditch-irr-crop'!$E$2:$E$1048576,"Globe Equity Decree",'[1]unit-ditch-irr-crop'!$K$2:$K$1048576,$B25)</f>
        <v>1</v>
      </c>
      <c r="AF25" s="8">
        <f>SUMIFS('[1]unit-ditch-irr-crop'!$M$2:$M$1048576,'[1]unit-ditch-irr-crop'!$I$2:$I$1048576,"VV",'[1]unit-ditch-irr-crop'!$E$2:$E$1048576,"Globe Equity Decree",'[1]unit-ditch-irr-crop'!$K$2:$K$1048576,$B25)</f>
        <v>0.40174560747075699</v>
      </c>
    </row>
    <row r="26" spans="1:36" x14ac:dyDescent="0.25">
      <c r="B26" s="7" t="s">
        <v>163</v>
      </c>
      <c r="D26">
        <f>COUNTIFS('[1]unit-ditch-irr-crop'!$I$2:$I$1048576,"AA",'[1]unit-ditch-irr-crop'!$K$2:$K$1048576,$B26)</f>
        <v>0</v>
      </c>
      <c r="E26" s="8">
        <f>SUMIFS('[1]unit-ditch-irr-crop'!$M$2:$M$1048576,'[1]unit-ditch-irr-crop'!$I$2:$I$1048576,"AA",'[1]unit-ditch-irr-crop'!$K$2:$K$1048576,$B26)</f>
        <v>0</v>
      </c>
      <c r="G26">
        <f>COUNTIFS('[1]unit-ditch-irr-crop'!$I$2:$I$1048576,"CG",'[1]unit-ditch-irr-crop'!$K$2:$K$1048576,$B26)</f>
        <v>0</v>
      </c>
      <c r="H26" s="8">
        <f>SUMIFS('[1]unit-ditch-irr-crop'!$M$2:$M$1048576,'[1]unit-ditch-irr-crop'!$I$2:$I$1048576,"CG",'[1]unit-ditch-irr-crop'!$K$2:$K$1048576,$B26)</f>
        <v>0</v>
      </c>
      <c r="J26">
        <f>COUNTIFS('[1]unit-ditch-irr-crop'!$I$2:$I$1048576,"Gw",'[1]unit-ditch-irr-crop'!$K$2:$K$1048576,$B26)</f>
        <v>0</v>
      </c>
      <c r="K26" s="8">
        <f>SUMIFS('[1]unit-ditch-irr-crop'!$M$2:$M$1048576,'[1]unit-ditch-irr-crop'!$I$2:$I$1048576,"GW",'[1]unit-ditch-irr-crop'!$K$2:$K$1048576,$B26)</f>
        <v>0</v>
      </c>
      <c r="M26">
        <f>COUNTIFS('[1]unit-ditch-irr-crop'!$I$2:$I$1048576,"LU",'[1]unit-ditch-irr-crop'!$K$2:$K$1048576,$B26)</f>
        <v>0</v>
      </c>
      <c r="N26" s="8">
        <f>SUMIFS('[1]unit-ditch-irr-crop'!$M$2:$M$1048576,'[1]unit-ditch-irr-crop'!$I$2:$I$1048576,"LU",'[1]unit-ditch-irr-crop'!$K$2:$K$1048576,$B26)</f>
        <v>0</v>
      </c>
      <c r="P26">
        <f>COUNTIFS('[1]unit-ditch-irr-crop'!$I$2:$I$1048576,"RR",'[1]unit-ditch-irr-crop'!$K$2:$K$1048576,$B26)</f>
        <v>0</v>
      </c>
      <c r="Q26" s="8">
        <f>SUMIFS('[1]unit-ditch-irr-crop'!$M$2:$M$1048576,'[1]unit-ditch-irr-crop'!$I$2:$I$1048576,"RR",'[1]unit-ditch-irr-crop'!$K$2:$K$1048576,$B26)</f>
        <v>0</v>
      </c>
      <c r="S26">
        <f>COUNTIFS('[1]unit-ditch-irr-crop'!$I$2:$I$1048576,"RS",'[1]unit-ditch-irr-crop'!$K$2:$K$1048576,$B26)</f>
        <v>0</v>
      </c>
      <c r="T26" s="8">
        <f>SUMIFS('[1]unit-ditch-irr-crop'!$M$2:$M$1048576,'[1]unit-ditch-irr-crop'!$I$2:$I$1048576,"RS",'[1]unit-ditch-irr-crop'!$K$2:$K$1048576,$B26)</f>
        <v>0</v>
      </c>
      <c r="V26">
        <f>COUNTIFS('[1]unit-ditch-irr-crop'!$I$2:$I$1048576,"SS",'[1]unit-ditch-irr-crop'!$K$2:$K$1048576,$B26)</f>
        <v>0</v>
      </c>
      <c r="W26" s="8">
        <f>SUMIFS('[1]unit-ditch-irr-crop'!$M$2:$M$1048576,'[1]unit-ditch-irr-crop'!$I$2:$I$1048576,"SS",'[1]unit-ditch-irr-crop'!$K$2:$K$1048576,$B26)</f>
        <v>0</v>
      </c>
      <c r="Y26">
        <f>COUNTIFS('[1]unit-ditch-irr-crop'!$I$2:$I$1048576,"UG",'[1]unit-ditch-irr-crop'!$K$2:$K$1048576,$B26)</f>
        <v>0</v>
      </c>
      <c r="Z26" s="8">
        <f>SUMIFS('[1]unit-ditch-irr-crop'!$M$2:$M$1048576,'[1]unit-ditch-irr-crop'!$I$2:$I$1048576,"UG",'[1]unit-ditch-irr-crop'!$K$2:$K$1048576,$B26)</f>
        <v>0</v>
      </c>
      <c r="AB26">
        <f>COUNTIFS('[1]unit-ditch-irr-crop'!$I$2:$I$1048576,"VV",'[1]unit-ditch-irr-crop'!$E$2:$E$1048576,"Arizona v California",'[1]unit-ditch-irr-crop'!$K$2:$K$1048576,$B26)</f>
        <v>0</v>
      </c>
      <c r="AC26" s="8">
        <f>SUMIFS('[1]unit-ditch-irr-crop'!$M$2:$M$1048576,'[1]unit-ditch-irr-crop'!$I$2:$I$1048576,"VV",'[1]unit-ditch-irr-crop'!$E$2:$E$1048576,"Arizona v California",'[1]unit-ditch-irr-crop'!$K$2:$K$1048576,$B26)</f>
        <v>0</v>
      </c>
      <c r="AE26">
        <f>COUNTIFS('[1]unit-ditch-irr-crop'!$I$2:$I$1048576,"VV",'[1]unit-ditch-irr-crop'!$E$2:$E$1048576,"Globe Equity Decree",'[1]unit-ditch-irr-crop'!$K$2:$K$1048576,$B26)</f>
        <v>0</v>
      </c>
      <c r="AF26" s="8">
        <f>SUMIFS('[1]unit-ditch-irr-crop'!$M$2:$M$1048576,'[1]unit-ditch-irr-crop'!$I$2:$I$1048576,"VV",'[1]unit-ditch-irr-crop'!$E$2:$E$1048576,"Globe Equity Decree",'[1]unit-ditch-irr-crop'!$K$2:$K$1048576,$B26)</f>
        <v>0</v>
      </c>
    </row>
    <row r="27" spans="1:36" x14ac:dyDescent="0.25">
      <c r="B27" s="7" t="s">
        <v>164</v>
      </c>
      <c r="D27">
        <f>COUNTIFS('[1]unit-ditch-irr-crop'!$I$2:$I$1048576,"AA",'[1]unit-ditch-irr-crop'!$K$2:$K$1048576,$B27)</f>
        <v>1</v>
      </c>
      <c r="E27" s="8">
        <f>SUMIFS('[1]unit-ditch-irr-crop'!$M$2:$M$1048576,'[1]unit-ditch-irr-crop'!$I$2:$I$1048576,"AA",'[1]unit-ditch-irr-crop'!$K$2:$K$1048576,$B27)</f>
        <v>5.5213272588400697</v>
      </c>
      <c r="G27">
        <f>COUNTIFS('[1]unit-ditch-irr-crop'!$I$2:$I$1048576,"CG",'[1]unit-ditch-irr-crop'!$K$2:$K$1048576,$B27)</f>
        <v>6</v>
      </c>
      <c r="H27" s="8">
        <f>SUMIFS('[1]unit-ditch-irr-crop'!$M$2:$M$1048576,'[1]unit-ditch-irr-crop'!$I$2:$I$1048576,"CG",'[1]unit-ditch-irr-crop'!$K$2:$K$1048576,$B27)</f>
        <v>13.985173900518049</v>
      </c>
      <c r="J27">
        <f>COUNTIFS('[1]unit-ditch-irr-crop'!$I$2:$I$1048576,"Gw",'[1]unit-ditch-irr-crop'!$K$2:$K$1048576,$B27)</f>
        <v>2</v>
      </c>
      <c r="K27" s="8">
        <f>SUMIFS('[1]unit-ditch-irr-crop'!$M$2:$M$1048576,'[1]unit-ditch-irr-crop'!$I$2:$I$1048576,"GW",'[1]unit-ditch-irr-crop'!$K$2:$K$1048576,$B27)</f>
        <v>0.55574790769905302</v>
      </c>
      <c r="M27">
        <f>COUNTIFS('[1]unit-ditch-irr-crop'!$I$2:$I$1048576,"LU",'[1]unit-ditch-irr-crop'!$K$2:$K$1048576,$B27)</f>
        <v>0</v>
      </c>
      <c r="N27" s="8">
        <f>SUMIFS('[1]unit-ditch-irr-crop'!$M$2:$M$1048576,'[1]unit-ditch-irr-crop'!$I$2:$I$1048576,"LU",'[1]unit-ditch-irr-crop'!$K$2:$K$1048576,$B27)</f>
        <v>0</v>
      </c>
      <c r="P27">
        <f>COUNTIFS('[1]unit-ditch-irr-crop'!$I$2:$I$1048576,"RR",'[1]unit-ditch-irr-crop'!$K$2:$K$1048576,$B27)</f>
        <v>0</v>
      </c>
      <c r="Q27" s="8">
        <f>SUMIFS('[1]unit-ditch-irr-crop'!$M$2:$M$1048576,'[1]unit-ditch-irr-crop'!$I$2:$I$1048576,"RR",'[1]unit-ditch-irr-crop'!$K$2:$K$1048576,$B27)</f>
        <v>0</v>
      </c>
      <c r="S27">
        <f>COUNTIFS('[1]unit-ditch-irr-crop'!$I$2:$I$1048576,"RS",'[1]unit-ditch-irr-crop'!$K$2:$K$1048576,$B27)</f>
        <v>0</v>
      </c>
      <c r="T27" s="8">
        <f>SUMIFS('[1]unit-ditch-irr-crop'!$M$2:$M$1048576,'[1]unit-ditch-irr-crop'!$I$2:$I$1048576,"RS",'[1]unit-ditch-irr-crop'!$K$2:$K$1048576,$B27)</f>
        <v>0</v>
      </c>
      <c r="V27">
        <f>COUNTIFS('[1]unit-ditch-irr-crop'!$I$2:$I$1048576,"SS",'[1]unit-ditch-irr-crop'!$K$2:$K$1048576,$B27)</f>
        <v>0</v>
      </c>
      <c r="W27" s="8">
        <f>SUMIFS('[1]unit-ditch-irr-crop'!$M$2:$M$1048576,'[1]unit-ditch-irr-crop'!$I$2:$I$1048576,"SS",'[1]unit-ditch-irr-crop'!$K$2:$K$1048576,$B27)</f>
        <v>0</v>
      </c>
      <c r="Y27">
        <f>COUNTIFS('[1]unit-ditch-irr-crop'!$I$2:$I$1048576,"UG",'[1]unit-ditch-irr-crop'!$K$2:$K$1048576,$B27)</f>
        <v>1</v>
      </c>
      <c r="Z27" s="8">
        <f>SUMIFS('[1]unit-ditch-irr-crop'!$M$2:$M$1048576,'[1]unit-ditch-irr-crop'!$I$2:$I$1048576,"UG",'[1]unit-ditch-irr-crop'!$K$2:$K$1048576,$B27)</f>
        <v>0.39381382084293098</v>
      </c>
      <c r="AB27">
        <f>COUNTIFS('[1]unit-ditch-irr-crop'!$I$2:$I$1048576,"VV",'[1]unit-ditch-irr-crop'!$E$2:$E$1048576,"Arizona v California",'[1]unit-ditch-irr-crop'!$K$2:$K$1048576,$B27)</f>
        <v>3</v>
      </c>
      <c r="AC27" s="8">
        <f>SUMIFS('[1]unit-ditch-irr-crop'!$M$2:$M$1048576,'[1]unit-ditch-irr-crop'!$I$2:$I$1048576,"VV",'[1]unit-ditch-irr-crop'!$E$2:$E$1048576,"Arizona v California",'[1]unit-ditch-irr-crop'!$K$2:$K$1048576,$B27)</f>
        <v>4.9761893654922833</v>
      </c>
      <c r="AE27">
        <f>COUNTIFS('[1]unit-ditch-irr-crop'!$I$2:$I$1048576,"VV",'[1]unit-ditch-irr-crop'!$E$2:$E$1048576,"Globe Equity Decree",'[1]unit-ditch-irr-crop'!$K$2:$K$1048576,$B27)</f>
        <v>0</v>
      </c>
      <c r="AF27" s="8">
        <f>SUMIFS('[1]unit-ditch-irr-crop'!$M$2:$M$1048576,'[1]unit-ditch-irr-crop'!$I$2:$I$1048576,"VV",'[1]unit-ditch-irr-crop'!$E$2:$E$1048576,"Globe Equity Decree",'[1]unit-ditch-irr-crop'!$K$2:$K$1048576,$B27)</f>
        <v>0</v>
      </c>
    </row>
    <row r="28" spans="1:36" x14ac:dyDescent="0.25">
      <c r="B28" s="7" t="s">
        <v>165</v>
      </c>
      <c r="D28">
        <f>COUNTIFS('[1]unit-ditch-irr-crop'!$I$2:$I$1048576,"AA",'[1]unit-ditch-irr-crop'!$K$2:$K$1048576,$B28)</f>
        <v>0</v>
      </c>
      <c r="E28" s="8">
        <f>SUMIFS('[1]unit-ditch-irr-crop'!$M$2:$M$1048576,'[1]unit-ditch-irr-crop'!$I$2:$I$1048576,"AA",'[1]unit-ditch-irr-crop'!$K$2:$K$1048576,$B28)</f>
        <v>0</v>
      </c>
      <c r="G28">
        <f>COUNTIFS('[1]unit-ditch-irr-crop'!$I$2:$I$1048576,"CG",'[1]unit-ditch-irr-crop'!$K$2:$K$1048576,$B28)</f>
        <v>0</v>
      </c>
      <c r="H28" s="8">
        <f>SUMIFS('[1]unit-ditch-irr-crop'!$M$2:$M$1048576,'[1]unit-ditch-irr-crop'!$I$2:$I$1048576,"CG",'[1]unit-ditch-irr-crop'!$K$2:$K$1048576,$B28)</f>
        <v>0</v>
      </c>
      <c r="J28">
        <f>COUNTIFS('[1]unit-ditch-irr-crop'!$I$2:$I$1048576,"Gw",'[1]unit-ditch-irr-crop'!$K$2:$K$1048576,$B28)</f>
        <v>0</v>
      </c>
      <c r="K28" s="8">
        <f>SUMIFS('[1]unit-ditch-irr-crop'!$M$2:$M$1048576,'[1]unit-ditch-irr-crop'!$I$2:$I$1048576,"GW",'[1]unit-ditch-irr-crop'!$K$2:$K$1048576,$B28)</f>
        <v>0</v>
      </c>
      <c r="M28">
        <f>COUNTIFS('[1]unit-ditch-irr-crop'!$I$2:$I$1048576,"LU",'[1]unit-ditch-irr-crop'!$K$2:$K$1048576,$B28)</f>
        <v>0</v>
      </c>
      <c r="N28" s="8">
        <f>SUMIFS('[1]unit-ditch-irr-crop'!$M$2:$M$1048576,'[1]unit-ditch-irr-crop'!$I$2:$I$1048576,"LU",'[1]unit-ditch-irr-crop'!$K$2:$K$1048576,$B28)</f>
        <v>0</v>
      </c>
      <c r="P28">
        <f>COUNTIFS('[1]unit-ditch-irr-crop'!$I$2:$I$1048576,"RR",'[1]unit-ditch-irr-crop'!$K$2:$K$1048576,$B28)</f>
        <v>0</v>
      </c>
      <c r="Q28" s="8">
        <f>SUMIFS('[1]unit-ditch-irr-crop'!$M$2:$M$1048576,'[1]unit-ditch-irr-crop'!$I$2:$I$1048576,"RR",'[1]unit-ditch-irr-crop'!$K$2:$K$1048576,$B28)</f>
        <v>0</v>
      </c>
      <c r="S28">
        <f>COUNTIFS('[1]unit-ditch-irr-crop'!$I$2:$I$1048576,"RS",'[1]unit-ditch-irr-crop'!$K$2:$K$1048576,$B28)</f>
        <v>1</v>
      </c>
      <c r="T28" s="8">
        <f>SUMIFS('[1]unit-ditch-irr-crop'!$M$2:$M$1048576,'[1]unit-ditch-irr-crop'!$I$2:$I$1048576,"RS",'[1]unit-ditch-irr-crop'!$K$2:$K$1048576,$B28)</f>
        <v>1.9958598450059399</v>
      </c>
      <c r="V28">
        <f>COUNTIFS('[1]unit-ditch-irr-crop'!$I$2:$I$1048576,"SS",'[1]unit-ditch-irr-crop'!$K$2:$K$1048576,$B28)</f>
        <v>0</v>
      </c>
      <c r="W28" s="8">
        <f>SUMIFS('[1]unit-ditch-irr-crop'!$M$2:$M$1048576,'[1]unit-ditch-irr-crop'!$I$2:$I$1048576,"SS",'[1]unit-ditch-irr-crop'!$K$2:$K$1048576,$B28)</f>
        <v>0</v>
      </c>
      <c r="Y28">
        <f>COUNTIFS('[1]unit-ditch-irr-crop'!$I$2:$I$1048576,"UG",'[1]unit-ditch-irr-crop'!$K$2:$K$1048576,$B28)</f>
        <v>0</v>
      </c>
      <c r="Z28" s="8">
        <f>SUMIFS('[1]unit-ditch-irr-crop'!$M$2:$M$1048576,'[1]unit-ditch-irr-crop'!$I$2:$I$1048576,"UG",'[1]unit-ditch-irr-crop'!$K$2:$K$1048576,$B28)</f>
        <v>0</v>
      </c>
      <c r="AB28">
        <f>COUNTIFS('[1]unit-ditch-irr-crop'!$I$2:$I$1048576,"VV",'[1]unit-ditch-irr-crop'!$E$2:$E$1048576,"Arizona v California",'[1]unit-ditch-irr-crop'!$K$2:$K$1048576,$B28)</f>
        <v>0</v>
      </c>
      <c r="AC28" s="8">
        <f>SUMIFS('[1]unit-ditch-irr-crop'!$M$2:$M$1048576,'[1]unit-ditch-irr-crop'!$I$2:$I$1048576,"VV",'[1]unit-ditch-irr-crop'!$E$2:$E$1048576,"Arizona v California",'[1]unit-ditch-irr-crop'!$K$2:$K$1048576,$B28)</f>
        <v>0</v>
      </c>
      <c r="AE28">
        <f>COUNTIFS('[1]unit-ditch-irr-crop'!$I$2:$I$1048576,"VV",'[1]unit-ditch-irr-crop'!$E$2:$E$1048576,"Globe Equity Decree",'[1]unit-ditch-irr-crop'!$K$2:$K$1048576,$B28)</f>
        <v>0</v>
      </c>
      <c r="AF28" s="8">
        <f>SUMIFS('[1]unit-ditch-irr-crop'!$M$2:$M$1048576,'[1]unit-ditch-irr-crop'!$I$2:$I$1048576,"VV",'[1]unit-ditch-irr-crop'!$E$2:$E$1048576,"Globe Equity Decree",'[1]unit-ditch-irr-crop'!$K$2:$K$1048576,$B28)</f>
        <v>0</v>
      </c>
    </row>
    <row r="29" spans="1:36" x14ac:dyDescent="0.25">
      <c r="A29" s="8"/>
      <c r="B29" s="7" t="s">
        <v>166</v>
      </c>
      <c r="D29">
        <f>COUNTIFS('[1]unit-ditch-irr-crop'!$I$2:$I$1048576,"AA",'[1]unit-ditch-irr-crop'!$K$2:$K$1048576,$B29)</f>
        <v>33</v>
      </c>
      <c r="E29" s="8">
        <f>SUMIFS('[1]unit-ditch-irr-crop'!$M$2:$M$1048576,'[1]unit-ditch-irr-crop'!$I$2:$I$1048576,"AA",'[1]unit-ditch-irr-crop'!$K$2:$K$1048576,$B29)</f>
        <v>6.5584880361712923</v>
      </c>
      <c r="G29">
        <f>COUNTIFS('[1]unit-ditch-irr-crop'!$I$2:$I$1048576,"CG",'[1]unit-ditch-irr-crop'!$K$2:$K$1048576,$B29)</f>
        <v>174</v>
      </c>
      <c r="H29" s="8">
        <f>SUMIFS('[1]unit-ditch-irr-crop'!$M$2:$M$1048576,'[1]unit-ditch-irr-crop'!$I$2:$I$1048576,"CG",'[1]unit-ditch-irr-crop'!$K$2:$K$1048576,$B29)</f>
        <v>57.808361180539194</v>
      </c>
      <c r="J29">
        <f>COUNTIFS('[1]unit-ditch-irr-crop'!$I$2:$I$1048576,"Gw",'[1]unit-ditch-irr-crop'!$K$2:$K$1048576,$B29)</f>
        <v>60</v>
      </c>
      <c r="K29" s="8">
        <f>SUMIFS('[1]unit-ditch-irr-crop'!$M$2:$M$1048576,'[1]unit-ditch-irr-crop'!$I$2:$I$1048576,"GW",'[1]unit-ditch-irr-crop'!$K$2:$K$1048576,$B29)</f>
        <v>36.70032203759019</v>
      </c>
      <c r="M29">
        <f>COUNTIFS('[1]unit-ditch-irr-crop'!$I$2:$I$1048576,"LU",'[1]unit-ditch-irr-crop'!$K$2:$K$1048576,$B29)</f>
        <v>19</v>
      </c>
      <c r="N29" s="8">
        <f>SUMIFS('[1]unit-ditch-irr-crop'!$M$2:$M$1048576,'[1]unit-ditch-irr-crop'!$I$2:$I$1048576,"LU",'[1]unit-ditch-irr-crop'!$K$2:$K$1048576,$B29)</f>
        <v>4.816170669171953</v>
      </c>
      <c r="P29">
        <f>COUNTIFS('[1]unit-ditch-irr-crop'!$I$2:$I$1048576,"RR",'[1]unit-ditch-irr-crop'!$K$2:$K$1048576,$B29)</f>
        <v>2</v>
      </c>
      <c r="Q29" s="8">
        <f>SUMIFS('[1]unit-ditch-irr-crop'!$M$2:$M$1048576,'[1]unit-ditch-irr-crop'!$I$2:$I$1048576,"RR",'[1]unit-ditch-irr-crop'!$K$2:$K$1048576,$B29)</f>
        <v>1.5300150036358171</v>
      </c>
      <c r="S29">
        <f>COUNTIFS('[1]unit-ditch-irr-crop'!$I$2:$I$1048576,"RS",'[1]unit-ditch-irr-crop'!$K$2:$K$1048576,$B29)</f>
        <v>6</v>
      </c>
      <c r="T29" s="8">
        <f>SUMIFS('[1]unit-ditch-irr-crop'!$M$2:$M$1048576,'[1]unit-ditch-irr-crop'!$I$2:$I$1048576,"RS",'[1]unit-ditch-irr-crop'!$K$2:$K$1048576,$B29)</f>
        <v>3.8205634343282959</v>
      </c>
      <c r="V29">
        <f>COUNTIFS('[1]unit-ditch-irr-crop'!$I$2:$I$1048576,"SS",'[1]unit-ditch-irr-crop'!$K$2:$K$1048576,$B29)</f>
        <v>2</v>
      </c>
      <c r="W29" s="8">
        <f>SUMIFS('[1]unit-ditch-irr-crop'!$M$2:$M$1048576,'[1]unit-ditch-irr-crop'!$I$2:$I$1048576,"SS",'[1]unit-ditch-irr-crop'!$K$2:$K$1048576,$B29)</f>
        <v>1.105281079577521</v>
      </c>
      <c r="Y29">
        <f>COUNTIFS('[1]unit-ditch-irr-crop'!$I$2:$I$1048576,"UG",'[1]unit-ditch-irr-crop'!$K$2:$K$1048576,$B29)</f>
        <v>20</v>
      </c>
      <c r="Z29" s="8">
        <f>SUMIFS('[1]unit-ditch-irr-crop'!$M$2:$M$1048576,'[1]unit-ditch-irr-crop'!$I$2:$I$1048576,"UG",'[1]unit-ditch-irr-crop'!$K$2:$K$1048576,$B29)</f>
        <v>4.1455136369065277</v>
      </c>
      <c r="AB29">
        <f>COUNTIFS('[1]unit-ditch-irr-crop'!$I$2:$I$1048576,"VV",'[1]unit-ditch-irr-crop'!$E$2:$E$1048576,"Arizona v California",'[1]unit-ditch-irr-crop'!$K$2:$K$1048576,$B29)</f>
        <v>0</v>
      </c>
      <c r="AC29" s="8">
        <f>SUMIFS('[1]unit-ditch-irr-crop'!$M$2:$M$1048576,'[1]unit-ditch-irr-crop'!$I$2:$I$1048576,"VV",'[1]unit-ditch-irr-crop'!$E$2:$E$1048576,"Arizona v California",'[1]unit-ditch-irr-crop'!$K$2:$K$1048576,$B29)</f>
        <v>0</v>
      </c>
      <c r="AE29">
        <f>COUNTIFS('[1]unit-ditch-irr-crop'!$I$2:$I$1048576,"VV",'[1]unit-ditch-irr-crop'!$E$2:$E$1048576,"Globe Equity Decree",'[1]unit-ditch-irr-crop'!$K$2:$K$1048576,$B29)</f>
        <v>43</v>
      </c>
      <c r="AF29" s="8">
        <f>SUMIFS('[1]unit-ditch-irr-crop'!$M$2:$M$1048576,'[1]unit-ditch-irr-crop'!$I$2:$I$1048576,"VV",'[1]unit-ditch-irr-crop'!$E$2:$E$1048576,"Globe Equity Decree",'[1]unit-ditch-irr-crop'!$K$2:$K$1048576,$B29)</f>
        <v>37.465390809949199</v>
      </c>
    </row>
    <row r="30" spans="1:36" x14ac:dyDescent="0.25">
      <c r="B30" s="7" t="s">
        <v>167</v>
      </c>
      <c r="D30">
        <f>COUNTIFS('[1]unit-ditch-irr-crop'!$I$2:$I$1048576,"AA",'[1]unit-ditch-irr-crop'!$K$2:$K$1048576,$B30)</f>
        <v>11</v>
      </c>
      <c r="E30" s="8">
        <f>SUMIFS('[1]unit-ditch-irr-crop'!$M$2:$M$1048576,'[1]unit-ditch-irr-crop'!$I$2:$I$1048576,"AA",'[1]unit-ditch-irr-crop'!$K$2:$K$1048576,$B30)</f>
        <v>3.1302292991090219</v>
      </c>
      <c r="G30">
        <f>COUNTIFS('[1]unit-ditch-irr-crop'!$I$2:$I$1048576,"CG",'[1]unit-ditch-irr-crop'!$K$2:$K$1048576,$B30)</f>
        <v>33</v>
      </c>
      <c r="H30" s="8">
        <f>SUMIFS('[1]unit-ditch-irr-crop'!$M$2:$M$1048576,'[1]unit-ditch-irr-crop'!$I$2:$I$1048576,"CG",'[1]unit-ditch-irr-crop'!$K$2:$K$1048576,$B30)</f>
        <v>28.59054023238718</v>
      </c>
      <c r="J30">
        <f>COUNTIFS('[1]unit-ditch-irr-crop'!$I$2:$I$1048576,"Gw",'[1]unit-ditch-irr-crop'!$K$2:$K$1048576,$B30)</f>
        <v>10</v>
      </c>
      <c r="K30" s="8">
        <f>SUMIFS('[1]unit-ditch-irr-crop'!$M$2:$M$1048576,'[1]unit-ditch-irr-crop'!$I$2:$I$1048576,"GW",'[1]unit-ditch-irr-crop'!$K$2:$K$1048576,$B30)</f>
        <v>4.2284079683911626</v>
      </c>
      <c r="M30">
        <f>COUNTIFS('[1]unit-ditch-irr-crop'!$I$2:$I$1048576,"LU",'[1]unit-ditch-irr-crop'!$K$2:$K$1048576,$B30)</f>
        <v>4</v>
      </c>
      <c r="N30" s="8">
        <f>SUMIFS('[1]unit-ditch-irr-crop'!$M$2:$M$1048576,'[1]unit-ditch-irr-crop'!$I$2:$I$1048576,"LU",'[1]unit-ditch-irr-crop'!$K$2:$K$1048576,$B30)</f>
        <v>1.0976153656388059</v>
      </c>
      <c r="P30">
        <f>COUNTIFS('[1]unit-ditch-irr-crop'!$I$2:$I$1048576,"RR",'[1]unit-ditch-irr-crop'!$K$2:$K$1048576,$B30)</f>
        <v>11</v>
      </c>
      <c r="Q30" s="8">
        <f>SUMIFS('[1]unit-ditch-irr-crop'!$M$2:$M$1048576,'[1]unit-ditch-irr-crop'!$I$2:$I$1048576,"RR",'[1]unit-ditch-irr-crop'!$K$2:$K$1048576,$B30)</f>
        <v>3.9326732928596098</v>
      </c>
      <c r="S30">
        <f>COUNTIFS('[1]unit-ditch-irr-crop'!$I$2:$I$1048576,"RS",'[1]unit-ditch-irr-crop'!$K$2:$K$1048576,$B30)</f>
        <v>6</v>
      </c>
      <c r="T30" s="8">
        <f>SUMIFS('[1]unit-ditch-irr-crop'!$M$2:$M$1048576,'[1]unit-ditch-irr-crop'!$I$2:$I$1048576,"RS",'[1]unit-ditch-irr-crop'!$K$2:$K$1048576,$B30)</f>
        <v>1.9665542926728241</v>
      </c>
      <c r="V30">
        <f>COUNTIFS('[1]unit-ditch-irr-crop'!$I$2:$I$1048576,"SS",'[1]unit-ditch-irr-crop'!$K$2:$K$1048576,$B30)</f>
        <v>13</v>
      </c>
      <c r="W30" s="8">
        <f>SUMIFS('[1]unit-ditch-irr-crop'!$M$2:$M$1048576,'[1]unit-ditch-irr-crop'!$I$2:$I$1048576,"SS",'[1]unit-ditch-irr-crop'!$K$2:$K$1048576,$B30)</f>
        <v>8.1919615822308582</v>
      </c>
      <c r="Y30">
        <f>COUNTIFS('[1]unit-ditch-irr-crop'!$I$2:$I$1048576,"UG",'[1]unit-ditch-irr-crop'!$K$2:$K$1048576,$B30)</f>
        <v>3</v>
      </c>
      <c r="Z30" s="8">
        <f>SUMIFS('[1]unit-ditch-irr-crop'!$M$2:$M$1048576,'[1]unit-ditch-irr-crop'!$I$2:$I$1048576,"UG",'[1]unit-ditch-irr-crop'!$K$2:$K$1048576,$B30)</f>
        <v>9.0573151172717701</v>
      </c>
      <c r="AB30">
        <f>COUNTIFS('[1]unit-ditch-irr-crop'!$I$2:$I$1048576,"VV",'[1]unit-ditch-irr-crop'!$E$2:$E$1048576,"Arizona v California",'[1]unit-ditch-irr-crop'!$K$2:$K$1048576,$B30)</f>
        <v>0</v>
      </c>
      <c r="AC30" s="8">
        <f>SUMIFS('[1]unit-ditch-irr-crop'!$M$2:$M$1048576,'[1]unit-ditch-irr-crop'!$I$2:$I$1048576,"VV",'[1]unit-ditch-irr-crop'!$E$2:$E$1048576,"Arizona v California",'[1]unit-ditch-irr-crop'!$K$2:$K$1048576,$B30)</f>
        <v>0</v>
      </c>
      <c r="AE30">
        <f>COUNTIFS('[1]unit-ditch-irr-crop'!$I$2:$I$1048576,"VV",'[1]unit-ditch-irr-crop'!$E$2:$E$1048576,"Globe Equity Decree",'[1]unit-ditch-irr-crop'!$K$2:$K$1048576,$B30)</f>
        <v>1</v>
      </c>
      <c r="AF30" s="8">
        <f>SUMIFS('[1]unit-ditch-irr-crop'!$M$2:$M$1048576,'[1]unit-ditch-irr-crop'!$I$2:$I$1048576,"VV",'[1]unit-ditch-irr-crop'!$E$2:$E$1048576,"Globe Equity Decree",'[1]unit-ditch-irr-crop'!$K$2:$K$1048576,$B30)</f>
        <v>0.37265839440589599</v>
      </c>
    </row>
    <row r="31" spans="1:36" x14ac:dyDescent="0.25">
      <c r="B31" s="7" t="s">
        <v>168</v>
      </c>
      <c r="D31">
        <f>COUNTIFS('[1]unit-ditch-irr-crop'!$I$2:$I$1048576,"AA",'[1]unit-ditch-irr-crop'!$K$2:$K$1048576,$B31)</f>
        <v>1</v>
      </c>
      <c r="E31" s="8">
        <f>SUMIFS('[1]unit-ditch-irr-crop'!$M$2:$M$1048576,'[1]unit-ditch-irr-crop'!$I$2:$I$1048576,"AA",'[1]unit-ditch-irr-crop'!$K$2:$K$1048576,$B31)</f>
        <v>0.635803824840808</v>
      </c>
      <c r="G31">
        <f>COUNTIFS('[1]unit-ditch-irr-crop'!$I$2:$I$1048576,"CG",'[1]unit-ditch-irr-crop'!$K$2:$K$1048576,$B31)</f>
        <v>15</v>
      </c>
      <c r="H31" s="8">
        <f>SUMIFS('[1]unit-ditch-irr-crop'!$M$2:$M$1048576,'[1]unit-ditch-irr-crop'!$I$2:$I$1048576,"CG",'[1]unit-ditch-irr-crop'!$K$2:$K$1048576,$B31)</f>
        <v>69.810176196537157</v>
      </c>
      <c r="J31">
        <f>COUNTIFS('[1]unit-ditch-irr-crop'!$I$2:$I$1048576,"Gw",'[1]unit-ditch-irr-crop'!$K$2:$K$1048576,$B31)</f>
        <v>18</v>
      </c>
      <c r="K31" s="8">
        <f>SUMIFS('[1]unit-ditch-irr-crop'!$M$2:$M$1048576,'[1]unit-ditch-irr-crop'!$I$2:$I$1048576,"GW",'[1]unit-ditch-irr-crop'!$K$2:$K$1048576,$B31)</f>
        <v>15.620324451494639</v>
      </c>
      <c r="M31">
        <f>COUNTIFS('[1]unit-ditch-irr-crop'!$I$2:$I$1048576,"LU",'[1]unit-ditch-irr-crop'!$K$2:$K$1048576,$B31)</f>
        <v>8</v>
      </c>
      <c r="N31" s="8">
        <f>SUMIFS('[1]unit-ditch-irr-crop'!$M$2:$M$1048576,'[1]unit-ditch-irr-crop'!$I$2:$I$1048576,"LU",'[1]unit-ditch-irr-crop'!$K$2:$K$1048576,$B31)</f>
        <v>24.648645407537746</v>
      </c>
      <c r="P31">
        <f>COUNTIFS('[1]unit-ditch-irr-crop'!$I$2:$I$1048576,"RR",'[1]unit-ditch-irr-crop'!$K$2:$K$1048576,$B31)</f>
        <v>0</v>
      </c>
      <c r="Q31" s="8">
        <f>SUMIFS('[1]unit-ditch-irr-crop'!$M$2:$M$1048576,'[1]unit-ditch-irr-crop'!$I$2:$I$1048576,"RR",'[1]unit-ditch-irr-crop'!$K$2:$K$1048576,$B31)</f>
        <v>0</v>
      </c>
      <c r="S31">
        <f>COUNTIFS('[1]unit-ditch-irr-crop'!$I$2:$I$1048576,"RS",'[1]unit-ditch-irr-crop'!$K$2:$K$1048576,$B31)</f>
        <v>12</v>
      </c>
      <c r="T31" s="8">
        <f>SUMIFS('[1]unit-ditch-irr-crop'!$M$2:$M$1048576,'[1]unit-ditch-irr-crop'!$I$2:$I$1048576,"RS",'[1]unit-ditch-irr-crop'!$K$2:$K$1048576,$B31)</f>
        <v>8.1649464303600237</v>
      </c>
      <c r="V31">
        <f>COUNTIFS('[1]unit-ditch-irr-crop'!$I$2:$I$1048576,"SS",'[1]unit-ditch-irr-crop'!$K$2:$K$1048576,$B31)</f>
        <v>1</v>
      </c>
      <c r="W31" s="8">
        <f>SUMIFS('[1]unit-ditch-irr-crop'!$M$2:$M$1048576,'[1]unit-ditch-irr-crop'!$I$2:$I$1048576,"SS",'[1]unit-ditch-irr-crop'!$K$2:$K$1048576,$B31)</f>
        <v>0.38382202520129899</v>
      </c>
      <c r="Y31">
        <f>COUNTIFS('[1]unit-ditch-irr-crop'!$I$2:$I$1048576,"UG",'[1]unit-ditch-irr-crop'!$K$2:$K$1048576,$B31)</f>
        <v>4</v>
      </c>
      <c r="Z31" s="8">
        <f>SUMIFS('[1]unit-ditch-irr-crop'!$M$2:$M$1048576,'[1]unit-ditch-irr-crop'!$I$2:$I$1048576,"UG",'[1]unit-ditch-irr-crop'!$K$2:$K$1048576,$B31)</f>
        <v>2.8679892681241612</v>
      </c>
      <c r="AB31">
        <f>COUNTIFS('[1]unit-ditch-irr-crop'!$I$2:$I$1048576,"VV",'[1]unit-ditch-irr-crop'!$E$2:$E$1048576,"Arizona v California",'[1]unit-ditch-irr-crop'!$K$2:$K$1048576,$B31)</f>
        <v>0</v>
      </c>
      <c r="AC31" s="8">
        <f>SUMIFS('[1]unit-ditch-irr-crop'!$M$2:$M$1048576,'[1]unit-ditch-irr-crop'!$I$2:$I$1048576,"VV",'[1]unit-ditch-irr-crop'!$E$2:$E$1048576,"Arizona v California",'[1]unit-ditch-irr-crop'!$K$2:$K$1048576,$B31)</f>
        <v>0</v>
      </c>
      <c r="AE31">
        <f>COUNTIFS('[1]unit-ditch-irr-crop'!$I$2:$I$1048576,"VV",'[1]unit-ditch-irr-crop'!$E$2:$E$1048576,"Globe Equity Decree",'[1]unit-ditch-irr-crop'!$K$2:$K$1048576,$B31)</f>
        <v>2</v>
      </c>
      <c r="AF31" s="8">
        <f>SUMIFS('[1]unit-ditch-irr-crop'!$M$2:$M$1048576,'[1]unit-ditch-irr-crop'!$I$2:$I$1048576,"VV",'[1]unit-ditch-irr-crop'!$E$2:$E$1048576,"Globe Equity Decree",'[1]unit-ditch-irr-crop'!$K$2:$K$1048576,$B31)</f>
        <v>1.560558568950706</v>
      </c>
    </row>
    <row r="32" spans="1:36" x14ac:dyDescent="0.25">
      <c r="A32" s="8"/>
      <c r="B32" s="7" t="s">
        <v>169</v>
      </c>
      <c r="D32">
        <f>COUNTIFS('[1]unit-ditch-irr-crop'!$I$2:$I$1048576,"AA",'[1]unit-ditch-irr-crop'!$K$2:$K$1048576,$B32)</f>
        <v>1</v>
      </c>
      <c r="E32" s="8">
        <f>SUMIFS('[1]unit-ditch-irr-crop'!$M$2:$M$1048576,'[1]unit-ditch-irr-crop'!$I$2:$I$1048576,"AA",'[1]unit-ditch-irr-crop'!$K$2:$K$1048576,$B32)</f>
        <v>0.18176641312903499</v>
      </c>
      <c r="G32">
        <f>COUNTIFS('[1]unit-ditch-irr-crop'!$I$2:$I$1048576,"CG",'[1]unit-ditch-irr-crop'!$K$2:$K$1048576,$B32)</f>
        <v>13</v>
      </c>
      <c r="H32" s="8">
        <f>SUMIFS('[1]unit-ditch-irr-crop'!$M$2:$M$1048576,'[1]unit-ditch-irr-crop'!$I$2:$I$1048576,"CG",'[1]unit-ditch-irr-crop'!$K$2:$K$1048576,$B32)</f>
        <v>8.8284463496922196</v>
      </c>
      <c r="J32">
        <f>COUNTIFS('[1]unit-ditch-irr-crop'!$I$2:$I$1048576,"Gw",'[1]unit-ditch-irr-crop'!$K$2:$K$1048576,$B32)</f>
        <v>1</v>
      </c>
      <c r="K32" s="8">
        <f>SUMIFS('[1]unit-ditch-irr-crop'!$M$2:$M$1048576,'[1]unit-ditch-irr-crop'!$I$2:$I$1048576,"GW",'[1]unit-ditch-irr-crop'!$K$2:$K$1048576,$B32)</f>
        <v>0.65828164976257597</v>
      </c>
      <c r="M32">
        <f>COUNTIFS('[1]unit-ditch-irr-crop'!$I$2:$I$1048576,"LU",'[1]unit-ditch-irr-crop'!$K$2:$K$1048576,$B32)</f>
        <v>4</v>
      </c>
      <c r="N32" s="8">
        <f>SUMIFS('[1]unit-ditch-irr-crop'!$M$2:$M$1048576,'[1]unit-ditch-irr-crop'!$I$2:$I$1048576,"LU",'[1]unit-ditch-irr-crop'!$K$2:$K$1048576,$B32)</f>
        <v>2.086691450066311</v>
      </c>
      <c r="P32">
        <f>COUNTIFS('[1]unit-ditch-irr-crop'!$I$2:$I$1048576,"RR",'[1]unit-ditch-irr-crop'!$K$2:$K$1048576,$B32)</f>
        <v>4</v>
      </c>
      <c r="Q32" s="8">
        <f>SUMIFS('[1]unit-ditch-irr-crop'!$M$2:$M$1048576,'[1]unit-ditch-irr-crop'!$I$2:$I$1048576,"RR",'[1]unit-ditch-irr-crop'!$K$2:$K$1048576,$B32)</f>
        <v>1.681890650696038</v>
      </c>
      <c r="S32">
        <f>COUNTIFS('[1]unit-ditch-irr-crop'!$I$2:$I$1048576,"RS",'[1]unit-ditch-irr-crop'!$K$2:$K$1048576,$B32)</f>
        <v>1</v>
      </c>
      <c r="T32" s="8">
        <f>SUMIFS('[1]unit-ditch-irr-crop'!$M$2:$M$1048576,'[1]unit-ditch-irr-crop'!$I$2:$I$1048576,"RS",'[1]unit-ditch-irr-crop'!$K$2:$K$1048576,$B32)</f>
        <v>0.44299393546065502</v>
      </c>
      <c r="V32">
        <f>COUNTIFS('[1]unit-ditch-irr-crop'!$I$2:$I$1048576,"SS",'[1]unit-ditch-irr-crop'!$K$2:$K$1048576,$B32)</f>
        <v>2</v>
      </c>
      <c r="W32" s="8">
        <f>SUMIFS('[1]unit-ditch-irr-crop'!$M$2:$M$1048576,'[1]unit-ditch-irr-crop'!$I$2:$I$1048576,"SS",'[1]unit-ditch-irr-crop'!$K$2:$K$1048576,$B32)</f>
        <v>1.1653291959624579</v>
      </c>
      <c r="Y32">
        <f>COUNTIFS('[1]unit-ditch-irr-crop'!$I$2:$I$1048576,"UG",'[1]unit-ditch-irr-crop'!$K$2:$K$1048576,$B32)</f>
        <v>0</v>
      </c>
      <c r="Z32" s="8">
        <f>SUMIFS('[1]unit-ditch-irr-crop'!$M$2:$M$1048576,'[1]unit-ditch-irr-crop'!$I$2:$I$1048576,"UG",'[1]unit-ditch-irr-crop'!$K$2:$K$1048576,$B32)</f>
        <v>0</v>
      </c>
      <c r="AB32">
        <f>COUNTIFS('[1]unit-ditch-irr-crop'!$I$2:$I$1048576,"VV",'[1]unit-ditch-irr-crop'!$E$2:$E$1048576,"Arizona v California",'[1]unit-ditch-irr-crop'!$K$2:$K$1048576,$B32)</f>
        <v>0</v>
      </c>
      <c r="AC32" s="8">
        <f>SUMIFS('[1]unit-ditch-irr-crop'!$M$2:$M$1048576,'[1]unit-ditch-irr-crop'!$I$2:$I$1048576,"VV",'[1]unit-ditch-irr-crop'!$E$2:$E$1048576,"Arizona v California",'[1]unit-ditch-irr-crop'!$K$2:$K$1048576,$B32)</f>
        <v>0</v>
      </c>
      <c r="AE32">
        <f>COUNTIFS('[1]unit-ditch-irr-crop'!$I$2:$I$1048576,"VV",'[1]unit-ditch-irr-crop'!$E$2:$E$1048576,"Globe Equity Decree",'[1]unit-ditch-irr-crop'!$K$2:$K$1048576,$B32)</f>
        <v>0</v>
      </c>
      <c r="AF32" s="8">
        <f>SUMIFS('[1]unit-ditch-irr-crop'!$M$2:$M$1048576,'[1]unit-ditch-irr-crop'!$I$2:$I$1048576,"VV",'[1]unit-ditch-irr-crop'!$E$2:$E$1048576,"Globe Equity Decree",'[1]unit-ditch-irr-crop'!$K$2:$K$1048576,$B32)</f>
        <v>0</v>
      </c>
      <c r="AJ32" s="10"/>
    </row>
    <row r="33" spans="1:36" x14ac:dyDescent="0.25">
      <c r="B33" s="7" t="s">
        <v>170</v>
      </c>
      <c r="D33">
        <f>COUNTIFS('[1]unit-ditch-irr-crop'!$I$2:$I$1048576,"AA",'[1]unit-ditch-irr-crop'!$K$2:$K$1048576,$B33)</f>
        <v>4</v>
      </c>
      <c r="E33" s="8">
        <f>SUMIFS('[1]unit-ditch-irr-crop'!$M$2:$M$1048576,'[1]unit-ditch-irr-crop'!$I$2:$I$1048576,"AA",'[1]unit-ditch-irr-crop'!$K$2:$K$1048576,$B33)</f>
        <v>4.430625161279572</v>
      </c>
      <c r="G33">
        <f>COUNTIFS('[1]unit-ditch-irr-crop'!$I$2:$I$1048576,"CG",'[1]unit-ditch-irr-crop'!$K$2:$K$1048576,$B33)</f>
        <v>0</v>
      </c>
      <c r="H33" s="8">
        <f>SUMIFS('[1]unit-ditch-irr-crop'!$M$2:$M$1048576,'[1]unit-ditch-irr-crop'!$I$2:$I$1048576,"CG",'[1]unit-ditch-irr-crop'!$K$2:$K$1048576,$B33)</f>
        <v>0</v>
      </c>
      <c r="J33">
        <f>COUNTIFS('[1]unit-ditch-irr-crop'!$I$2:$I$1048576,"Gw",'[1]unit-ditch-irr-crop'!$K$2:$K$1048576,$B33)</f>
        <v>2</v>
      </c>
      <c r="K33" s="8">
        <f>SUMIFS('[1]unit-ditch-irr-crop'!$M$2:$M$1048576,'[1]unit-ditch-irr-crop'!$I$2:$I$1048576,"GW",'[1]unit-ditch-irr-crop'!$K$2:$K$1048576,$B33)</f>
        <v>0.56566161653328395</v>
      </c>
      <c r="M33">
        <f>COUNTIFS('[1]unit-ditch-irr-crop'!$I$2:$I$1048576,"LU",'[1]unit-ditch-irr-crop'!$K$2:$K$1048576,$B33)</f>
        <v>1</v>
      </c>
      <c r="N33" s="8">
        <f>SUMIFS('[1]unit-ditch-irr-crop'!$M$2:$M$1048576,'[1]unit-ditch-irr-crop'!$I$2:$I$1048576,"LU",'[1]unit-ditch-irr-crop'!$K$2:$K$1048576,$B33)</f>
        <v>0.16353394373347899</v>
      </c>
      <c r="P33">
        <f>COUNTIFS('[1]unit-ditch-irr-crop'!$I$2:$I$1048576,"RR",'[1]unit-ditch-irr-crop'!$K$2:$K$1048576,$B33)</f>
        <v>0</v>
      </c>
      <c r="Q33" s="8">
        <f>SUMIFS('[1]unit-ditch-irr-crop'!$M$2:$M$1048576,'[1]unit-ditch-irr-crop'!$I$2:$I$1048576,"RR",'[1]unit-ditch-irr-crop'!$K$2:$K$1048576,$B33)</f>
        <v>0</v>
      </c>
      <c r="S33">
        <f>COUNTIFS('[1]unit-ditch-irr-crop'!$I$2:$I$1048576,"RS",'[1]unit-ditch-irr-crop'!$K$2:$K$1048576,$B33)</f>
        <v>4</v>
      </c>
      <c r="T33" s="8">
        <f>SUMIFS('[1]unit-ditch-irr-crop'!$M$2:$M$1048576,'[1]unit-ditch-irr-crop'!$I$2:$I$1048576,"RS",'[1]unit-ditch-irr-crop'!$K$2:$K$1048576,$B33)</f>
        <v>2.6865939741309162</v>
      </c>
      <c r="V33">
        <f>COUNTIFS('[1]unit-ditch-irr-crop'!$I$2:$I$1048576,"SS",'[1]unit-ditch-irr-crop'!$K$2:$K$1048576,$B33)</f>
        <v>0</v>
      </c>
      <c r="W33" s="8">
        <f>SUMIFS('[1]unit-ditch-irr-crop'!$M$2:$M$1048576,'[1]unit-ditch-irr-crop'!$I$2:$I$1048576,"SS",'[1]unit-ditch-irr-crop'!$K$2:$K$1048576,$B33)</f>
        <v>0</v>
      </c>
      <c r="Y33">
        <f>COUNTIFS('[1]unit-ditch-irr-crop'!$I$2:$I$1048576,"UG",'[1]unit-ditch-irr-crop'!$K$2:$K$1048576,$B33)</f>
        <v>0</v>
      </c>
      <c r="Z33" s="8">
        <f>SUMIFS('[1]unit-ditch-irr-crop'!$M$2:$M$1048576,'[1]unit-ditch-irr-crop'!$I$2:$I$1048576,"UG",'[1]unit-ditch-irr-crop'!$K$2:$K$1048576,$B33)</f>
        <v>0</v>
      </c>
      <c r="AB33">
        <f>COUNTIFS('[1]unit-ditch-irr-crop'!$I$2:$I$1048576,"VV",'[1]unit-ditch-irr-crop'!$E$2:$E$1048576,"Arizona v California",'[1]unit-ditch-irr-crop'!$K$2:$K$1048576,$B33)</f>
        <v>0</v>
      </c>
      <c r="AC33" s="8">
        <f>SUMIFS('[1]unit-ditch-irr-crop'!$M$2:$M$1048576,'[1]unit-ditch-irr-crop'!$I$2:$I$1048576,"VV",'[1]unit-ditch-irr-crop'!$E$2:$E$1048576,"Arizona v California",'[1]unit-ditch-irr-crop'!$K$2:$K$1048576,$B33)</f>
        <v>0</v>
      </c>
      <c r="AE33">
        <f>COUNTIFS('[1]unit-ditch-irr-crop'!$I$2:$I$1048576,"VV",'[1]unit-ditch-irr-crop'!$E$2:$E$1048576,"Globe Equity Decree",'[1]unit-ditch-irr-crop'!$K$2:$K$1048576,$B33)</f>
        <v>0</v>
      </c>
      <c r="AF33" s="8">
        <f>SUMIFS('[1]unit-ditch-irr-crop'!$M$2:$M$1048576,'[1]unit-ditch-irr-crop'!$I$2:$I$1048576,"VV",'[1]unit-ditch-irr-crop'!$E$2:$E$1048576,"Globe Equity Decree",'[1]unit-ditch-irr-crop'!$K$2:$K$1048576,$B33)</f>
        <v>0</v>
      </c>
    </row>
    <row r="34" spans="1:36" x14ac:dyDescent="0.25">
      <c r="B34" s="7" t="s">
        <v>171</v>
      </c>
      <c r="D34">
        <f>COUNTIFS('[1]unit-ditch-irr-crop'!$I$2:$I$1048576,"AA",'[1]unit-ditch-irr-crop'!$K$2:$K$1048576,$B34)</f>
        <v>0</v>
      </c>
      <c r="E34" s="8">
        <f>SUMIFS('[1]unit-ditch-irr-crop'!$M$2:$M$1048576,'[1]unit-ditch-irr-crop'!$I$2:$I$1048576,"AA",'[1]unit-ditch-irr-crop'!$K$2:$K$1048576,$B34)</f>
        <v>0</v>
      </c>
      <c r="G34">
        <f>COUNTIFS('[1]unit-ditch-irr-crop'!$I$2:$I$1048576,"CG",'[1]unit-ditch-irr-crop'!$K$2:$K$1048576,$B34)</f>
        <v>0</v>
      </c>
      <c r="H34" s="8">
        <f>SUMIFS('[1]unit-ditch-irr-crop'!$M$2:$M$1048576,'[1]unit-ditch-irr-crop'!$I$2:$I$1048576,"CG",'[1]unit-ditch-irr-crop'!$K$2:$K$1048576,$B34)</f>
        <v>0</v>
      </c>
      <c r="J34">
        <f>COUNTIFS('[1]unit-ditch-irr-crop'!$I$2:$I$1048576,"Gw",'[1]unit-ditch-irr-crop'!$K$2:$K$1048576,$B34)</f>
        <v>0</v>
      </c>
      <c r="K34" s="8">
        <f>SUMIFS('[1]unit-ditch-irr-crop'!$M$2:$M$1048576,'[1]unit-ditch-irr-crop'!$I$2:$I$1048576,"GW",'[1]unit-ditch-irr-crop'!$K$2:$K$1048576,$B34)</f>
        <v>0</v>
      </c>
      <c r="M34">
        <f>COUNTIFS('[1]unit-ditch-irr-crop'!$I$2:$I$1048576,"LU",'[1]unit-ditch-irr-crop'!$K$2:$K$1048576,$B34)</f>
        <v>0</v>
      </c>
      <c r="N34" s="8">
        <f>SUMIFS('[1]unit-ditch-irr-crop'!$M$2:$M$1048576,'[1]unit-ditch-irr-crop'!$I$2:$I$1048576,"LU",'[1]unit-ditch-irr-crop'!$K$2:$K$1048576,$B34)</f>
        <v>0</v>
      </c>
      <c r="P34">
        <f>COUNTIFS('[1]unit-ditch-irr-crop'!$I$2:$I$1048576,"RR",'[1]unit-ditch-irr-crop'!$K$2:$K$1048576,$B34)</f>
        <v>0</v>
      </c>
      <c r="Q34" s="8">
        <f>SUMIFS('[1]unit-ditch-irr-crop'!$M$2:$M$1048576,'[1]unit-ditch-irr-crop'!$I$2:$I$1048576,"RR",'[1]unit-ditch-irr-crop'!$K$2:$K$1048576,$B34)</f>
        <v>0</v>
      </c>
      <c r="S34">
        <f>COUNTIFS('[1]unit-ditch-irr-crop'!$I$2:$I$1048576,"RS",'[1]unit-ditch-irr-crop'!$K$2:$K$1048576,$B34)</f>
        <v>0</v>
      </c>
      <c r="T34" s="8">
        <f>SUMIFS('[1]unit-ditch-irr-crop'!$M$2:$M$1048576,'[1]unit-ditch-irr-crop'!$I$2:$I$1048576,"RS",'[1]unit-ditch-irr-crop'!$K$2:$K$1048576,$B34)</f>
        <v>0</v>
      </c>
      <c r="V34">
        <f>COUNTIFS('[1]unit-ditch-irr-crop'!$I$2:$I$1048576,"SS",'[1]unit-ditch-irr-crop'!$K$2:$K$1048576,$B34)</f>
        <v>0</v>
      </c>
      <c r="W34" s="8">
        <f>SUMIFS('[1]unit-ditch-irr-crop'!$M$2:$M$1048576,'[1]unit-ditch-irr-crop'!$I$2:$I$1048576,"SS",'[1]unit-ditch-irr-crop'!$K$2:$K$1048576,$B34)</f>
        <v>0</v>
      </c>
      <c r="Y34">
        <f>COUNTIFS('[1]unit-ditch-irr-crop'!$I$2:$I$1048576,"UG",'[1]unit-ditch-irr-crop'!$K$2:$K$1048576,$B34)</f>
        <v>0</v>
      </c>
      <c r="Z34" s="8">
        <f>SUMIFS('[1]unit-ditch-irr-crop'!$M$2:$M$1048576,'[1]unit-ditch-irr-crop'!$I$2:$I$1048576,"UG",'[1]unit-ditch-irr-crop'!$K$2:$K$1048576,$B34)</f>
        <v>0</v>
      </c>
      <c r="AB34">
        <f>COUNTIFS('[1]unit-ditch-irr-crop'!$I$2:$I$1048576,"VV",'[1]unit-ditch-irr-crop'!$E$2:$E$1048576,"Arizona v California",'[1]unit-ditch-irr-crop'!$K$2:$K$1048576,$B34)</f>
        <v>0</v>
      </c>
      <c r="AC34" s="8">
        <f>SUMIFS('[1]unit-ditch-irr-crop'!$M$2:$M$1048576,'[1]unit-ditch-irr-crop'!$I$2:$I$1048576,"VV",'[1]unit-ditch-irr-crop'!$E$2:$E$1048576,"Arizona v California",'[1]unit-ditch-irr-crop'!$K$2:$K$1048576,$B34)</f>
        <v>0</v>
      </c>
      <c r="AE34">
        <f>COUNTIFS('[1]unit-ditch-irr-crop'!$I$2:$I$1048576,"VV",'[1]unit-ditch-irr-crop'!$E$2:$E$1048576,"Globe Equity Decree",'[1]unit-ditch-irr-crop'!$K$2:$K$1048576,$B34)</f>
        <v>0</v>
      </c>
      <c r="AF34" s="8">
        <f>SUMIFS('[1]unit-ditch-irr-crop'!$M$2:$M$1048576,'[1]unit-ditch-irr-crop'!$I$2:$I$1048576,"VV",'[1]unit-ditch-irr-crop'!$E$2:$E$1048576,"Globe Equity Decree",'[1]unit-ditch-irr-crop'!$K$2:$K$1048576,$B34)</f>
        <v>0</v>
      </c>
      <c r="AJ34" s="8"/>
    </row>
    <row r="35" spans="1:36" x14ac:dyDescent="0.25">
      <c r="B35" s="7" t="s">
        <v>172</v>
      </c>
      <c r="D35">
        <f>COUNTIFS('[1]unit-ditch-irr-crop'!$I$2:$I$1048576,"AA",'[1]unit-ditch-irr-crop'!$K$2:$K$1048576,$B35)</f>
        <v>9</v>
      </c>
      <c r="E35" s="8">
        <f>SUMIFS('[1]unit-ditch-irr-crop'!$M$2:$M$1048576,'[1]unit-ditch-irr-crop'!$I$2:$I$1048576,"AA",'[1]unit-ditch-irr-crop'!$K$2:$K$1048576,$B35)</f>
        <v>69.790834934369087</v>
      </c>
      <c r="G35">
        <f>COUNTIFS('[1]unit-ditch-irr-crop'!$I$2:$I$1048576,"CG",'[1]unit-ditch-irr-crop'!$K$2:$K$1048576,$B35)</f>
        <v>11</v>
      </c>
      <c r="H35" s="8">
        <f>SUMIFS('[1]unit-ditch-irr-crop'!$M$2:$M$1048576,'[1]unit-ditch-irr-crop'!$I$2:$I$1048576,"CG",'[1]unit-ditch-irr-crop'!$K$2:$K$1048576,$B35)</f>
        <v>77.093885745449725</v>
      </c>
      <c r="J35">
        <f>COUNTIFS('[1]unit-ditch-irr-crop'!$I$2:$I$1048576,"Gw",'[1]unit-ditch-irr-crop'!$K$2:$K$1048576,$B35)</f>
        <v>0</v>
      </c>
      <c r="K35" s="8">
        <f>SUMIFS('[1]unit-ditch-irr-crop'!$M$2:$M$1048576,'[1]unit-ditch-irr-crop'!$I$2:$I$1048576,"GW",'[1]unit-ditch-irr-crop'!$K$2:$K$1048576,$B35)</f>
        <v>0</v>
      </c>
      <c r="M35">
        <f>COUNTIFS('[1]unit-ditch-irr-crop'!$I$2:$I$1048576,"LU",'[1]unit-ditch-irr-crop'!$K$2:$K$1048576,$B35)</f>
        <v>4</v>
      </c>
      <c r="N35" s="8">
        <f>SUMIFS('[1]unit-ditch-irr-crop'!$M$2:$M$1048576,'[1]unit-ditch-irr-crop'!$I$2:$I$1048576,"LU",'[1]unit-ditch-irr-crop'!$K$2:$K$1048576,$B35)</f>
        <v>24.22675676821941</v>
      </c>
      <c r="P35">
        <f>COUNTIFS('[1]unit-ditch-irr-crop'!$I$2:$I$1048576,"RR",'[1]unit-ditch-irr-crop'!$K$2:$K$1048576,$B35)</f>
        <v>0</v>
      </c>
      <c r="Q35" s="8">
        <f>SUMIFS('[1]unit-ditch-irr-crop'!$M$2:$M$1048576,'[1]unit-ditch-irr-crop'!$I$2:$I$1048576,"RR",'[1]unit-ditch-irr-crop'!$K$2:$K$1048576,$B35)</f>
        <v>0</v>
      </c>
      <c r="S35">
        <f>COUNTIFS('[1]unit-ditch-irr-crop'!$I$2:$I$1048576,"RS",'[1]unit-ditch-irr-crop'!$K$2:$K$1048576,$B35)</f>
        <v>1</v>
      </c>
      <c r="T35" s="8">
        <f>SUMIFS('[1]unit-ditch-irr-crop'!$M$2:$M$1048576,'[1]unit-ditch-irr-crop'!$I$2:$I$1048576,"RS",'[1]unit-ditch-irr-crop'!$K$2:$K$1048576,$B35)</f>
        <v>0.156695261610479</v>
      </c>
      <c r="V35">
        <f>COUNTIFS('[1]unit-ditch-irr-crop'!$I$2:$I$1048576,"SS",'[1]unit-ditch-irr-crop'!$K$2:$K$1048576,$B35)</f>
        <v>0</v>
      </c>
      <c r="W35" s="8">
        <f>SUMIFS('[1]unit-ditch-irr-crop'!$M$2:$M$1048576,'[1]unit-ditch-irr-crop'!$I$2:$I$1048576,"SS",'[1]unit-ditch-irr-crop'!$K$2:$K$1048576,$B35)</f>
        <v>0</v>
      </c>
      <c r="Y35">
        <f>COUNTIFS('[1]unit-ditch-irr-crop'!$I$2:$I$1048576,"UG",'[1]unit-ditch-irr-crop'!$K$2:$K$1048576,$B35)</f>
        <v>0</v>
      </c>
      <c r="Z35" s="8">
        <f>SUMIFS('[1]unit-ditch-irr-crop'!$M$2:$M$1048576,'[1]unit-ditch-irr-crop'!$I$2:$I$1048576,"UG",'[1]unit-ditch-irr-crop'!$K$2:$K$1048576,$B35)</f>
        <v>0</v>
      </c>
      <c r="AB35">
        <f>COUNTIFS('[1]unit-ditch-irr-crop'!$I$2:$I$1048576,"VV",'[1]unit-ditch-irr-crop'!$E$2:$E$1048576,"Arizona v California",'[1]unit-ditch-irr-crop'!$K$2:$K$1048576,$B35)</f>
        <v>0</v>
      </c>
      <c r="AC35" s="8">
        <f>SUMIFS('[1]unit-ditch-irr-crop'!$M$2:$M$1048576,'[1]unit-ditch-irr-crop'!$I$2:$I$1048576,"VV",'[1]unit-ditch-irr-crop'!$E$2:$E$1048576,"Arizona v California",'[1]unit-ditch-irr-crop'!$K$2:$K$1048576,$B35)</f>
        <v>0</v>
      </c>
      <c r="AE35">
        <f>COUNTIFS('[1]unit-ditch-irr-crop'!$I$2:$I$1048576,"VV",'[1]unit-ditch-irr-crop'!$E$2:$E$1048576,"Globe Equity Decree",'[1]unit-ditch-irr-crop'!$K$2:$K$1048576,$B35)</f>
        <v>0</v>
      </c>
      <c r="AF35" s="8">
        <f>SUMIFS('[1]unit-ditch-irr-crop'!$M$2:$M$1048576,'[1]unit-ditch-irr-crop'!$I$2:$I$1048576,"VV",'[1]unit-ditch-irr-crop'!$E$2:$E$1048576,"Globe Equity Decree",'[1]unit-ditch-irr-crop'!$K$2:$K$1048576,$B35)</f>
        <v>0</v>
      </c>
    </row>
    <row r="36" spans="1:36" x14ac:dyDescent="0.25">
      <c r="A36" s="8"/>
      <c r="B36" s="7" t="s">
        <v>173</v>
      </c>
      <c r="D36">
        <f>COUNTIFS('[1]unit-ditch-irr-crop'!$I$2:$I$1048576,"AA",'[1]unit-ditch-irr-crop'!$K$2:$K$1048576,$B36)</f>
        <v>41</v>
      </c>
      <c r="E36" s="8">
        <f>SUMIFS('[1]unit-ditch-irr-crop'!$M$2:$M$1048576,'[1]unit-ditch-irr-crop'!$I$2:$I$1048576,"AA",'[1]unit-ditch-irr-crop'!$K$2:$K$1048576,$B36)</f>
        <v>168.14287860068356</v>
      </c>
      <c r="G36">
        <f>COUNTIFS('[1]unit-ditch-irr-crop'!$I$2:$I$1048576,"CG",'[1]unit-ditch-irr-crop'!$K$2:$K$1048576,$B36)</f>
        <v>487</v>
      </c>
      <c r="H36" s="8">
        <f>SUMIFS('[1]unit-ditch-irr-crop'!$M$2:$M$1048576,'[1]unit-ditch-irr-crop'!$I$2:$I$1048576,"CG",'[1]unit-ditch-irr-crop'!$K$2:$K$1048576,$B36)</f>
        <v>2896.4377703391729</v>
      </c>
      <c r="J36">
        <f>COUNTIFS('[1]unit-ditch-irr-crop'!$I$2:$I$1048576,"Gw",'[1]unit-ditch-irr-crop'!$K$2:$K$1048576,$B36)</f>
        <v>135</v>
      </c>
      <c r="K36" s="8">
        <f>SUMIFS('[1]unit-ditch-irr-crop'!$M$2:$M$1048576,'[1]unit-ditch-irr-crop'!$I$2:$I$1048576,"GW",'[1]unit-ditch-irr-crop'!$K$2:$K$1048576,$B36)</f>
        <v>425.6672806566454</v>
      </c>
      <c r="M36">
        <f>COUNTIFS('[1]unit-ditch-irr-crop'!$I$2:$I$1048576,"LU",'[1]unit-ditch-irr-crop'!$K$2:$K$1048576,$B36)</f>
        <v>110</v>
      </c>
      <c r="N36" s="8">
        <f>SUMIFS('[1]unit-ditch-irr-crop'!$M$2:$M$1048576,'[1]unit-ditch-irr-crop'!$I$2:$I$1048576,"LU",'[1]unit-ditch-irr-crop'!$K$2:$K$1048576,$B36)</f>
        <v>359.42178730825225</v>
      </c>
      <c r="P36">
        <f>COUNTIFS('[1]unit-ditch-irr-crop'!$I$2:$I$1048576,"RR",'[1]unit-ditch-irr-crop'!$K$2:$K$1048576,$B36)</f>
        <v>172</v>
      </c>
      <c r="Q36" s="8">
        <f>SUMIFS('[1]unit-ditch-irr-crop'!$M$2:$M$1048576,'[1]unit-ditch-irr-crop'!$I$2:$I$1048576,"RR",'[1]unit-ditch-irr-crop'!$K$2:$K$1048576,$B36)</f>
        <v>1182.4766929438676</v>
      </c>
      <c r="S36">
        <f>COUNTIFS('[1]unit-ditch-irr-crop'!$I$2:$I$1048576,"RS",'[1]unit-ditch-irr-crop'!$K$2:$K$1048576,$B36)</f>
        <v>87</v>
      </c>
      <c r="T36" s="8">
        <f>SUMIFS('[1]unit-ditch-irr-crop'!$M$2:$M$1048576,'[1]unit-ditch-irr-crop'!$I$2:$I$1048576,"RS",'[1]unit-ditch-irr-crop'!$K$2:$K$1048576,$B36)</f>
        <v>157.06001734565055</v>
      </c>
      <c r="V36">
        <f>COUNTIFS('[1]unit-ditch-irr-crop'!$I$2:$I$1048576,"SS",'[1]unit-ditch-irr-crop'!$K$2:$K$1048576,$B36)</f>
        <v>145</v>
      </c>
      <c r="W36" s="8">
        <f>SUMIFS('[1]unit-ditch-irr-crop'!$M$2:$M$1048576,'[1]unit-ditch-irr-crop'!$I$2:$I$1048576,"SS",'[1]unit-ditch-irr-crop'!$K$2:$K$1048576,$B36)</f>
        <v>2523.3242839586032</v>
      </c>
      <c r="Y36">
        <f>COUNTIFS('[1]unit-ditch-irr-crop'!$I$2:$I$1048576,"UG",'[1]unit-ditch-irr-crop'!$K$2:$K$1048576,$B36)</f>
        <v>59</v>
      </c>
      <c r="Z36" s="8">
        <f>SUMIFS('[1]unit-ditch-irr-crop'!$M$2:$M$1048576,'[1]unit-ditch-irr-crop'!$I$2:$I$1048576,"UG",'[1]unit-ditch-irr-crop'!$K$2:$K$1048576,$B36)</f>
        <v>193.33210068392614</v>
      </c>
      <c r="AB36">
        <f>COUNTIFS('[1]unit-ditch-irr-crop'!$I$2:$I$1048576,"VV",'[1]unit-ditch-irr-crop'!$E$2:$E$1048576,"Arizona v California",'[1]unit-ditch-irr-crop'!$K$2:$K$1048576,$B36)</f>
        <v>17</v>
      </c>
      <c r="AC36" s="8">
        <f>SUMIFS('[1]unit-ditch-irr-crop'!$M$2:$M$1048576,'[1]unit-ditch-irr-crop'!$I$2:$I$1048576,"VV",'[1]unit-ditch-irr-crop'!$E$2:$E$1048576,"Arizona v California",'[1]unit-ditch-irr-crop'!$K$2:$K$1048576,$B36)</f>
        <v>318.84965839551467</v>
      </c>
      <c r="AE36">
        <f>COUNTIFS('[1]unit-ditch-irr-crop'!$I$2:$I$1048576,"VV",'[1]unit-ditch-irr-crop'!$E$2:$E$1048576,"Globe Equity Decree",'[1]unit-ditch-irr-crop'!$K$2:$K$1048576,$B36)</f>
        <v>72</v>
      </c>
      <c r="AF36" s="8">
        <f>SUMIFS('[1]unit-ditch-irr-crop'!$M$2:$M$1048576,'[1]unit-ditch-irr-crop'!$I$2:$I$1048576,"VV",'[1]unit-ditch-irr-crop'!$E$2:$E$1048576,"Globe Equity Decree",'[1]unit-ditch-irr-crop'!$K$2:$K$1048576,$B36)</f>
        <v>531.90900431105388</v>
      </c>
    </row>
    <row r="37" spans="1:36" x14ac:dyDescent="0.25">
      <c r="B37" s="7" t="s">
        <v>174</v>
      </c>
      <c r="D37">
        <f>COUNTIFS('[1]unit-ditch-irr-crop'!$I$2:$I$1048576,"AA",'[1]unit-ditch-irr-crop'!$K$2:$K$1048576,$B37)</f>
        <v>1</v>
      </c>
      <c r="E37" s="8">
        <f>SUMIFS('[1]unit-ditch-irr-crop'!$M$2:$M$1048576,'[1]unit-ditch-irr-crop'!$I$2:$I$1048576,"AA",'[1]unit-ditch-irr-crop'!$K$2:$K$1048576,$B37)</f>
        <v>3.0493345506664302</v>
      </c>
      <c r="G37">
        <f>COUNTIFS('[1]unit-ditch-irr-crop'!$I$2:$I$1048576,"CG",'[1]unit-ditch-irr-crop'!$K$2:$K$1048576,$B37)</f>
        <v>0</v>
      </c>
      <c r="H37" s="8">
        <f>SUMIFS('[1]unit-ditch-irr-crop'!$M$2:$M$1048576,'[1]unit-ditch-irr-crop'!$I$2:$I$1048576,"CG",'[1]unit-ditch-irr-crop'!$K$2:$K$1048576,$B37)</f>
        <v>0</v>
      </c>
      <c r="J37">
        <f>COUNTIFS('[1]unit-ditch-irr-crop'!$I$2:$I$1048576,"Gw",'[1]unit-ditch-irr-crop'!$K$2:$K$1048576,$B37)</f>
        <v>0</v>
      </c>
      <c r="K37" s="8">
        <f>SUMIFS('[1]unit-ditch-irr-crop'!$M$2:$M$1048576,'[1]unit-ditch-irr-crop'!$I$2:$I$1048576,"GW",'[1]unit-ditch-irr-crop'!$K$2:$K$1048576,$B37)</f>
        <v>0</v>
      </c>
      <c r="M37">
        <f>COUNTIFS('[1]unit-ditch-irr-crop'!$I$2:$I$1048576,"LU",'[1]unit-ditch-irr-crop'!$K$2:$K$1048576,$B37)</f>
        <v>0</v>
      </c>
      <c r="N37" s="8">
        <f>SUMIFS('[1]unit-ditch-irr-crop'!$M$2:$M$1048576,'[1]unit-ditch-irr-crop'!$I$2:$I$1048576,"LU",'[1]unit-ditch-irr-crop'!$K$2:$K$1048576,$B37)</f>
        <v>0</v>
      </c>
      <c r="P37">
        <f>COUNTIFS('[1]unit-ditch-irr-crop'!$I$2:$I$1048576,"RR",'[1]unit-ditch-irr-crop'!$K$2:$K$1048576,$B37)</f>
        <v>0</v>
      </c>
      <c r="Q37" s="8">
        <f>SUMIFS('[1]unit-ditch-irr-crop'!$M$2:$M$1048576,'[1]unit-ditch-irr-crop'!$I$2:$I$1048576,"RR",'[1]unit-ditch-irr-crop'!$K$2:$K$1048576,$B37)</f>
        <v>0</v>
      </c>
      <c r="S37">
        <f>COUNTIFS('[1]unit-ditch-irr-crop'!$I$2:$I$1048576,"RS",'[1]unit-ditch-irr-crop'!$K$2:$K$1048576,$B37)</f>
        <v>0</v>
      </c>
      <c r="T37" s="8">
        <f>SUMIFS('[1]unit-ditch-irr-crop'!$M$2:$M$1048576,'[1]unit-ditch-irr-crop'!$I$2:$I$1048576,"RS",'[1]unit-ditch-irr-crop'!$K$2:$K$1048576,$B37)</f>
        <v>0</v>
      </c>
      <c r="V37">
        <f>COUNTIFS('[1]unit-ditch-irr-crop'!$I$2:$I$1048576,"SS",'[1]unit-ditch-irr-crop'!$K$2:$K$1048576,$B37)</f>
        <v>0</v>
      </c>
      <c r="W37" s="8">
        <f>SUMIFS('[1]unit-ditch-irr-crop'!$M$2:$M$1048576,'[1]unit-ditch-irr-crop'!$I$2:$I$1048576,"SS",'[1]unit-ditch-irr-crop'!$K$2:$K$1048576,$B37)</f>
        <v>0</v>
      </c>
      <c r="Y37">
        <f>COUNTIFS('[1]unit-ditch-irr-crop'!$I$2:$I$1048576,"UG",'[1]unit-ditch-irr-crop'!$K$2:$K$1048576,$B37)</f>
        <v>0</v>
      </c>
      <c r="Z37" s="8">
        <f>SUMIFS('[1]unit-ditch-irr-crop'!$M$2:$M$1048576,'[1]unit-ditch-irr-crop'!$I$2:$I$1048576,"UG",'[1]unit-ditch-irr-crop'!$K$2:$K$1048576,$B37)</f>
        <v>0</v>
      </c>
      <c r="AB37">
        <f>COUNTIFS('[1]unit-ditch-irr-crop'!$I$2:$I$1048576,"VV",'[1]unit-ditch-irr-crop'!$E$2:$E$1048576,"Arizona v California",'[1]unit-ditch-irr-crop'!$K$2:$K$1048576,$B37)</f>
        <v>0</v>
      </c>
      <c r="AC37" s="8">
        <f>SUMIFS('[1]unit-ditch-irr-crop'!$M$2:$M$1048576,'[1]unit-ditch-irr-crop'!$I$2:$I$1048576,"VV",'[1]unit-ditch-irr-crop'!$E$2:$E$1048576,"Arizona v California",'[1]unit-ditch-irr-crop'!$K$2:$K$1048576,$B37)</f>
        <v>0</v>
      </c>
      <c r="AE37">
        <f>COUNTIFS('[1]unit-ditch-irr-crop'!$I$2:$I$1048576,"VV",'[1]unit-ditch-irr-crop'!$E$2:$E$1048576,"Globe Equity Decree",'[1]unit-ditch-irr-crop'!$K$2:$K$1048576,$B37)</f>
        <v>0</v>
      </c>
      <c r="AF37" s="8">
        <f>SUMIFS('[1]unit-ditch-irr-crop'!$M$2:$M$1048576,'[1]unit-ditch-irr-crop'!$I$2:$I$1048576,"VV",'[1]unit-ditch-irr-crop'!$E$2:$E$1048576,"Globe Equity Decree",'[1]unit-ditch-irr-crop'!$K$2:$K$1048576,$B37)</f>
        <v>0</v>
      </c>
    </row>
    <row r="38" spans="1:36" x14ac:dyDescent="0.25">
      <c r="B38" s="7" t="s">
        <v>175</v>
      </c>
      <c r="D38">
        <f>COUNTIFS('[1]unit-ditch-irr-crop'!$I$2:$I$1048576,"AA",'[1]unit-ditch-irr-crop'!$K$2:$K$1048576,$B38)</f>
        <v>3</v>
      </c>
      <c r="E38" s="8">
        <f>SUMIFS('[1]unit-ditch-irr-crop'!$M$2:$M$1048576,'[1]unit-ditch-irr-crop'!$I$2:$I$1048576,"AA",'[1]unit-ditch-irr-crop'!$K$2:$K$1048576,$B38)</f>
        <v>1.0808887735776271</v>
      </c>
      <c r="G38">
        <f>COUNTIFS('[1]unit-ditch-irr-crop'!$I$2:$I$1048576,"CG",'[1]unit-ditch-irr-crop'!$K$2:$K$1048576,$B38)</f>
        <v>16</v>
      </c>
      <c r="H38" s="8">
        <f>SUMIFS('[1]unit-ditch-irr-crop'!$M$2:$M$1048576,'[1]unit-ditch-irr-crop'!$I$2:$I$1048576,"CG",'[1]unit-ditch-irr-crop'!$K$2:$K$1048576,$B38)</f>
        <v>12.086570811724096</v>
      </c>
      <c r="J38">
        <f>COUNTIFS('[1]unit-ditch-irr-crop'!$I$2:$I$1048576,"Gw",'[1]unit-ditch-irr-crop'!$K$2:$K$1048576,$B38)</f>
        <v>4</v>
      </c>
      <c r="K38" s="8">
        <f>SUMIFS('[1]unit-ditch-irr-crop'!$M$2:$M$1048576,'[1]unit-ditch-irr-crop'!$I$2:$I$1048576,"GW",'[1]unit-ditch-irr-crop'!$K$2:$K$1048576,$B38)</f>
        <v>7.223073921255418</v>
      </c>
      <c r="M38">
        <f>COUNTIFS('[1]unit-ditch-irr-crop'!$I$2:$I$1048576,"LU",'[1]unit-ditch-irr-crop'!$K$2:$K$1048576,$B38)</f>
        <v>0</v>
      </c>
      <c r="N38" s="8">
        <f>SUMIFS('[1]unit-ditch-irr-crop'!$M$2:$M$1048576,'[1]unit-ditch-irr-crop'!$I$2:$I$1048576,"LU",'[1]unit-ditch-irr-crop'!$K$2:$K$1048576,$B38)</f>
        <v>0</v>
      </c>
      <c r="P38">
        <f>COUNTIFS('[1]unit-ditch-irr-crop'!$I$2:$I$1048576,"RR",'[1]unit-ditch-irr-crop'!$K$2:$K$1048576,$B38)</f>
        <v>0</v>
      </c>
      <c r="Q38" s="8">
        <f>SUMIFS('[1]unit-ditch-irr-crop'!$M$2:$M$1048576,'[1]unit-ditch-irr-crop'!$I$2:$I$1048576,"RR",'[1]unit-ditch-irr-crop'!$K$2:$K$1048576,$B38)</f>
        <v>0</v>
      </c>
      <c r="S38">
        <f>COUNTIFS('[1]unit-ditch-irr-crop'!$I$2:$I$1048576,"RS",'[1]unit-ditch-irr-crop'!$K$2:$K$1048576,$B38)</f>
        <v>31</v>
      </c>
      <c r="T38" s="8">
        <f>SUMIFS('[1]unit-ditch-irr-crop'!$M$2:$M$1048576,'[1]unit-ditch-irr-crop'!$I$2:$I$1048576,"RS",'[1]unit-ditch-irr-crop'!$K$2:$K$1048576,$B38)</f>
        <v>48.349629133581388</v>
      </c>
      <c r="V38">
        <f>COUNTIFS('[1]unit-ditch-irr-crop'!$I$2:$I$1048576,"SS",'[1]unit-ditch-irr-crop'!$K$2:$K$1048576,$B38)</f>
        <v>0</v>
      </c>
      <c r="W38" s="8">
        <f>SUMIFS('[1]unit-ditch-irr-crop'!$M$2:$M$1048576,'[1]unit-ditch-irr-crop'!$I$2:$I$1048576,"SS",'[1]unit-ditch-irr-crop'!$K$2:$K$1048576,$B38)</f>
        <v>0</v>
      </c>
      <c r="Y38">
        <f>COUNTIFS('[1]unit-ditch-irr-crop'!$I$2:$I$1048576,"UG",'[1]unit-ditch-irr-crop'!$K$2:$K$1048576,$B38)</f>
        <v>4</v>
      </c>
      <c r="Z38" s="8">
        <f>SUMIFS('[1]unit-ditch-irr-crop'!$M$2:$M$1048576,'[1]unit-ditch-irr-crop'!$I$2:$I$1048576,"UG",'[1]unit-ditch-irr-crop'!$K$2:$K$1048576,$B38)</f>
        <v>2.014331967801108</v>
      </c>
      <c r="AB38">
        <f>COUNTIFS('[1]unit-ditch-irr-crop'!$I$2:$I$1048576,"VV",'[1]unit-ditch-irr-crop'!$E$2:$E$1048576,"Arizona v California",'[1]unit-ditch-irr-crop'!$K$2:$K$1048576,$B38)</f>
        <v>0</v>
      </c>
      <c r="AC38" s="8">
        <f>SUMIFS('[1]unit-ditch-irr-crop'!$M$2:$M$1048576,'[1]unit-ditch-irr-crop'!$I$2:$I$1048576,"VV",'[1]unit-ditch-irr-crop'!$E$2:$E$1048576,"Arizona v California",'[1]unit-ditch-irr-crop'!$K$2:$K$1048576,$B38)</f>
        <v>0</v>
      </c>
      <c r="AE38">
        <f>COUNTIFS('[1]unit-ditch-irr-crop'!$I$2:$I$1048576,"VV",'[1]unit-ditch-irr-crop'!$E$2:$E$1048576,"Globe Equity Decree",'[1]unit-ditch-irr-crop'!$K$2:$K$1048576,$B38)</f>
        <v>0</v>
      </c>
      <c r="AF38" s="8">
        <f>SUMIFS('[1]unit-ditch-irr-crop'!$M$2:$M$1048576,'[1]unit-ditch-irr-crop'!$I$2:$I$1048576,"VV",'[1]unit-ditch-irr-crop'!$E$2:$E$1048576,"Globe Equity Decree",'[1]unit-ditch-irr-crop'!$K$2:$K$1048576,$B38)</f>
        <v>0</v>
      </c>
    </row>
    <row r="39" spans="1:36" x14ac:dyDescent="0.25">
      <c r="B39" s="7" t="s">
        <v>176</v>
      </c>
      <c r="D39">
        <f>COUNTIFS('[1]unit-ditch-irr-crop'!$I$2:$I$1048576,"AA",'[1]unit-ditch-irr-crop'!$K$2:$K$1048576,$B39)</f>
        <v>13</v>
      </c>
      <c r="E39" s="8">
        <f>SUMIFS('[1]unit-ditch-irr-crop'!$M$2:$M$1048576,'[1]unit-ditch-irr-crop'!$I$2:$I$1048576,"AA",'[1]unit-ditch-irr-crop'!$K$2:$K$1048576,$B39)</f>
        <v>46.803024659438812</v>
      </c>
      <c r="G39">
        <f>COUNTIFS('[1]unit-ditch-irr-crop'!$I$2:$I$1048576,"CG",'[1]unit-ditch-irr-crop'!$K$2:$K$1048576,$B39)</f>
        <v>7</v>
      </c>
      <c r="H39" s="8">
        <f>SUMIFS('[1]unit-ditch-irr-crop'!$M$2:$M$1048576,'[1]unit-ditch-irr-crop'!$I$2:$I$1048576,"CG",'[1]unit-ditch-irr-crop'!$K$2:$K$1048576,$B39)</f>
        <v>37.545594040432654</v>
      </c>
      <c r="J39">
        <f>COUNTIFS('[1]unit-ditch-irr-crop'!$I$2:$I$1048576,"Gw",'[1]unit-ditch-irr-crop'!$K$2:$K$1048576,$B39)</f>
        <v>10</v>
      </c>
      <c r="K39" s="8">
        <f>SUMIFS('[1]unit-ditch-irr-crop'!$M$2:$M$1048576,'[1]unit-ditch-irr-crop'!$I$2:$I$1048576,"GW",'[1]unit-ditch-irr-crop'!$K$2:$K$1048576,$B39)</f>
        <v>32.128554047488386</v>
      </c>
      <c r="M39">
        <f>COUNTIFS('[1]unit-ditch-irr-crop'!$I$2:$I$1048576,"LU",'[1]unit-ditch-irr-crop'!$K$2:$K$1048576,$B39)</f>
        <v>88</v>
      </c>
      <c r="N39" s="8">
        <f>SUMIFS('[1]unit-ditch-irr-crop'!$M$2:$M$1048576,'[1]unit-ditch-irr-crop'!$I$2:$I$1048576,"LU",'[1]unit-ditch-irr-crop'!$K$2:$K$1048576,$B39)</f>
        <v>1016.6691570894228</v>
      </c>
      <c r="P39">
        <f>COUNTIFS('[1]unit-ditch-irr-crop'!$I$2:$I$1048576,"RR",'[1]unit-ditch-irr-crop'!$K$2:$K$1048576,$B39)</f>
        <v>21</v>
      </c>
      <c r="Q39" s="8">
        <f>SUMIFS('[1]unit-ditch-irr-crop'!$M$2:$M$1048576,'[1]unit-ditch-irr-crop'!$I$2:$I$1048576,"RR",'[1]unit-ditch-irr-crop'!$K$2:$K$1048576,$B39)</f>
        <v>276.89393994004837</v>
      </c>
      <c r="S39">
        <f>COUNTIFS('[1]unit-ditch-irr-crop'!$I$2:$I$1048576,"RS",'[1]unit-ditch-irr-crop'!$K$2:$K$1048576,$B39)</f>
        <v>25</v>
      </c>
      <c r="T39" s="8">
        <f>SUMIFS('[1]unit-ditch-irr-crop'!$M$2:$M$1048576,'[1]unit-ditch-irr-crop'!$I$2:$I$1048576,"RS",'[1]unit-ditch-irr-crop'!$K$2:$K$1048576,$B39)</f>
        <v>90.157118113651933</v>
      </c>
      <c r="V39">
        <f>COUNTIFS('[1]unit-ditch-irr-crop'!$I$2:$I$1048576,"SS",'[1]unit-ditch-irr-crop'!$K$2:$K$1048576,$B39)</f>
        <v>1</v>
      </c>
      <c r="W39" s="8">
        <f>SUMIFS('[1]unit-ditch-irr-crop'!$M$2:$M$1048576,'[1]unit-ditch-irr-crop'!$I$2:$I$1048576,"SS",'[1]unit-ditch-irr-crop'!$K$2:$K$1048576,$B39)</f>
        <v>0.33275798291997999</v>
      </c>
      <c r="Y39">
        <f>COUNTIFS('[1]unit-ditch-irr-crop'!$I$2:$I$1048576,"UG",'[1]unit-ditch-irr-crop'!$K$2:$K$1048576,$B39)</f>
        <v>0</v>
      </c>
      <c r="Z39" s="8">
        <f>SUMIFS('[1]unit-ditch-irr-crop'!$M$2:$M$1048576,'[1]unit-ditch-irr-crop'!$I$2:$I$1048576,"UG",'[1]unit-ditch-irr-crop'!$K$2:$K$1048576,$B39)</f>
        <v>0</v>
      </c>
      <c r="AB39">
        <f>COUNTIFS('[1]unit-ditch-irr-crop'!$I$2:$I$1048576,"VV",'[1]unit-ditch-irr-crop'!$E$2:$E$1048576,"Arizona v California",'[1]unit-ditch-irr-crop'!$K$2:$K$1048576,$B39)</f>
        <v>0</v>
      </c>
      <c r="AC39" s="8">
        <f>SUMIFS('[1]unit-ditch-irr-crop'!$M$2:$M$1048576,'[1]unit-ditch-irr-crop'!$I$2:$I$1048576,"VV",'[1]unit-ditch-irr-crop'!$E$2:$E$1048576,"Arizona v California",'[1]unit-ditch-irr-crop'!$K$2:$K$1048576,$B39)</f>
        <v>0</v>
      </c>
      <c r="AE39">
        <f>COUNTIFS('[1]unit-ditch-irr-crop'!$I$2:$I$1048576,"VV",'[1]unit-ditch-irr-crop'!$E$2:$E$1048576,"Globe Equity Decree",'[1]unit-ditch-irr-crop'!$K$2:$K$1048576,$B39)</f>
        <v>0</v>
      </c>
      <c r="AF39" s="8">
        <f>SUMIFS('[1]unit-ditch-irr-crop'!$M$2:$M$1048576,'[1]unit-ditch-irr-crop'!$I$2:$I$1048576,"VV",'[1]unit-ditch-irr-crop'!$E$2:$E$1048576,"Globe Equity Decree",'[1]unit-ditch-irr-crop'!$K$2:$K$1048576,$B39)</f>
        <v>0</v>
      </c>
    </row>
    <row r="40" spans="1:36" x14ac:dyDescent="0.25">
      <c r="B40" s="7" t="s">
        <v>177</v>
      </c>
      <c r="D40">
        <f>COUNTIFS('[1]unit-ditch-irr-crop'!$I$2:$I$1048576,"AA",'[1]unit-ditch-irr-crop'!$K$2:$K$1048576,$B40)</f>
        <v>0</v>
      </c>
      <c r="E40" s="8">
        <f>SUMIFS('[1]unit-ditch-irr-crop'!$M$2:$M$1048576,'[1]unit-ditch-irr-crop'!$I$2:$I$1048576,"AA",'[1]unit-ditch-irr-crop'!$K$2:$K$1048576,$B40)</f>
        <v>0</v>
      </c>
      <c r="G40">
        <f>COUNTIFS('[1]unit-ditch-irr-crop'!$I$2:$I$1048576,"CG",'[1]unit-ditch-irr-crop'!$K$2:$K$1048576,$B40)</f>
        <v>0</v>
      </c>
      <c r="H40" s="8">
        <f>SUMIFS('[1]unit-ditch-irr-crop'!$M$2:$M$1048576,'[1]unit-ditch-irr-crop'!$I$2:$I$1048576,"CG",'[1]unit-ditch-irr-crop'!$K$2:$K$1048576,$B40)</f>
        <v>0</v>
      </c>
      <c r="J40">
        <f>COUNTIFS('[1]unit-ditch-irr-crop'!$I$2:$I$1048576,"Gw",'[1]unit-ditch-irr-crop'!$K$2:$K$1048576,$B40)</f>
        <v>0</v>
      </c>
      <c r="K40" s="8">
        <f>SUMIFS('[1]unit-ditch-irr-crop'!$M$2:$M$1048576,'[1]unit-ditch-irr-crop'!$I$2:$I$1048576,"GW",'[1]unit-ditch-irr-crop'!$K$2:$K$1048576,$B40)</f>
        <v>0</v>
      </c>
      <c r="M40">
        <f>COUNTIFS('[1]unit-ditch-irr-crop'!$I$2:$I$1048576,"LU",'[1]unit-ditch-irr-crop'!$K$2:$K$1048576,$B40)</f>
        <v>0</v>
      </c>
      <c r="N40" s="8">
        <f>SUMIFS('[1]unit-ditch-irr-crop'!$M$2:$M$1048576,'[1]unit-ditch-irr-crop'!$I$2:$I$1048576,"LU",'[1]unit-ditch-irr-crop'!$K$2:$K$1048576,$B40)</f>
        <v>0</v>
      </c>
      <c r="P40">
        <f>COUNTIFS('[1]unit-ditch-irr-crop'!$I$2:$I$1048576,"RR",'[1]unit-ditch-irr-crop'!$K$2:$K$1048576,$B40)</f>
        <v>0</v>
      </c>
      <c r="Q40" s="8">
        <f>SUMIFS('[1]unit-ditch-irr-crop'!$M$2:$M$1048576,'[1]unit-ditch-irr-crop'!$I$2:$I$1048576,"RR",'[1]unit-ditch-irr-crop'!$K$2:$K$1048576,$B40)</f>
        <v>0</v>
      </c>
      <c r="S40">
        <f>COUNTIFS('[1]unit-ditch-irr-crop'!$I$2:$I$1048576,"RS",'[1]unit-ditch-irr-crop'!$K$2:$K$1048576,$B40)</f>
        <v>0</v>
      </c>
      <c r="T40" s="8">
        <f>SUMIFS('[1]unit-ditch-irr-crop'!$M$2:$M$1048576,'[1]unit-ditch-irr-crop'!$I$2:$I$1048576,"RS",'[1]unit-ditch-irr-crop'!$K$2:$K$1048576,$B40)</f>
        <v>0</v>
      </c>
      <c r="V40">
        <f>COUNTIFS('[1]unit-ditch-irr-crop'!$I$2:$I$1048576,"SS",'[1]unit-ditch-irr-crop'!$K$2:$K$1048576,$B40)</f>
        <v>0</v>
      </c>
      <c r="W40" s="8">
        <f>SUMIFS('[1]unit-ditch-irr-crop'!$M$2:$M$1048576,'[1]unit-ditch-irr-crop'!$I$2:$I$1048576,"SS",'[1]unit-ditch-irr-crop'!$K$2:$K$1048576,$B40)</f>
        <v>0</v>
      </c>
      <c r="Y40">
        <f>COUNTIFS('[1]unit-ditch-irr-crop'!$I$2:$I$1048576,"UG",'[1]unit-ditch-irr-crop'!$K$2:$K$1048576,$B40)</f>
        <v>0</v>
      </c>
      <c r="Z40" s="8">
        <f>SUMIFS('[1]unit-ditch-irr-crop'!$M$2:$M$1048576,'[1]unit-ditch-irr-crop'!$I$2:$I$1048576,"UG",'[1]unit-ditch-irr-crop'!$K$2:$K$1048576,$B40)</f>
        <v>0</v>
      </c>
      <c r="AB40">
        <f>COUNTIFS('[1]unit-ditch-irr-crop'!$I$2:$I$1048576,"VV",'[1]unit-ditch-irr-crop'!$E$2:$E$1048576,"Arizona v California",'[1]unit-ditch-irr-crop'!$K$2:$K$1048576,$B40)</f>
        <v>0</v>
      </c>
      <c r="AC40" s="8">
        <f>SUMIFS('[1]unit-ditch-irr-crop'!$M$2:$M$1048576,'[1]unit-ditch-irr-crop'!$I$2:$I$1048576,"VV",'[1]unit-ditch-irr-crop'!$E$2:$E$1048576,"Arizona v California",'[1]unit-ditch-irr-crop'!$K$2:$K$1048576,$B40)</f>
        <v>0</v>
      </c>
      <c r="AE40">
        <f>COUNTIFS('[1]unit-ditch-irr-crop'!$I$2:$I$1048576,"VV",'[1]unit-ditch-irr-crop'!$E$2:$E$1048576,"Globe Equity Decree",'[1]unit-ditch-irr-crop'!$K$2:$K$1048576,$B40)</f>
        <v>0</v>
      </c>
      <c r="AF40" s="8">
        <f>SUMIFS('[1]unit-ditch-irr-crop'!$M$2:$M$1048576,'[1]unit-ditch-irr-crop'!$I$2:$I$1048576,"VV",'[1]unit-ditch-irr-crop'!$E$2:$E$1048576,"Globe Equity Decree",'[1]unit-ditch-irr-crop'!$K$2:$K$1048576,$B40)</f>
        <v>0</v>
      </c>
    </row>
    <row r="41" spans="1:36" x14ac:dyDescent="0.25">
      <c r="B41" s="11" t="s">
        <v>178</v>
      </c>
      <c r="D41" s="12">
        <f>SUM(D4:D40)</f>
        <v>189</v>
      </c>
      <c r="E41" s="13">
        <f>SUM(E4:E40)</f>
        <v>501.50089351172147</v>
      </c>
      <c r="G41" s="12">
        <f>SUM(G4:G40)</f>
        <v>1053</v>
      </c>
      <c r="H41" s="13">
        <f>SUM(H4:H40)</f>
        <v>4968.4059865357922</v>
      </c>
      <c r="J41" s="12">
        <f>SUM(J4:J40)</f>
        <v>375</v>
      </c>
      <c r="K41" s="13">
        <f>SUM(K4:K40)</f>
        <v>1098.9395003673483</v>
      </c>
      <c r="M41" s="12">
        <f>SUM(M4:M40)</f>
        <v>357</v>
      </c>
      <c r="N41" s="13">
        <f>SUM(N4:N40)</f>
        <v>2628.3681779705889</v>
      </c>
      <c r="P41" s="12">
        <f>SUM(P4:P40)</f>
        <v>243</v>
      </c>
      <c r="Q41" s="13">
        <f>SUM(Q4:Q40)</f>
        <v>1858.0764956344556</v>
      </c>
      <c r="S41" s="12">
        <f>SUM(S4:S40)</f>
        <v>300</v>
      </c>
      <c r="T41" s="13">
        <f>SUM(T4:T40)</f>
        <v>734.5142881544532</v>
      </c>
      <c r="V41" s="12">
        <f>SUM(V4:V40)</f>
        <v>172</v>
      </c>
      <c r="W41" s="13">
        <f>SUM(W4:W40)</f>
        <v>2872.2018561099608</v>
      </c>
      <c r="Y41" s="12">
        <f>SUM(Y4:Y40)</f>
        <v>132</v>
      </c>
      <c r="Z41" s="13">
        <f>SUM(Z4:Z40)</f>
        <v>287.99869938152551</v>
      </c>
      <c r="AB41" s="12">
        <f>SUM(AB4:AB40)</f>
        <v>26</v>
      </c>
      <c r="AC41" s="13">
        <f>SUM(AC4:AC40)</f>
        <v>360.46525081897903</v>
      </c>
      <c r="AE41" s="12">
        <f>SUM(AE4:AE40)</f>
        <v>225</v>
      </c>
      <c r="AF41" s="13">
        <f>SUM(AF4:AF40)</f>
        <v>1613.7886816316613</v>
      </c>
      <c r="AI41" s="8"/>
    </row>
    <row r="42" spans="1:36" x14ac:dyDescent="0.25"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H42" s="8"/>
    </row>
    <row r="44" spans="1:36" x14ac:dyDescent="0.25">
      <c r="B44" s="6" t="s">
        <v>179</v>
      </c>
      <c r="D44" s="6" t="s">
        <v>150</v>
      </c>
      <c r="E44" s="6" t="s">
        <v>151</v>
      </c>
      <c r="G44" s="6" t="s">
        <v>150</v>
      </c>
      <c r="H44" s="6" t="s">
        <v>151</v>
      </c>
      <c r="J44" s="6" t="s">
        <v>150</v>
      </c>
      <c r="K44" s="6" t="s">
        <v>151</v>
      </c>
      <c r="M44" s="6" t="s">
        <v>150</v>
      </c>
      <c r="N44" s="6" t="s">
        <v>151</v>
      </c>
      <c r="P44" s="6" t="s">
        <v>150</v>
      </c>
      <c r="Q44" s="6" t="s">
        <v>151</v>
      </c>
      <c r="S44" s="6" t="s">
        <v>150</v>
      </c>
      <c r="T44" s="6" t="s">
        <v>151</v>
      </c>
      <c r="V44" s="6" t="s">
        <v>150</v>
      </c>
      <c r="W44" s="6" t="s">
        <v>151</v>
      </c>
      <c r="Y44" s="6" t="s">
        <v>150</v>
      </c>
      <c r="Z44" s="6" t="s">
        <v>151</v>
      </c>
      <c r="AB44" s="6" t="s">
        <v>150</v>
      </c>
      <c r="AC44" s="6" t="s">
        <v>151</v>
      </c>
      <c r="AE44" s="6" t="s">
        <v>150</v>
      </c>
      <c r="AF44" s="6" t="s">
        <v>151</v>
      </c>
    </row>
    <row r="45" spans="1:36" x14ac:dyDescent="0.25">
      <c r="B45" s="7">
        <v>0</v>
      </c>
      <c r="D45">
        <f>COUNTIFS('[1]unit-ditch-irr-crop'!$I$2:$I$1048576,"AA",'[1]unit-ditch-irr-crop'!$N$2:$N$1048576,$B45)</f>
        <v>0</v>
      </c>
      <c r="E45" s="8">
        <f>SUMIFS('[1]unit-ditch-irr-crop'!$M$2:$M$1048576,'[1]unit-ditch-irr-crop'!$I$2:$I$1048576,"AA",'[1]unit-ditch-irr-crop'!$N$2:$N$1048576,$B45)</f>
        <v>0</v>
      </c>
      <c r="G45">
        <f>COUNTIFS('[1]unit-ditch-irr-crop'!$I$2:$I$1048576,"CG",'[1]unit-ditch-irr-crop'!$N$2:$N$1048576,$B45)</f>
        <v>0</v>
      </c>
      <c r="H45" s="8">
        <f>SUMIFS('[1]unit-ditch-irr-crop'!$M$2:$M$1048576,'[1]unit-ditch-irr-crop'!$I$2:$I$1048576,"CG",'[1]unit-ditch-irr-crop'!$N$2:$N$1048576,$B45)</f>
        <v>0</v>
      </c>
      <c r="J45">
        <f>COUNTIFS('[1]unit-ditch-irr-crop'!$I$2:$I$1048576,"GW",'[1]unit-ditch-irr-crop'!$N$2:$N$1048576,$B45)</f>
        <v>0</v>
      </c>
      <c r="K45" s="8">
        <f>SUMIFS('[1]unit-ditch-irr-crop'!$M$2:$M$1048576,'[1]unit-ditch-irr-crop'!$I$2:$I$1048576,"GW",'[1]unit-ditch-irr-crop'!$N$2:$N$1048576,$B45)</f>
        <v>0</v>
      </c>
      <c r="M45">
        <f>COUNTIFS('[1]unit-ditch-irr-crop'!$I$2:$I$1048576,"LU",'[1]unit-ditch-irr-crop'!$N$2:$N$1048576,$B45)</f>
        <v>0</v>
      </c>
      <c r="N45" s="8">
        <f>SUMIFS('[1]unit-ditch-irr-crop'!$M$2:$M$1048576,'[1]unit-ditch-irr-crop'!$I$2:$I$1048576,"LU",'[1]unit-ditch-irr-crop'!$N$2:$N$1048576,$B45)</f>
        <v>0</v>
      </c>
      <c r="P45">
        <f>COUNTIFS('[1]unit-ditch-irr-crop'!$I$2:$I$1048576,"RR",'[1]unit-ditch-irr-crop'!$N$2:$N$1048576,$B45)</f>
        <v>0</v>
      </c>
      <c r="Q45" s="8">
        <f>SUMIFS('[1]unit-ditch-irr-crop'!$M$2:$M$1048576,'[1]unit-ditch-irr-crop'!$I$2:$I$1048576,"RR",'[1]unit-ditch-irr-crop'!$N$2:$N$1048576,$B45)</f>
        <v>0</v>
      </c>
      <c r="S45">
        <f>COUNTIFS('[1]unit-ditch-irr-crop'!$I$2:$I$1048576,"RS",'[1]unit-ditch-irr-crop'!$N$2:$N$1048576,$B45)</f>
        <v>0</v>
      </c>
      <c r="T45" s="8">
        <f>SUMIFS('[1]unit-ditch-irr-crop'!$M$2:$M$1048576,'[1]unit-ditch-irr-crop'!$I$2:$I$1048576,"RS",'[1]unit-ditch-irr-crop'!$N$2:$N$1048576,$B45)</f>
        <v>0</v>
      </c>
      <c r="V45">
        <f>COUNTIFS('[1]unit-ditch-irr-crop'!$I$2:$I$1048576,"SS",'[1]unit-ditch-irr-crop'!$N$2:$N$1048576,$B45)</f>
        <v>0</v>
      </c>
      <c r="W45" s="8">
        <f>SUMIFS('[1]unit-ditch-irr-crop'!$M$2:$M$1048576,'[1]unit-ditch-irr-crop'!$I$2:$I$1048576,"SS",'[1]unit-ditch-irr-crop'!$N$2:$N$1048576,$B45)</f>
        <v>0</v>
      </c>
      <c r="Y45">
        <f>COUNTIFS('[1]unit-ditch-irr-crop'!$I$2:$I$1048576,"UG",'[1]unit-ditch-irr-crop'!$N$2:$N$1048576,$B45)</f>
        <v>0</v>
      </c>
      <c r="Z45" s="8">
        <f>SUMIFS('[1]unit-ditch-irr-crop'!$M$2:$M$1048576,'[1]unit-ditch-irr-crop'!$I$2:$I$1048576,"UG",'[1]unit-ditch-irr-crop'!$N$2:$N$1048576,$B45)</f>
        <v>0</v>
      </c>
      <c r="AB45">
        <f>COUNTIFS('[1]unit-ditch-irr-crop'!$I$2:$I$1048576,"VV",'[1]unit-ditch-irr-crop'!$E$2:$E$1048576,"Arizona v California",'[1]unit-ditch-irr-crop'!$N$2:$N$1048576,$B45)</f>
        <v>0</v>
      </c>
      <c r="AC45" s="8">
        <f>SUMIFS('[1]unit-ditch-irr-crop'!$M$2:$M$1048576,'[1]unit-ditch-irr-crop'!$I$2:$I$1048576,"VV",'[1]unit-ditch-irr-crop'!$E$2:$E$1048576,"Arizona v California",'[1]unit-ditch-irr-crop'!$N$2:$N$1048576,$B45)</f>
        <v>0</v>
      </c>
      <c r="AE45">
        <f>COUNTIFS('[1]unit-ditch-irr-crop'!$I$2:$I$1048576,"VV",'[1]unit-ditch-irr-crop'!$E$2:$E$1048576,"Globe Equity Decree",'[1]unit-ditch-irr-crop'!$N$2:$N$1048576,$B45)</f>
        <v>0</v>
      </c>
      <c r="AF45" s="8">
        <f>SUMIFS('[1]unit-ditch-irr-crop'!$M$2:$M$1048576,'[1]unit-ditch-irr-crop'!$I$2:$I$1048576,"VV",'[1]unit-ditch-irr-crop'!$E$2:$E$1048576,"Globe Equity Decree",'[1]unit-ditch-irr-crop'!$N$2:$N$1048576,$B45)</f>
        <v>0</v>
      </c>
    </row>
    <row r="46" spans="1:36" x14ac:dyDescent="0.25">
      <c r="B46" s="7">
        <v>1</v>
      </c>
      <c r="D46">
        <f>COUNTIFS('[1]unit-ditch-irr-crop'!$I$2:$I$1048576,"AA",'[1]unit-ditch-irr-crop'!$N$2:$N$1048576,$B46)</f>
        <v>47</v>
      </c>
      <c r="E46" s="8">
        <f>SUMIFS('[1]unit-ditch-irr-crop'!$M$2:$M$1048576,'[1]unit-ditch-irr-crop'!$I$2:$I$1048576,"AA",'[1]unit-ditch-irr-crop'!$N$2:$N$1048576,$B46)</f>
        <v>141.56192306863332</v>
      </c>
      <c r="G46">
        <f>COUNTIFS('[1]unit-ditch-irr-crop'!$I$2:$I$1048576,"CG",'[1]unit-ditch-irr-crop'!$N$2:$N$1048576,$B46)</f>
        <v>291</v>
      </c>
      <c r="H46" s="8">
        <f>SUMIFS('[1]unit-ditch-irr-crop'!$M$2:$M$1048576,'[1]unit-ditch-irr-crop'!$I$2:$I$1048576,"CG",'[1]unit-ditch-irr-crop'!$N$2:$N$1048576,$B46)</f>
        <v>1878.6946920872479</v>
      </c>
      <c r="J46">
        <f>COUNTIFS('[1]unit-ditch-irr-crop'!$I$2:$I$1048576,"GW",'[1]unit-ditch-irr-crop'!$N$2:$N$1048576,$B46)</f>
        <v>119</v>
      </c>
      <c r="K46" s="8">
        <f>SUMIFS('[1]unit-ditch-irr-crop'!$M$2:$M$1048576,'[1]unit-ditch-irr-crop'!$I$2:$I$1048576,"GW",'[1]unit-ditch-irr-crop'!$N$2:$N$1048576,$B46)</f>
        <v>619.92066501833006</v>
      </c>
      <c r="M46">
        <f>COUNTIFS('[1]unit-ditch-irr-crop'!$I$2:$I$1048576,"LU",'[1]unit-ditch-irr-crop'!$N$2:$N$1048576,$B46)</f>
        <v>30</v>
      </c>
      <c r="N46" s="8">
        <f>SUMIFS('[1]unit-ditch-irr-crop'!$M$2:$M$1048576,'[1]unit-ditch-irr-crop'!$I$2:$I$1048576,"LU",'[1]unit-ditch-irr-crop'!$N$2:$N$1048576,$B46)</f>
        <v>143.12733012354562</v>
      </c>
      <c r="P46">
        <f>COUNTIFS('[1]unit-ditch-irr-crop'!$I$2:$I$1048576,"RR",'[1]unit-ditch-irr-crop'!$N$2:$N$1048576,$B46)</f>
        <v>13</v>
      </c>
      <c r="Q46" s="8">
        <f>SUMIFS('[1]unit-ditch-irr-crop'!$M$2:$M$1048576,'[1]unit-ditch-irr-crop'!$I$2:$I$1048576,"RR",'[1]unit-ditch-irr-crop'!$N$2:$N$1048576,$B46)</f>
        <v>115.85581115580648</v>
      </c>
      <c r="S46">
        <f>COUNTIFS('[1]unit-ditch-irr-crop'!$I$2:$I$1048576,"RS",'[1]unit-ditch-irr-crop'!$N$2:$N$1048576,$B46)</f>
        <v>84</v>
      </c>
      <c r="T46" s="8">
        <f>SUMIFS('[1]unit-ditch-irr-crop'!$M$2:$M$1048576,'[1]unit-ditch-irr-crop'!$I$2:$I$1048576,"RS",'[1]unit-ditch-irr-crop'!$N$2:$N$1048576,$B46)</f>
        <v>307.75835092278453</v>
      </c>
      <c r="V46">
        <f>COUNTIFS('[1]unit-ditch-irr-crop'!$I$2:$I$1048576,"SS",'[1]unit-ditch-irr-crop'!$N$2:$N$1048576,$B46)</f>
        <v>2</v>
      </c>
      <c r="W46" s="8">
        <f>SUMIFS('[1]unit-ditch-irr-crop'!$M$2:$M$1048576,'[1]unit-ditch-irr-crop'!$I$2:$I$1048576,"SS",'[1]unit-ditch-irr-crop'!$N$2:$N$1048576,$B46)</f>
        <v>128.59331901914669</v>
      </c>
      <c r="Y46">
        <f>COUNTIFS('[1]unit-ditch-irr-crop'!$I$2:$I$1048576,"UG",'[1]unit-ditch-irr-crop'!$N$2:$N$1048576,$B46)</f>
        <v>27</v>
      </c>
      <c r="Z46" s="8">
        <f>SUMIFS('[1]unit-ditch-irr-crop'!$M$2:$M$1048576,'[1]unit-ditch-irr-crop'!$I$2:$I$1048576,"UG",'[1]unit-ditch-irr-crop'!$N$2:$N$1048576,$B46)</f>
        <v>47.16865643277891</v>
      </c>
      <c r="AB46">
        <f>COUNTIFS('[1]unit-ditch-irr-crop'!$I$2:$I$1048576,"VV",'[1]unit-ditch-irr-crop'!$E$2:$E$1048576,"Arizona v California",'[1]unit-ditch-irr-crop'!$N$2:$N$1048576,$B46)</f>
        <v>7</v>
      </c>
      <c r="AC46" s="8">
        <f>SUMIFS('[1]unit-ditch-irr-crop'!$M$2:$M$1048576,'[1]unit-ditch-irr-crop'!$I$2:$I$1048576,"VV",'[1]unit-ditch-irr-crop'!$E$2:$E$1048576,"Arizona v California",'[1]unit-ditch-irr-crop'!$N$2:$N$1048576,$B46)</f>
        <v>35.544498151555935</v>
      </c>
      <c r="AE46">
        <f>COUNTIFS('[1]unit-ditch-irr-crop'!$I$2:$I$1048576,"VV",'[1]unit-ditch-irr-crop'!$E$2:$E$1048576,"Globe Equity Decree",'[1]unit-ditch-irr-crop'!$N$2:$N$1048576,$B46)</f>
        <v>173</v>
      </c>
      <c r="AF46" s="8">
        <f>SUMIFS('[1]unit-ditch-irr-crop'!$M$2:$M$1048576,'[1]unit-ditch-irr-crop'!$I$2:$I$1048576,"VV",'[1]unit-ditch-irr-crop'!$E$2:$E$1048576,"Globe Equity Decree",'[1]unit-ditch-irr-crop'!$N$2:$N$1048576,$B46)</f>
        <v>1450.0774712635171</v>
      </c>
    </row>
    <row r="47" spans="1:36" x14ac:dyDescent="0.25">
      <c r="B47" s="7">
        <v>2</v>
      </c>
      <c r="D47">
        <f>COUNTIFS('[1]unit-ditch-irr-crop'!$I$2:$I$1048576,"AA",'[1]unit-ditch-irr-crop'!$N$2:$N$1048576,$B47)</f>
        <v>39</v>
      </c>
      <c r="E47" s="8">
        <f>SUMIFS('[1]unit-ditch-irr-crop'!$M$2:$M$1048576,'[1]unit-ditch-irr-crop'!$I$2:$I$1048576,"AA",'[1]unit-ditch-irr-crop'!$N$2:$N$1048576,$B47)</f>
        <v>15.268881434281454</v>
      </c>
      <c r="G47">
        <f>COUNTIFS('[1]unit-ditch-irr-crop'!$I$2:$I$1048576,"CG",'[1]unit-ditch-irr-crop'!$N$2:$N$1048576,$B47)</f>
        <v>151</v>
      </c>
      <c r="H47" s="8">
        <f>SUMIFS('[1]unit-ditch-irr-crop'!$M$2:$M$1048576,'[1]unit-ditch-irr-crop'!$I$2:$I$1048576,"CG",'[1]unit-ditch-irr-crop'!$N$2:$N$1048576,$B47)</f>
        <v>173.68859945614102</v>
      </c>
      <c r="J47">
        <f>COUNTIFS('[1]unit-ditch-irr-crop'!$I$2:$I$1048576,"GW",'[1]unit-ditch-irr-crop'!$N$2:$N$1048576,$B47)</f>
        <v>68</v>
      </c>
      <c r="K47" s="8">
        <f>SUMIFS('[1]unit-ditch-irr-crop'!$M$2:$M$1048576,'[1]unit-ditch-irr-crop'!$I$2:$I$1048576,"GW",'[1]unit-ditch-irr-crop'!$N$2:$N$1048576,$B47)</f>
        <v>92.865439221403463</v>
      </c>
      <c r="M47">
        <f>COUNTIFS('[1]unit-ditch-irr-crop'!$I$2:$I$1048576,"LU",'[1]unit-ditch-irr-crop'!$N$2:$N$1048576,$B47)</f>
        <v>21</v>
      </c>
      <c r="N47" s="8">
        <f>SUMIFS('[1]unit-ditch-irr-crop'!$M$2:$M$1048576,'[1]unit-ditch-irr-crop'!$I$2:$I$1048576,"LU",'[1]unit-ditch-irr-crop'!$N$2:$N$1048576,$B47)</f>
        <v>40.257503424749565</v>
      </c>
      <c r="P47">
        <f>COUNTIFS('[1]unit-ditch-irr-crop'!$I$2:$I$1048576,"RR",'[1]unit-ditch-irr-crop'!$N$2:$N$1048576,$B47)</f>
        <v>1</v>
      </c>
      <c r="Q47" s="8">
        <f>SUMIFS('[1]unit-ditch-irr-crop'!$M$2:$M$1048576,'[1]unit-ditch-irr-crop'!$I$2:$I$1048576,"RR",'[1]unit-ditch-irr-crop'!$N$2:$N$1048576,$B47)</f>
        <v>0.34154771112919702</v>
      </c>
      <c r="S47">
        <f>COUNTIFS('[1]unit-ditch-irr-crop'!$I$2:$I$1048576,"RS",'[1]unit-ditch-irr-crop'!$N$2:$N$1048576,$B47)</f>
        <v>14</v>
      </c>
      <c r="T47" s="8">
        <f>SUMIFS('[1]unit-ditch-irr-crop'!$M$2:$M$1048576,'[1]unit-ditch-irr-crop'!$I$2:$I$1048576,"RS",'[1]unit-ditch-irr-crop'!$N$2:$N$1048576,$B47)</f>
        <v>25.832256910230193</v>
      </c>
      <c r="V47">
        <f>COUNTIFS('[1]unit-ditch-irr-crop'!$I$2:$I$1048576,"SS",'[1]unit-ditch-irr-crop'!$N$2:$N$1048576,$B47)</f>
        <v>12</v>
      </c>
      <c r="W47" s="8">
        <f>SUMIFS('[1]unit-ditch-irr-crop'!$M$2:$M$1048576,'[1]unit-ditch-irr-crop'!$I$2:$I$1048576,"SS",'[1]unit-ditch-irr-crop'!$N$2:$N$1048576,$B47)</f>
        <v>625.5714509233037</v>
      </c>
      <c r="Y47">
        <f>COUNTIFS('[1]unit-ditch-irr-crop'!$I$2:$I$1048576,"UG",'[1]unit-ditch-irr-crop'!$N$2:$N$1048576,$B47)</f>
        <v>30</v>
      </c>
      <c r="Z47" s="8">
        <f>SUMIFS('[1]unit-ditch-irr-crop'!$M$2:$M$1048576,'[1]unit-ditch-irr-crop'!$I$2:$I$1048576,"UG",'[1]unit-ditch-irr-crop'!$N$2:$N$1048576,$B47)</f>
        <v>32.983512079636363</v>
      </c>
      <c r="AB47">
        <f>COUNTIFS('[1]unit-ditch-irr-crop'!$I$2:$I$1048576,"VV",'[1]unit-ditch-irr-crop'!$E$2:$E$1048576,"Arizona v California",'[1]unit-ditch-irr-crop'!$N$2:$N$1048576,$B47)</f>
        <v>3</v>
      </c>
      <c r="AC47" s="8">
        <f>SUMIFS('[1]unit-ditch-irr-crop'!$M$2:$M$1048576,'[1]unit-ditch-irr-crop'!$I$2:$I$1048576,"VV",'[1]unit-ditch-irr-crop'!$E$2:$E$1048576,"Arizona v California",'[1]unit-ditch-irr-crop'!$N$2:$N$1048576,$B47)</f>
        <v>4.9761893654922833</v>
      </c>
      <c r="AE47">
        <f>COUNTIFS('[1]unit-ditch-irr-crop'!$I$2:$I$1048576,"VV",'[1]unit-ditch-irr-crop'!$E$2:$E$1048576,"Globe Equity Decree",'[1]unit-ditch-irr-crop'!$N$2:$N$1048576,$B47)</f>
        <v>13</v>
      </c>
      <c r="AF47" s="8">
        <f>SUMIFS('[1]unit-ditch-irr-crop'!$M$2:$M$1048576,'[1]unit-ditch-irr-crop'!$I$2:$I$1048576,"VV",'[1]unit-ditch-irr-crop'!$E$2:$E$1048576,"Globe Equity Decree",'[1]unit-ditch-irr-crop'!$N$2:$N$1048576,$B47)</f>
        <v>173.35949571562173</v>
      </c>
    </row>
    <row r="48" spans="1:36" x14ac:dyDescent="0.25">
      <c r="B48" s="7">
        <v>3</v>
      </c>
      <c r="D48">
        <f>COUNTIFS('[1]unit-ditch-irr-crop'!$I$2:$I$1048576,"AA",'[1]unit-ditch-irr-crop'!$N$2:$N$1048576,$B48)</f>
        <v>1</v>
      </c>
      <c r="E48" s="8">
        <f>SUMIFS('[1]unit-ditch-irr-crop'!$M$2:$M$1048576,'[1]unit-ditch-irr-crop'!$I$2:$I$1048576,"AA",'[1]unit-ditch-irr-crop'!$N$2:$N$1048576,$B48)</f>
        <v>0.187996917963381</v>
      </c>
      <c r="G48">
        <f>COUNTIFS('[1]unit-ditch-irr-crop'!$I$2:$I$1048576,"CG",'[1]unit-ditch-irr-crop'!$N$2:$N$1048576,$B48)</f>
        <v>38</v>
      </c>
      <c r="H48" s="8">
        <f>SUMIFS('[1]unit-ditch-irr-crop'!$M$2:$M$1048576,'[1]unit-ditch-irr-crop'!$I$2:$I$1048576,"CG",'[1]unit-ditch-irr-crop'!$N$2:$N$1048576,$B48)</f>
        <v>7.1063034088378068</v>
      </c>
      <c r="J48">
        <f>COUNTIFS('[1]unit-ditch-irr-crop'!$I$2:$I$1048576,"GW",'[1]unit-ditch-irr-crop'!$N$2:$N$1048576,$B48)</f>
        <v>7</v>
      </c>
      <c r="K48" s="8">
        <f>SUMIFS('[1]unit-ditch-irr-crop'!$M$2:$M$1048576,'[1]unit-ditch-irr-crop'!$I$2:$I$1048576,"GW",'[1]unit-ditch-irr-crop'!$N$2:$N$1048576,$B48)</f>
        <v>3.9614165235914554</v>
      </c>
      <c r="M48">
        <f>COUNTIFS('[1]unit-ditch-irr-crop'!$I$2:$I$1048576,"LU",'[1]unit-ditch-irr-crop'!$N$2:$N$1048576,$B48)</f>
        <v>0</v>
      </c>
      <c r="N48" s="8">
        <f>SUMIFS('[1]unit-ditch-irr-crop'!$M$2:$M$1048576,'[1]unit-ditch-irr-crop'!$I$2:$I$1048576,"LU",'[1]unit-ditch-irr-crop'!$N$2:$N$1048576,$B48)</f>
        <v>0</v>
      </c>
      <c r="P48">
        <f>COUNTIFS('[1]unit-ditch-irr-crop'!$I$2:$I$1048576,"RR",'[1]unit-ditch-irr-crop'!$N$2:$N$1048576,$B48)</f>
        <v>0</v>
      </c>
      <c r="Q48" s="8">
        <f>SUMIFS('[1]unit-ditch-irr-crop'!$M$2:$M$1048576,'[1]unit-ditch-irr-crop'!$I$2:$I$1048576,"RR",'[1]unit-ditch-irr-crop'!$N$2:$N$1048576,$B48)</f>
        <v>0</v>
      </c>
      <c r="S48">
        <f>COUNTIFS('[1]unit-ditch-irr-crop'!$I$2:$I$1048576,"RS",'[1]unit-ditch-irr-crop'!$N$2:$N$1048576,$B48)</f>
        <v>9</v>
      </c>
      <c r="T48" s="8">
        <f>SUMIFS('[1]unit-ditch-irr-crop'!$M$2:$M$1048576,'[1]unit-ditch-irr-crop'!$I$2:$I$1048576,"RS",'[1]unit-ditch-irr-crop'!$N$2:$N$1048576,$B48)</f>
        <v>4.9996515624409481</v>
      </c>
      <c r="V48">
        <f>COUNTIFS('[1]unit-ditch-irr-crop'!$I$2:$I$1048576,"SS",'[1]unit-ditch-irr-crop'!$N$2:$N$1048576,$B48)</f>
        <v>0</v>
      </c>
      <c r="W48" s="8">
        <f>SUMIFS('[1]unit-ditch-irr-crop'!$M$2:$M$1048576,'[1]unit-ditch-irr-crop'!$I$2:$I$1048576,"SS",'[1]unit-ditch-irr-crop'!$N$2:$N$1048576,$B48)</f>
        <v>0</v>
      </c>
      <c r="Y48">
        <f>COUNTIFS('[1]unit-ditch-irr-crop'!$I$2:$I$1048576,"UG",'[1]unit-ditch-irr-crop'!$N$2:$N$1048576,$B48)</f>
        <v>2</v>
      </c>
      <c r="Z48" s="8">
        <f>SUMIFS('[1]unit-ditch-irr-crop'!$M$2:$M$1048576,'[1]unit-ditch-irr-crop'!$I$2:$I$1048576,"UG",'[1]unit-ditch-irr-crop'!$N$2:$N$1048576,$B48)</f>
        <v>0.28250550750857101</v>
      </c>
      <c r="AB48">
        <f>COUNTIFS('[1]unit-ditch-irr-crop'!$I$2:$I$1048576,"VV",'[1]unit-ditch-irr-crop'!$E$2:$E$1048576,"Arizona v California",'[1]unit-ditch-irr-crop'!$N$2:$N$1048576,$B48)</f>
        <v>2</v>
      </c>
      <c r="AC48" s="8">
        <f>SUMIFS('[1]unit-ditch-irr-crop'!$M$2:$M$1048576,'[1]unit-ditch-irr-crop'!$I$2:$I$1048576,"VV",'[1]unit-ditch-irr-crop'!$E$2:$E$1048576,"Arizona v California",'[1]unit-ditch-irr-crop'!$N$2:$N$1048576,$B48)</f>
        <v>19.182429818510954</v>
      </c>
      <c r="AE48">
        <f>COUNTIFS('[1]unit-ditch-irr-crop'!$I$2:$I$1048576,"VV",'[1]unit-ditch-irr-crop'!$E$2:$E$1048576,"Globe Equity Decree",'[1]unit-ditch-irr-crop'!$N$2:$N$1048576,$B48)</f>
        <v>12</v>
      </c>
      <c r="AF48" s="8">
        <f>SUMIFS('[1]unit-ditch-irr-crop'!$M$2:$M$1048576,'[1]unit-ditch-irr-crop'!$I$2:$I$1048576,"VV",'[1]unit-ditch-irr-crop'!$E$2:$E$1048576,"Globe Equity Decree",'[1]unit-ditch-irr-crop'!$N$2:$N$1048576,$B48)</f>
        <v>314.31778059417502</v>
      </c>
    </row>
    <row r="49" spans="1:36" x14ac:dyDescent="0.25">
      <c r="B49" s="7">
        <v>4</v>
      </c>
      <c r="D49">
        <f>COUNTIFS('[1]unit-ditch-irr-crop'!$I$2:$I$1048576,"AA",'[1]unit-ditch-irr-crop'!$N$2:$N$1048576,$B49)</f>
        <v>75</v>
      </c>
      <c r="E49" s="8">
        <f>SUMIFS('[1]unit-ditch-irr-crop'!$M$2:$M$1048576,'[1]unit-ditch-irr-crop'!$I$2:$I$1048576,"AA",'[1]unit-ditch-irr-crop'!$N$2:$N$1048576,$B49)</f>
        <v>227.45455128272482</v>
      </c>
      <c r="G49">
        <f>COUNTIFS('[1]unit-ditch-irr-crop'!$I$2:$I$1048576,"CG",'[1]unit-ditch-irr-crop'!$N$2:$N$1048576,$B49)</f>
        <v>574</v>
      </c>
      <c r="H49" s="8">
        <f>SUMIFS('[1]unit-ditch-irr-crop'!$M$2:$M$1048576,'[1]unit-ditch-irr-crop'!$I$2:$I$1048576,"CG",'[1]unit-ditch-irr-crop'!$N$2:$N$1048576,$B49)</f>
        <v>3054.0524740922701</v>
      </c>
      <c r="J49">
        <f>COUNTIFS('[1]unit-ditch-irr-crop'!$I$2:$I$1048576,"GW",'[1]unit-ditch-irr-crop'!$N$2:$N$1048576,$B49)</f>
        <v>180</v>
      </c>
      <c r="K49" s="8">
        <f>SUMIFS('[1]unit-ditch-irr-crop'!$M$2:$M$1048576,'[1]unit-ditch-irr-crop'!$I$2:$I$1048576,"GW",'[1]unit-ditch-irr-crop'!$N$2:$N$1048576,$B49)</f>
        <v>486.0915843115709</v>
      </c>
      <c r="M49">
        <f>COUNTIFS('[1]unit-ditch-irr-crop'!$I$2:$I$1048576,"LU",'[1]unit-ditch-irr-crop'!$N$2:$N$1048576,$B49)</f>
        <v>215</v>
      </c>
      <c r="N49" s="8">
        <f>SUMIFS('[1]unit-ditch-irr-crop'!$M$2:$M$1048576,'[1]unit-ditch-irr-crop'!$I$2:$I$1048576,"LU",'[1]unit-ditch-irr-crop'!$N$2:$N$1048576,$B49)</f>
        <v>1404.0874305646519</v>
      </c>
      <c r="P49">
        <f>COUNTIFS('[1]unit-ditch-irr-crop'!$I$2:$I$1048576,"RR",'[1]unit-ditch-irr-crop'!$N$2:$N$1048576,$B49)</f>
        <v>208</v>
      </c>
      <c r="Q49" s="8">
        <f>SUMIFS('[1]unit-ditch-irr-crop'!$M$2:$M$1048576,'[1]unit-ditch-irr-crop'!$I$2:$I$1048576,"RR",'[1]unit-ditch-irr-crop'!$N$2:$N$1048576,$B49)</f>
        <v>1464.9851968274718</v>
      </c>
      <c r="S49">
        <f>COUNTIFS('[1]unit-ditch-irr-crop'!$I$2:$I$1048576,"RS",'[1]unit-ditch-irr-crop'!$N$2:$N$1048576,$B49)</f>
        <v>166</v>
      </c>
      <c r="T49" s="8">
        <f>SUMIFS('[1]unit-ditch-irr-crop'!$M$2:$M$1048576,'[1]unit-ditch-irr-crop'!$I$2:$I$1048576,"RS",'[1]unit-ditch-irr-crop'!$N$2:$N$1048576,$B49)</f>
        <v>308.82785322550825</v>
      </c>
      <c r="V49">
        <f>COUNTIFS('[1]unit-ditch-irr-crop'!$I$2:$I$1048576,"SS",'[1]unit-ditch-irr-crop'!$N$2:$N$1048576,$B49)</f>
        <v>162</v>
      </c>
      <c r="W49" s="8">
        <f>SUMIFS('[1]unit-ditch-irr-crop'!$M$2:$M$1048576,'[1]unit-ditch-irr-crop'!$I$2:$I$1048576,"SS",'[1]unit-ditch-irr-crop'!$N$2:$N$1048576,$B49)</f>
        <v>2533.3981547449184</v>
      </c>
      <c r="Y49">
        <f>COUNTIFS('[1]unit-ditch-irr-crop'!$I$2:$I$1048576,"UG",'[1]unit-ditch-irr-crop'!$N$2:$N$1048576,$B49)</f>
        <v>70</v>
      </c>
      <c r="Z49" s="8">
        <f>SUMIFS('[1]unit-ditch-irr-crop'!$M$2:$M$1048576,'[1]unit-ditch-irr-crop'!$I$2:$I$1048576,"UG",'[1]unit-ditch-irr-crop'!$N$2:$N$1048576,$B49)</f>
        <v>207.27173703712322</v>
      </c>
      <c r="AB49">
        <f>COUNTIFS('[1]unit-ditch-irr-crop'!$I$2:$I$1048576,"VV",'[1]unit-ditch-irr-crop'!$E$2:$E$1048576,"Arizona v California",'[1]unit-ditch-irr-crop'!$N$2:$N$1048576,$B49)</f>
        <v>17</v>
      </c>
      <c r="AC49" s="8">
        <f>SUMIFS('[1]unit-ditch-irr-crop'!$M$2:$M$1048576,'[1]unit-ditch-irr-crop'!$I$2:$I$1048576,"VV",'[1]unit-ditch-irr-crop'!$E$2:$E$1048576,"Arizona v California",'[1]unit-ditch-irr-crop'!$N$2:$N$1048576,$B49)</f>
        <v>318.84965839551467</v>
      </c>
      <c r="AE49">
        <f>COUNTIFS('[1]unit-ditch-irr-crop'!$I$2:$I$1048576,"VV",'[1]unit-ditch-irr-crop'!$E$2:$E$1048576,"Globe Equity Decree",'[1]unit-ditch-irr-crop'!$N$2:$N$1048576,$B49)</f>
        <v>75</v>
      </c>
      <c r="AF49" s="8">
        <f>SUMIFS('[1]unit-ditch-irr-crop'!$M$2:$M$1048576,'[1]unit-ditch-irr-crop'!$I$2:$I$1048576,"VV",'[1]unit-ditch-irr-crop'!$E$2:$E$1048576,"Globe Equity Decree",'[1]unit-ditch-irr-crop'!$N$2:$N$1048576,$B49)</f>
        <v>533.84222127441046</v>
      </c>
    </row>
    <row r="50" spans="1:36" x14ac:dyDescent="0.25">
      <c r="B50" s="7">
        <v>5</v>
      </c>
      <c r="D50">
        <f>COUNTIFS('[1]unit-ditch-irr-crop'!$I$2:$I$1048576,"AA",'[1]unit-ditch-irr-crop'!$N$2:$N$1048576,$B50)</f>
        <v>9</v>
      </c>
      <c r="E50" s="8">
        <f>SUMIFS('[1]unit-ditch-irr-crop'!$M$2:$M$1048576,'[1]unit-ditch-irr-crop'!$I$2:$I$1048576,"AA",'[1]unit-ditch-irr-crop'!$N$2:$N$1048576,$B50)</f>
        <v>69.790834934369087</v>
      </c>
      <c r="G50">
        <f>COUNTIFS('[1]unit-ditch-irr-crop'!$I$2:$I$1048576,"CG",'[1]unit-ditch-irr-crop'!$N$2:$N$1048576,$B50)</f>
        <v>11</v>
      </c>
      <c r="H50" s="8">
        <f>SUMIFS('[1]unit-ditch-irr-crop'!$M$2:$M$1048576,'[1]unit-ditch-irr-crop'!$I$2:$I$1048576,"CG",'[1]unit-ditch-irr-crop'!$N$2:$N$1048576,$B50)</f>
        <v>77.093885745449725</v>
      </c>
      <c r="J50">
        <f>COUNTIFS('[1]unit-ditch-irr-crop'!$I$2:$I$1048576,"GW",'[1]unit-ditch-irr-crop'!$N$2:$N$1048576,$B50)</f>
        <v>0</v>
      </c>
      <c r="K50" s="8">
        <f>SUMIFS('[1]unit-ditch-irr-crop'!$M$2:$M$1048576,'[1]unit-ditch-irr-crop'!$I$2:$I$1048576,"GW",'[1]unit-ditch-irr-crop'!$N$2:$N$1048576,$B50)</f>
        <v>0</v>
      </c>
      <c r="M50">
        <f>COUNTIFS('[1]unit-ditch-irr-crop'!$I$2:$I$1048576,"LU",'[1]unit-ditch-irr-crop'!$N$2:$N$1048576,$B50)</f>
        <v>4</v>
      </c>
      <c r="N50" s="8">
        <f>SUMIFS('[1]unit-ditch-irr-crop'!$M$2:$M$1048576,'[1]unit-ditch-irr-crop'!$I$2:$I$1048576,"LU",'[1]unit-ditch-irr-crop'!$N$2:$N$1048576,$B50)</f>
        <v>24.22675676821941</v>
      </c>
      <c r="P50">
        <f>COUNTIFS('[1]unit-ditch-irr-crop'!$I$2:$I$1048576,"RR",'[1]unit-ditch-irr-crop'!$N$2:$N$1048576,$B50)</f>
        <v>0</v>
      </c>
      <c r="Q50" s="8">
        <f>SUMIFS('[1]unit-ditch-irr-crop'!$M$2:$M$1048576,'[1]unit-ditch-irr-crop'!$I$2:$I$1048576,"RR",'[1]unit-ditch-irr-crop'!$N$2:$N$1048576,$B50)</f>
        <v>0</v>
      </c>
      <c r="S50">
        <f>COUNTIFS('[1]unit-ditch-irr-crop'!$I$2:$I$1048576,"RS",'[1]unit-ditch-irr-crop'!$N$2:$N$1048576,$B50)</f>
        <v>1</v>
      </c>
      <c r="T50" s="8">
        <f>SUMIFS('[1]unit-ditch-irr-crop'!$M$2:$M$1048576,'[1]unit-ditch-irr-crop'!$I$2:$I$1048576,"RS",'[1]unit-ditch-irr-crop'!$N$2:$N$1048576,$B50)</f>
        <v>0.156695261610479</v>
      </c>
      <c r="V50">
        <f>COUNTIFS('[1]unit-ditch-irr-crop'!$I$2:$I$1048576,"SS",'[1]unit-ditch-irr-crop'!$N$2:$N$1048576,$B50)</f>
        <v>0</v>
      </c>
      <c r="W50" s="8">
        <f>SUMIFS('[1]unit-ditch-irr-crop'!$M$2:$M$1048576,'[1]unit-ditch-irr-crop'!$I$2:$I$1048576,"SS",'[1]unit-ditch-irr-crop'!$N$2:$N$1048576,$B50)</f>
        <v>0</v>
      </c>
      <c r="Y50">
        <f>COUNTIFS('[1]unit-ditch-irr-crop'!$I$2:$I$1048576,"UG",'[1]unit-ditch-irr-crop'!$N$2:$N$1048576,$B50)</f>
        <v>0</v>
      </c>
      <c r="Z50" s="8">
        <f>SUMIFS('[1]unit-ditch-irr-crop'!$M$2:$M$1048576,'[1]unit-ditch-irr-crop'!$I$2:$I$1048576,"UG",'[1]unit-ditch-irr-crop'!$N$2:$N$1048576,$B50)</f>
        <v>0</v>
      </c>
      <c r="AB50">
        <f>COUNTIFS('[1]unit-ditch-irr-crop'!$I$2:$I$1048576,"VV",'[1]unit-ditch-irr-crop'!$E$2:$E$1048576,"Arizona v California",'[1]unit-ditch-irr-crop'!$N$2:$N$1048576,$B50)</f>
        <v>0</v>
      </c>
      <c r="AC50" s="8">
        <f>SUMIFS('[1]unit-ditch-irr-crop'!$M$2:$M$1048576,'[1]unit-ditch-irr-crop'!$I$2:$I$1048576,"VV",'[1]unit-ditch-irr-crop'!$E$2:$E$1048576,"Arizona v California",'[1]unit-ditch-irr-crop'!$N$2:$N$1048576,$B50)</f>
        <v>0</v>
      </c>
      <c r="AE50">
        <f>COUNTIFS('[1]unit-ditch-irr-crop'!$I$2:$I$1048576,"VV",'[1]unit-ditch-irr-crop'!$E$2:$E$1048576,"Globe Equity Decree",'[1]unit-ditch-irr-crop'!$N$2:$N$1048576,$B50)</f>
        <v>0</v>
      </c>
      <c r="AF50" s="8">
        <f>SUMIFS('[1]unit-ditch-irr-crop'!$M$2:$M$1048576,'[1]unit-ditch-irr-crop'!$I$2:$I$1048576,"VV",'[1]unit-ditch-irr-crop'!$E$2:$E$1048576,"Globe Equity Decree",'[1]unit-ditch-irr-crop'!$N$2:$N$1048576,$B50)</f>
        <v>0</v>
      </c>
    </row>
    <row r="51" spans="1:36" x14ac:dyDescent="0.25">
      <c r="B51" s="11" t="s">
        <v>178</v>
      </c>
      <c r="D51" s="16">
        <f>SUM(D45:D50)</f>
        <v>171</v>
      </c>
      <c r="E51" s="13">
        <f>SUM(E45:E50)</f>
        <v>454.26418763797199</v>
      </c>
      <c r="F51" s="8"/>
      <c r="G51" s="16">
        <f>SUM(G45:G50)</f>
        <v>1065</v>
      </c>
      <c r="H51" s="13">
        <f>SUM(H45:H50)</f>
        <v>5190.6359547899465</v>
      </c>
      <c r="J51" s="16">
        <f>SUM(J45:J50)</f>
        <v>374</v>
      </c>
      <c r="K51" s="13">
        <f>SUM(K45:K50)</f>
        <v>1202.8391050748958</v>
      </c>
      <c r="M51" s="16">
        <f>SUM(M45:M50)</f>
        <v>270</v>
      </c>
      <c r="N51" s="13">
        <f>SUM(N45:N50)</f>
        <v>1611.6990208811665</v>
      </c>
      <c r="P51" s="16">
        <f>SUM(P45:P50)</f>
        <v>222</v>
      </c>
      <c r="Q51" s="13">
        <f>SUM(Q45:Q50)</f>
        <v>1581.1825556944075</v>
      </c>
      <c r="S51" s="16">
        <f>SUM(S45:S50)</f>
        <v>274</v>
      </c>
      <c r="T51" s="13">
        <f>SUM(T45:T50)</f>
        <v>647.57480788257442</v>
      </c>
      <c r="V51" s="16">
        <f>SUM(V45:V50)</f>
        <v>176</v>
      </c>
      <c r="W51" s="13">
        <f>SUM(W45:W50)</f>
        <v>3287.5629246873686</v>
      </c>
      <c r="Y51" s="16">
        <f>SUM(Y45:Y50)</f>
        <v>129</v>
      </c>
      <c r="Z51" s="13">
        <f>SUM(Z45:Z50)</f>
        <v>287.70641105704703</v>
      </c>
      <c r="AB51" s="16">
        <f>SUM(AB45:AB50)</f>
        <v>29</v>
      </c>
      <c r="AC51" s="13">
        <f>SUM(AC45:AC50)</f>
        <v>378.55277573107384</v>
      </c>
      <c r="AE51" s="16">
        <f>SUM(AE45:AE50)</f>
        <v>273</v>
      </c>
      <c r="AF51" s="13">
        <f>SUM(AF45:AF50)</f>
        <v>2471.5969688477244</v>
      </c>
    </row>
    <row r="52" spans="1:36" x14ac:dyDescent="0.25">
      <c r="B52" s="1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 spans="1:36" x14ac:dyDescent="0.25">
      <c r="AH53" s="6" t="s">
        <v>180</v>
      </c>
      <c r="AJ53" s="6" t="s">
        <v>181</v>
      </c>
    </row>
    <row r="54" spans="1:36" x14ac:dyDescent="0.25">
      <c r="B54" s="6" t="s">
        <v>182</v>
      </c>
      <c r="E54" s="17">
        <f>E46+E47+E48</f>
        <v>157.01880142087813</v>
      </c>
      <c r="H54" s="8">
        <f>H46+H47+H48</f>
        <v>2059.489594952227</v>
      </c>
      <c r="K54" s="8">
        <f>K46+K47+K48</f>
        <v>716.74752076332493</v>
      </c>
      <c r="N54" s="8">
        <f>N46+N47+N48</f>
        <v>183.38483354829518</v>
      </c>
      <c r="Q54" s="8">
        <f>Q46+Q47+Q48</f>
        <v>116.19735886693567</v>
      </c>
      <c r="T54" s="8">
        <f>T46+T47+T48</f>
        <v>338.59025939545563</v>
      </c>
      <c r="W54" s="8">
        <f>W46+W47+W48</f>
        <v>754.16476994245045</v>
      </c>
      <c r="Z54" s="8">
        <f>Z46+Z47+Z48</f>
        <v>80.434674019923847</v>
      </c>
      <c r="AC54" s="8">
        <f>AC46+AC47+AC48</f>
        <v>59.70311733555917</v>
      </c>
      <c r="AF54" s="8">
        <f>AF46+AF47+AF48</f>
        <v>1937.7547475733138</v>
      </c>
      <c r="AH54" s="8">
        <f>E54+H54+K54+N54+Q54+T54+W54+Z54+AC54+AF54</f>
        <v>6403.485677818363</v>
      </c>
      <c r="AJ54" s="8">
        <f>AH54-AF54</f>
        <v>4465.7309302450494</v>
      </c>
    </row>
    <row r="55" spans="1:36" x14ac:dyDescent="0.25">
      <c r="B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7" spans="1:36" x14ac:dyDescent="0.25">
      <c r="B57" s="7" t="s">
        <v>183</v>
      </c>
      <c r="E57" s="7" t="s">
        <v>184</v>
      </c>
      <c r="H57" s="7" t="s">
        <v>184</v>
      </c>
      <c r="K57" s="7" t="s">
        <v>184</v>
      </c>
      <c r="N57" s="7" t="s">
        <v>184</v>
      </c>
      <c r="Q57" s="7" t="s">
        <v>184</v>
      </c>
      <c r="T57" s="7" t="s">
        <v>184</v>
      </c>
      <c r="W57" s="7" t="s">
        <v>184</v>
      </c>
      <c r="Z57" s="7" t="s">
        <v>184</v>
      </c>
      <c r="AC57" s="7" t="s">
        <v>184</v>
      </c>
      <c r="AF57" s="7" t="s">
        <v>184</v>
      </c>
    </row>
    <row r="58" spans="1:36" x14ac:dyDescent="0.25">
      <c r="B58" s="6" t="s">
        <v>185</v>
      </c>
      <c r="E58" s="6" t="s">
        <v>186</v>
      </c>
      <c r="H58" s="6" t="s">
        <v>186</v>
      </c>
      <c r="K58" s="6" t="s">
        <v>186</v>
      </c>
      <c r="N58" s="6" t="s">
        <v>186</v>
      </c>
      <c r="Q58" s="6" t="s">
        <v>186</v>
      </c>
      <c r="T58" s="6" t="s">
        <v>186</v>
      </c>
      <c r="W58" s="6" t="s">
        <v>186</v>
      </c>
      <c r="Z58" s="6" t="s">
        <v>186</v>
      </c>
      <c r="AC58" s="6" t="s">
        <v>186</v>
      </c>
      <c r="AF58" s="6" t="s">
        <v>186</v>
      </c>
    </row>
    <row r="59" spans="1:36" x14ac:dyDescent="0.25">
      <c r="A59">
        <v>1</v>
      </c>
      <c r="B59" s="7" t="s">
        <v>187</v>
      </c>
      <c r="E59" s="18">
        <f>E4/E54</f>
        <v>0.29807274183673399</v>
      </c>
      <c r="H59" s="18">
        <f>H4/H54</f>
        <v>1.8230533493568624E-2</v>
      </c>
      <c r="K59" s="18">
        <f>K4/K54</f>
        <v>4.4825483335152634E-2</v>
      </c>
      <c r="N59" s="18">
        <f>N4/N54</f>
        <v>5.543910788138751</v>
      </c>
      <c r="Q59" s="18">
        <f>Q4/Q54</f>
        <v>2.3829624239319904</v>
      </c>
      <c r="T59" s="18">
        <f>T4/T54</f>
        <v>0.26627203710651687</v>
      </c>
      <c r="W59" s="18">
        <f>W4/W54</f>
        <v>4.4122716438394811E-4</v>
      </c>
      <c r="Z59" s="18">
        <f>Z4/Z54</f>
        <v>0</v>
      </c>
      <c r="AC59" s="18">
        <f>AC4/AC54</f>
        <v>0</v>
      </c>
      <c r="AF59" s="18">
        <f>AF4/AF54</f>
        <v>0</v>
      </c>
    </row>
    <row r="60" spans="1:36" x14ac:dyDescent="0.25">
      <c r="A60">
        <v>2</v>
      </c>
      <c r="B60" s="7" t="s">
        <v>188</v>
      </c>
      <c r="E60" s="18">
        <f>E7/E54</f>
        <v>0</v>
      </c>
      <c r="H60" s="18">
        <f>H7/H54</f>
        <v>0</v>
      </c>
      <c r="K60" s="18">
        <f>K7/K54</f>
        <v>0</v>
      </c>
      <c r="N60" s="18">
        <f>N7/N54</f>
        <v>0</v>
      </c>
      <c r="Q60" s="18">
        <f>Q7/Q54</f>
        <v>0</v>
      </c>
      <c r="T60" s="18">
        <f>T7/T54</f>
        <v>0</v>
      </c>
      <c r="W60" s="18">
        <f>W7/W54</f>
        <v>0</v>
      </c>
      <c r="Z60" s="18">
        <f>Z7/Z54</f>
        <v>0</v>
      </c>
      <c r="AC60" s="18">
        <f>AC7/AC54</f>
        <v>0</v>
      </c>
      <c r="AF60" s="18">
        <f>AF7/AF54</f>
        <v>0</v>
      </c>
    </row>
    <row r="61" spans="1:36" x14ac:dyDescent="0.25">
      <c r="A61">
        <v>3</v>
      </c>
      <c r="B61" s="7" t="s">
        <v>189</v>
      </c>
      <c r="E61" s="18">
        <f>E20/E54</f>
        <v>2.7619699703865922E-3</v>
      </c>
      <c r="H61" s="18">
        <f>H20/H54</f>
        <v>2.9390212126498049E-3</v>
      </c>
      <c r="K61" s="18">
        <f>K20/K54</f>
        <v>8.5283981379452346E-3</v>
      </c>
      <c r="N61" s="18">
        <f>N20/N54</f>
        <v>0</v>
      </c>
      <c r="Q61" s="18">
        <f>Q20/Q54</f>
        <v>0</v>
      </c>
      <c r="T61" s="18">
        <f>T20/T54</f>
        <v>2.3017546295831803E-3</v>
      </c>
      <c r="W61" s="18">
        <f>W20/W54</f>
        <v>4.2908505153788431E-4</v>
      </c>
      <c r="Z61" s="18">
        <f>Z20/Z54</f>
        <v>3.6338597506602004E-3</v>
      </c>
      <c r="AC61" s="18">
        <f>AC20/AC54</f>
        <v>0</v>
      </c>
      <c r="AF61" s="18">
        <f>AF20/AF54</f>
        <v>0</v>
      </c>
    </row>
    <row r="62" spans="1:36" x14ac:dyDescent="0.25">
      <c r="A62">
        <v>4</v>
      </c>
      <c r="B62" s="7" t="s">
        <v>190</v>
      </c>
      <c r="E62" s="18">
        <f>E21/E54</f>
        <v>3.2732168349581814E-3</v>
      </c>
      <c r="H62" s="18">
        <f>H21/H54</f>
        <v>7.8575631575888538E-4</v>
      </c>
      <c r="K62" s="18">
        <f>K21/K54</f>
        <v>1.953252763991675E-3</v>
      </c>
      <c r="N62" s="18">
        <f>N21/N54</f>
        <v>0</v>
      </c>
      <c r="Q62" s="18">
        <f>Q21/Q54</f>
        <v>0</v>
      </c>
      <c r="T62" s="18">
        <f>T21/T54</f>
        <v>1.8636990829946767E-2</v>
      </c>
      <c r="W62" s="18">
        <f>W21/W54</f>
        <v>0</v>
      </c>
      <c r="Z62" s="18">
        <f>Z21/Z54</f>
        <v>1.4223571202454958E-2</v>
      </c>
      <c r="AC62" s="18">
        <f>AC21/AC54</f>
        <v>3.5331472638373509E-2</v>
      </c>
      <c r="AF62" s="18">
        <f>AF21/AF54</f>
        <v>4.5691961391286517E-4</v>
      </c>
    </row>
    <row r="63" spans="1:36" x14ac:dyDescent="0.25">
      <c r="A63">
        <v>5</v>
      </c>
      <c r="B63" s="7" t="s">
        <v>191</v>
      </c>
      <c r="E63" s="18">
        <f>E19/E54</f>
        <v>0</v>
      </c>
      <c r="H63" s="18">
        <f>H19/H54</f>
        <v>0.31288541352566573</v>
      </c>
      <c r="K63" s="18">
        <f>K19/K54</f>
        <v>0.53498176381937723</v>
      </c>
      <c r="N63" s="18">
        <f>N19/N54</f>
        <v>0</v>
      </c>
      <c r="Q63" s="18">
        <f>Q19/Q54</f>
        <v>0.61091601368866488</v>
      </c>
      <c r="T63" s="18">
        <f>T19/T54</f>
        <v>9.704194946803435E-2</v>
      </c>
      <c r="W63" s="18">
        <f>W19/W54</f>
        <v>0.28650162281395197</v>
      </c>
      <c r="Z63" s="18">
        <f>Z19/Z54</f>
        <v>0.38258795703432619</v>
      </c>
      <c r="AC63" s="18">
        <f>AC19/AC54</f>
        <v>0.17988197508483275</v>
      </c>
      <c r="AF63" s="18">
        <f>AF19/AF54</f>
        <v>0.22981438201785309</v>
      </c>
    </row>
    <row r="64" spans="1:36" x14ac:dyDescent="0.25">
      <c r="A64">
        <v>6</v>
      </c>
      <c r="B64" s="7" t="s">
        <v>192</v>
      </c>
      <c r="E64" s="18">
        <f>(E11+E12)/E54</f>
        <v>0</v>
      </c>
      <c r="H64" s="18">
        <f>(H11+H12)/H54</f>
        <v>0</v>
      </c>
      <c r="K64" s="18">
        <f>(K11+K12)/K54</f>
        <v>0</v>
      </c>
      <c r="N64" s="18">
        <f>(N11+N12)/N54</f>
        <v>0</v>
      </c>
      <c r="Q64" s="18">
        <f>(Q11+Q12)/Q54</f>
        <v>0</v>
      </c>
      <c r="T64" s="18">
        <f>(T11+T12)/T54</f>
        <v>0</v>
      </c>
      <c r="W64" s="18">
        <f>(W11+W12)/W54</f>
        <v>0</v>
      </c>
      <c r="Z64" s="18">
        <f>(Z11+Z12)/Z54</f>
        <v>0</v>
      </c>
      <c r="AC64" s="18">
        <f>(AC11+AC12)/AC54</f>
        <v>0</v>
      </c>
      <c r="AF64" s="18">
        <f>(AF11+AF12)/AF54</f>
        <v>0</v>
      </c>
    </row>
    <row r="65" spans="1:32" x14ac:dyDescent="0.25">
      <c r="A65">
        <v>7</v>
      </c>
      <c r="B65" s="7" t="s">
        <v>193</v>
      </c>
      <c r="E65" s="18"/>
      <c r="H65" s="18"/>
      <c r="K65" s="18"/>
      <c r="N65" s="18"/>
      <c r="Q65" s="18"/>
      <c r="T65" s="18"/>
      <c r="W65" s="18"/>
      <c r="Z65" s="18"/>
      <c r="AC65" s="18"/>
      <c r="AF65" s="18"/>
    </row>
    <row r="66" spans="1:32" x14ac:dyDescent="0.25">
      <c r="A66">
        <v>8</v>
      </c>
      <c r="B66" s="7" t="s">
        <v>194</v>
      </c>
      <c r="E66" s="18"/>
      <c r="H66" s="18"/>
      <c r="K66" s="18"/>
      <c r="N66" s="18"/>
      <c r="Q66" s="18"/>
      <c r="T66" s="18"/>
      <c r="W66" s="18"/>
      <c r="Z66" s="18"/>
      <c r="AC66" s="18"/>
      <c r="AF66" s="18"/>
    </row>
    <row r="67" spans="1:32" x14ac:dyDescent="0.25">
      <c r="A67">
        <v>9</v>
      </c>
      <c r="B67" s="7" t="s">
        <v>195</v>
      </c>
      <c r="E67" s="18"/>
      <c r="H67" s="18"/>
      <c r="K67" s="18"/>
      <c r="N67" s="18"/>
      <c r="Q67" s="18"/>
      <c r="T67" s="18"/>
      <c r="W67" s="18"/>
      <c r="Z67" s="18"/>
      <c r="AC67" s="18"/>
      <c r="AF67" s="18"/>
    </row>
    <row r="68" spans="1:32" x14ac:dyDescent="0.25">
      <c r="A68">
        <v>10</v>
      </c>
      <c r="B68" s="7" t="s">
        <v>196</v>
      </c>
      <c r="E68" s="18">
        <f>E8/E54</f>
        <v>0</v>
      </c>
      <c r="H68" s="18">
        <f>H8/H54</f>
        <v>0</v>
      </c>
      <c r="K68" s="18">
        <f>K8/K54</f>
        <v>0</v>
      </c>
      <c r="N68" s="18">
        <f>N8/N54</f>
        <v>0</v>
      </c>
      <c r="Q68" s="18">
        <f>Q8/Q54</f>
        <v>0</v>
      </c>
      <c r="T68" s="18">
        <f>T8/T54</f>
        <v>0</v>
      </c>
      <c r="W68" s="18">
        <f>W8/W54</f>
        <v>0</v>
      </c>
      <c r="Z68" s="18">
        <f>Z8/Z54</f>
        <v>0</v>
      </c>
      <c r="AC68" s="18">
        <f>AC8/AC54</f>
        <v>0</v>
      </c>
      <c r="AF68" s="18">
        <f>AF8/AF54</f>
        <v>0</v>
      </c>
    </row>
    <row r="69" spans="1:32" x14ac:dyDescent="0.25">
      <c r="A69">
        <v>11</v>
      </c>
      <c r="B69" s="7" t="s">
        <v>197</v>
      </c>
      <c r="E69" s="18"/>
      <c r="H69" s="18"/>
      <c r="K69" s="18"/>
      <c r="N69" s="18"/>
      <c r="Q69" s="18"/>
      <c r="T69" s="18"/>
      <c r="W69" s="18"/>
      <c r="Z69" s="18"/>
      <c r="AC69" s="18"/>
      <c r="AF69" s="18"/>
    </row>
    <row r="70" spans="1:32" x14ac:dyDescent="0.25">
      <c r="A70">
        <v>12</v>
      </c>
      <c r="B70" s="7" t="s">
        <v>198</v>
      </c>
      <c r="E70" s="18">
        <f>E13/E54</f>
        <v>2.7619699703865922E-3</v>
      </c>
      <c r="H70" s="18">
        <f>H13/H54</f>
        <v>2.9390212126498049E-3</v>
      </c>
      <c r="K70" s="18">
        <f>K13/K54</f>
        <v>8.5283981379452346E-3</v>
      </c>
      <c r="N70" s="18">
        <f>N13/N54</f>
        <v>0</v>
      </c>
      <c r="Q70" s="18">
        <f>Q13/Q54</f>
        <v>0</v>
      </c>
      <c r="T70" s="18">
        <f>T13/T54</f>
        <v>2.3017546295831803E-3</v>
      </c>
      <c r="W70" s="18">
        <f>W13/W54</f>
        <v>4.2908505153788431E-4</v>
      </c>
      <c r="Z70" s="18">
        <f>Z13/Z54</f>
        <v>3.6338597506602004E-3</v>
      </c>
      <c r="AC70" s="18">
        <f>AC13/AC54</f>
        <v>0</v>
      </c>
      <c r="AF70" s="18">
        <f>AF13/AF54</f>
        <v>0</v>
      </c>
    </row>
    <row r="71" spans="1:32" x14ac:dyDescent="0.25">
      <c r="A71">
        <v>13</v>
      </c>
      <c r="B71" s="7" t="s">
        <v>199</v>
      </c>
      <c r="E71" s="18">
        <f>E26/E54</f>
        <v>0</v>
      </c>
      <c r="H71" s="18">
        <f>H26/H54</f>
        <v>0</v>
      </c>
      <c r="K71" s="18">
        <f>K26/K54</f>
        <v>0</v>
      </c>
      <c r="N71" s="18">
        <f>N26/N54</f>
        <v>0</v>
      </c>
      <c r="Q71" s="18">
        <f>Q26/Q54</f>
        <v>0</v>
      </c>
      <c r="T71" s="18">
        <f>T26/T54</f>
        <v>0</v>
      </c>
      <c r="W71" s="18">
        <f>W26/W54</f>
        <v>0</v>
      </c>
      <c r="Z71" s="18">
        <f>Z26/Z54</f>
        <v>0</v>
      </c>
      <c r="AC71" s="18">
        <f>AC26/AC54</f>
        <v>0</v>
      </c>
      <c r="AF71" s="18">
        <f>AF26/AF54</f>
        <v>0</v>
      </c>
    </row>
    <row r="72" spans="1:32" x14ac:dyDescent="0.25">
      <c r="A72">
        <v>14</v>
      </c>
      <c r="B72" s="7" t="s">
        <v>200</v>
      </c>
      <c r="E72" s="18">
        <f>E14/E54</f>
        <v>0</v>
      </c>
      <c r="H72" s="18">
        <f>H14/H54</f>
        <v>0</v>
      </c>
      <c r="K72" s="18">
        <f>K14/K54</f>
        <v>0</v>
      </c>
      <c r="N72" s="18">
        <f>N14/N54</f>
        <v>0</v>
      </c>
      <c r="Q72" s="18">
        <f>Q14/Q54</f>
        <v>0</v>
      </c>
      <c r="T72" s="18">
        <f>T14/T54</f>
        <v>0</v>
      </c>
      <c r="W72" s="18">
        <f>W14/W54</f>
        <v>0</v>
      </c>
      <c r="Z72" s="18">
        <f>Z14/Z54</f>
        <v>0</v>
      </c>
      <c r="AC72" s="18">
        <f>AC14/AC54</f>
        <v>0</v>
      </c>
      <c r="AF72" s="18">
        <f>AF14/AF54</f>
        <v>0</v>
      </c>
    </row>
    <row r="73" spans="1:32" x14ac:dyDescent="0.25">
      <c r="A73">
        <v>15</v>
      </c>
      <c r="B73" s="7" t="s">
        <v>201</v>
      </c>
      <c r="E73" s="18">
        <f>E25/E54</f>
        <v>0</v>
      </c>
      <c r="H73" s="18">
        <f>H25/H54</f>
        <v>0</v>
      </c>
      <c r="K73" s="18">
        <f>K25/K54</f>
        <v>0</v>
      </c>
      <c r="N73" s="18">
        <f>N25/N54</f>
        <v>0</v>
      </c>
      <c r="Q73" s="18">
        <f>Q25/Q54</f>
        <v>0</v>
      </c>
      <c r="T73" s="18">
        <f>T25/T54</f>
        <v>0</v>
      </c>
      <c r="W73" s="18">
        <f>W25/W54</f>
        <v>0</v>
      </c>
      <c r="Z73" s="18">
        <f>Z25/Z54</f>
        <v>0</v>
      </c>
      <c r="AC73" s="18">
        <f>AC25/AC54</f>
        <v>0</v>
      </c>
      <c r="AF73" s="18">
        <f>AF25/AF54</f>
        <v>2.0732531192292031E-4</v>
      </c>
    </row>
    <row r="74" spans="1:32" x14ac:dyDescent="0.25">
      <c r="A74">
        <v>16</v>
      </c>
      <c r="B74" s="7" t="s">
        <v>202</v>
      </c>
      <c r="E74" s="18">
        <f>E9/E54</f>
        <v>0</v>
      </c>
      <c r="H74" s="18">
        <f>H9/H54</f>
        <v>0</v>
      </c>
      <c r="K74" s="18">
        <f>K9/K54</f>
        <v>0</v>
      </c>
      <c r="N74" s="18">
        <f>N9/N54</f>
        <v>0</v>
      </c>
      <c r="Q74" s="18">
        <f>Q9/Q54</f>
        <v>0</v>
      </c>
      <c r="T74" s="18">
        <f>T9/T54</f>
        <v>0</v>
      </c>
      <c r="W74" s="18">
        <f>W9/W54</f>
        <v>0</v>
      </c>
      <c r="Z74" s="18">
        <f>Z9/Z54</f>
        <v>0</v>
      </c>
      <c r="AC74" s="18">
        <f>AC9/AC54</f>
        <v>0</v>
      </c>
      <c r="AF74" s="18">
        <f>AF9/AF54</f>
        <v>0</v>
      </c>
    </row>
    <row r="75" spans="1:32" x14ac:dyDescent="0.25">
      <c r="A75">
        <v>17</v>
      </c>
      <c r="B75" s="7" t="s">
        <v>203</v>
      </c>
      <c r="E75" s="18">
        <f>E10/E54</f>
        <v>0</v>
      </c>
      <c r="H75" s="18">
        <f>H10/H54</f>
        <v>0</v>
      </c>
      <c r="K75" s="18">
        <f>K10/K54</f>
        <v>0</v>
      </c>
      <c r="N75" s="18">
        <f>N10/N54</f>
        <v>0</v>
      </c>
      <c r="Q75" s="18">
        <f>Q10/Q54</f>
        <v>0</v>
      </c>
      <c r="T75" s="18">
        <f>T10/T54</f>
        <v>5.8946168403352693E-3</v>
      </c>
      <c r="W75" s="18">
        <f>W10/W54</f>
        <v>0</v>
      </c>
      <c r="Z75" s="18">
        <f>Z10/Z54</f>
        <v>0</v>
      </c>
      <c r="AC75" s="18">
        <f>AC10/AC54</f>
        <v>0</v>
      </c>
      <c r="AF75" s="18">
        <f>AF10/AF54</f>
        <v>0</v>
      </c>
    </row>
    <row r="76" spans="1:32" x14ac:dyDescent="0.25">
      <c r="A76">
        <v>18</v>
      </c>
      <c r="B76" s="7" t="s">
        <v>204</v>
      </c>
      <c r="E76" s="18">
        <f>E5/E54</f>
        <v>0</v>
      </c>
      <c r="H76" s="18">
        <f>H5/H54</f>
        <v>0</v>
      </c>
      <c r="K76" s="18">
        <f>K5/K54</f>
        <v>0</v>
      </c>
      <c r="N76" s="18">
        <f>N5/N54</f>
        <v>0</v>
      </c>
      <c r="Q76" s="18">
        <f>Q5/Q54</f>
        <v>0</v>
      </c>
      <c r="T76" s="18">
        <f>T5/T54</f>
        <v>0</v>
      </c>
      <c r="W76" s="18">
        <f>W5/W54</f>
        <v>0</v>
      </c>
      <c r="Z76" s="18">
        <f>Z5/Z54</f>
        <v>0</v>
      </c>
      <c r="AC76" s="18">
        <f>AC5/AC54</f>
        <v>0</v>
      </c>
      <c r="AF76" s="18">
        <f>AF5/AF54</f>
        <v>0</v>
      </c>
    </row>
    <row r="77" spans="1:32" x14ac:dyDescent="0.25">
      <c r="A77">
        <v>19</v>
      </c>
      <c r="B77" s="7" t="s">
        <v>205</v>
      </c>
      <c r="E77" s="18">
        <f>E17/E54</f>
        <v>0.91703252747027086</v>
      </c>
      <c r="H77" s="18">
        <f>H17/H54</f>
        <v>0.50512249467213111</v>
      </c>
      <c r="K77" s="18">
        <f>K17/K54</f>
        <v>0.20424351592739576</v>
      </c>
      <c r="N77" s="18">
        <f>N17/N54</f>
        <v>0.97373735561450558</v>
      </c>
      <c r="Q77" s="18">
        <f>Q17/Q54</f>
        <v>0.36270670821673218</v>
      </c>
      <c r="T77" s="18">
        <f>T17/T54</f>
        <v>0.84332121771078949</v>
      </c>
      <c r="W77" s="18">
        <f>W17/W54</f>
        <v>0</v>
      </c>
      <c r="Z77" s="18">
        <f>Z17/Z54</f>
        <v>0.54311965391693606</v>
      </c>
      <c r="AC77" s="18">
        <f>AC17/AC54</f>
        <v>0</v>
      </c>
      <c r="AF77" s="18">
        <f>AF17/AF54</f>
        <v>0</v>
      </c>
    </row>
    <row r="78" spans="1:32" x14ac:dyDescent="0.25">
      <c r="A78">
        <v>20</v>
      </c>
      <c r="B78" s="7" t="s">
        <v>206</v>
      </c>
      <c r="E78" s="18">
        <f>E6/E54</f>
        <v>0</v>
      </c>
      <c r="H78" s="18">
        <f>H6/H54</f>
        <v>0</v>
      </c>
      <c r="K78" s="18">
        <f>K6/K54</f>
        <v>0</v>
      </c>
      <c r="N78" s="18">
        <f>N6/N54</f>
        <v>0</v>
      </c>
      <c r="Q78" s="18">
        <f>Q6/Q54</f>
        <v>0</v>
      </c>
      <c r="T78" s="18">
        <f>T6/T54</f>
        <v>0</v>
      </c>
      <c r="W78" s="18">
        <f>W6/W54</f>
        <v>0</v>
      </c>
      <c r="Z78" s="18">
        <f>Z6/Z54</f>
        <v>0</v>
      </c>
      <c r="AC78" s="18">
        <f>AC6/AC54</f>
        <v>0</v>
      </c>
      <c r="AF78" s="18">
        <f>AF6/AF54</f>
        <v>0</v>
      </c>
    </row>
    <row r="79" spans="1:32" x14ac:dyDescent="0.25">
      <c r="A79">
        <v>21</v>
      </c>
      <c r="B79" s="7" t="s">
        <v>207</v>
      </c>
      <c r="E79" s="18"/>
      <c r="H79" s="18"/>
      <c r="K79" s="18"/>
      <c r="N79" s="18"/>
      <c r="Q79" s="18"/>
      <c r="T79" s="18"/>
      <c r="W79" s="18"/>
      <c r="Z79" s="18"/>
      <c r="AC79" s="18"/>
      <c r="AF79" s="18"/>
    </row>
    <row r="80" spans="1:32" x14ac:dyDescent="0.25">
      <c r="A80">
        <v>22</v>
      </c>
      <c r="B80" s="7" t="s">
        <v>208</v>
      </c>
      <c r="E80" s="18">
        <f>E16/E54</f>
        <v>0</v>
      </c>
      <c r="H80" s="18">
        <f>H16/H54</f>
        <v>0</v>
      </c>
      <c r="K80" s="18">
        <f>K16/K54</f>
        <v>0</v>
      </c>
      <c r="N80" s="18">
        <f>N16/N54</f>
        <v>0</v>
      </c>
      <c r="Q80" s="18">
        <f>Q16/Q54</f>
        <v>0</v>
      </c>
      <c r="T80" s="18">
        <f>T16/T54</f>
        <v>0</v>
      </c>
      <c r="W80" s="18">
        <f>W16/W54</f>
        <v>0</v>
      </c>
      <c r="Z80" s="18">
        <f>Z16/Z54</f>
        <v>0</v>
      </c>
      <c r="AC80" s="18">
        <f>AC16/AC54</f>
        <v>0</v>
      </c>
      <c r="AF80" s="18">
        <f>AF16/AF54</f>
        <v>0</v>
      </c>
    </row>
    <row r="81" spans="1:38" x14ac:dyDescent="0.25">
      <c r="A81">
        <v>23</v>
      </c>
      <c r="B81" s="7" t="s">
        <v>209</v>
      </c>
      <c r="E81" s="18">
        <f>E15/E54</f>
        <v>0</v>
      </c>
      <c r="H81" s="18">
        <f>H15/H54</f>
        <v>0</v>
      </c>
      <c r="K81" s="18">
        <f>K15/K54</f>
        <v>0</v>
      </c>
      <c r="N81" s="18">
        <f>N15/N54</f>
        <v>0</v>
      </c>
      <c r="Q81" s="18">
        <f>Q15/Q54</f>
        <v>0</v>
      </c>
      <c r="T81" s="18">
        <f>T15/T54</f>
        <v>0</v>
      </c>
      <c r="W81" s="18">
        <f>W15/W54</f>
        <v>0</v>
      </c>
      <c r="Z81" s="18">
        <f>Z15/Z54</f>
        <v>0</v>
      </c>
      <c r="AC81" s="18">
        <f>AC15/AC54</f>
        <v>0.31338185015524811</v>
      </c>
      <c r="AF81" s="18">
        <f>AF15/AF54</f>
        <v>0.26219739464359654</v>
      </c>
    </row>
    <row r="82" spans="1:38" x14ac:dyDescent="0.25">
      <c r="A82">
        <v>24</v>
      </c>
      <c r="B82" s="7" t="s">
        <v>210</v>
      </c>
      <c r="E82" s="18">
        <f>E22/E54</f>
        <v>0</v>
      </c>
      <c r="H82" s="18">
        <f>H22/H54</f>
        <v>0</v>
      </c>
      <c r="K82" s="18">
        <f>K22/K54</f>
        <v>0</v>
      </c>
      <c r="N82" s="18">
        <f>N22/N54</f>
        <v>0</v>
      </c>
      <c r="Q82" s="18">
        <f>Q22/Q54</f>
        <v>0</v>
      </c>
      <c r="T82" s="18">
        <f>T22/T54</f>
        <v>0</v>
      </c>
      <c r="W82" s="18">
        <f>W22/W54</f>
        <v>0</v>
      </c>
      <c r="Z82" s="18">
        <f>Z22/Z54</f>
        <v>0</v>
      </c>
      <c r="AC82" s="18">
        <f>AC22/AC54</f>
        <v>5.7004688561097475E-3</v>
      </c>
      <c r="AF82" s="18">
        <f>AF22/AF54</f>
        <v>1.8892130903720781E-3</v>
      </c>
    </row>
    <row r="83" spans="1:38" x14ac:dyDescent="0.25">
      <c r="A83">
        <v>25</v>
      </c>
      <c r="B83" s="7" t="s">
        <v>211</v>
      </c>
      <c r="E83" s="18">
        <f>((E27+E28+E29)*(1+(E$38/(E$41-E$38))))/E$54</f>
        <v>7.7098456627181608E-2</v>
      </c>
      <c r="H83" s="18">
        <f>(H27+H28+H29)/H54</f>
        <v>3.4859867831826846E-2</v>
      </c>
      <c r="K83" s="18">
        <f>(K27+K28+K29)/K54</f>
        <v>5.197934958409358E-2</v>
      </c>
      <c r="N83" s="18">
        <f>(N27+N28+N29)/N54</f>
        <v>2.6262644385494364E-2</v>
      </c>
      <c r="Q83" s="18">
        <f>(Q27+Q28+Q29)/Q54</f>
        <v>1.3167381931528461E-2</v>
      </c>
      <c r="T83" s="18">
        <f>(T27+T28+T29)/T54</f>
        <v>1.7178353830140634E-2</v>
      </c>
      <c r="W83" s="18">
        <f>(W27+W28+W29)/W54</f>
        <v>1.4655697582663055E-3</v>
      </c>
      <c r="Z83" s="18">
        <f>(Z27+Z28+Z29)/Z54</f>
        <v>5.643495809562251E-2</v>
      </c>
      <c r="AC83" s="18">
        <f>(AC27+AC28+AC29)/AC54</f>
        <v>8.3348903500696528E-2</v>
      </c>
      <c r="AF83" s="18">
        <f>(AF27+AF28+AF29)/AF54</f>
        <v>1.9334433759931591E-2</v>
      </c>
    </row>
    <row r="84" spans="1:38" x14ac:dyDescent="0.25">
      <c r="A84">
        <v>26</v>
      </c>
      <c r="B84" s="7" t="s">
        <v>212</v>
      </c>
      <c r="E84" s="18"/>
      <c r="H84" s="18"/>
      <c r="K84" s="18"/>
      <c r="N84" s="18"/>
      <c r="Q84" s="18"/>
      <c r="T84" s="18"/>
      <c r="W84" s="18"/>
      <c r="Z84" s="18"/>
      <c r="AC84" s="18"/>
      <c r="AF84" s="18"/>
    </row>
    <row r="85" spans="1:38" x14ac:dyDescent="0.25">
      <c r="A85">
        <v>27</v>
      </c>
      <c r="B85" s="7" t="s">
        <v>213</v>
      </c>
      <c r="E85" s="18">
        <f>((E23+E24)*(1+(E$38/(E$41-E$38))))/E$54</f>
        <v>0</v>
      </c>
      <c r="H85" s="18">
        <f>((H23+H24)*(1+(H$38/(H$41-H$38))))/H$54</f>
        <v>1.0729809238758862E-3</v>
      </c>
      <c r="K85" s="18">
        <f>((K23+K24)*(1+(K$38/(K$41-K$38))))/K$54</f>
        <v>0</v>
      </c>
      <c r="N85" s="18">
        <f>((N23+N24)*(1+(N$38/(N$41-N$38))))/N$54</f>
        <v>0</v>
      </c>
      <c r="Q85" s="18">
        <f>((Q23+Q24)*(1+(Q$38/(Q$41-Q$38))))/Q$54</f>
        <v>1.3209896163074376E-2</v>
      </c>
      <c r="T85" s="18">
        <f>((T23+T24)*(1+(T$38/(T$41-T$38))))/T$54</f>
        <v>0</v>
      </c>
      <c r="W85" s="18">
        <f>((W23+W24)*(1+(W$38/(W$41-W$38))))/W$54</f>
        <v>1.1670069692001612E-2</v>
      </c>
      <c r="Z85" s="18">
        <f>((Z23+Z24)*(1+(Z$38/(Z$41-Z$38))))/Z$54</f>
        <v>0</v>
      </c>
      <c r="AB85" s="18"/>
      <c r="AC85" s="18">
        <f>((AC23+AC24)*(1+(AC$38/(AC$41-AC$38))))/AC$54</f>
        <v>7.9397532595882378E-2</v>
      </c>
      <c r="AF85" s="18">
        <f>((AF23+AF24)*(1+(AF$38/(AF$41-AF$38))))/AF$54</f>
        <v>4.3418775348802369E-2</v>
      </c>
    </row>
    <row r="86" spans="1:38" x14ac:dyDescent="0.25">
      <c r="A86">
        <v>28</v>
      </c>
      <c r="B86" s="7" t="s">
        <v>214</v>
      </c>
      <c r="E86" s="18"/>
      <c r="H86" s="18"/>
      <c r="K86" s="18"/>
      <c r="N86" s="18"/>
      <c r="Q86" s="18"/>
      <c r="T86" s="18"/>
      <c r="W86" s="18"/>
      <c r="Z86" s="18"/>
      <c r="AC86" s="18"/>
      <c r="AF86" s="18"/>
    </row>
    <row r="87" spans="1:38" x14ac:dyDescent="0.25">
      <c r="A87">
        <v>29</v>
      </c>
      <c r="B87" s="7" t="s">
        <v>215</v>
      </c>
      <c r="E87" s="18">
        <f>((E18)*(1+(E$38/(E$41-E$38))))/E$54</f>
        <v>0</v>
      </c>
      <c r="H87" s="18">
        <f>((H18)*(1+(H$38/(H$41-H$38))))/H$54</f>
        <v>1.3661200629509172E-2</v>
      </c>
      <c r="K87" s="18">
        <f>((K18)*(1+(K$38/(K$41-K$38))))/K$54</f>
        <v>0</v>
      </c>
      <c r="N87" s="18">
        <f>((N18)*(1+(N$38/(N$41-N$38))))/N$54</f>
        <v>0</v>
      </c>
      <c r="Q87" s="18">
        <f>((Q18)*(1+(Q$38/(Q$41-Q$38))))/Q$54</f>
        <v>0</v>
      </c>
      <c r="T87" s="18">
        <f>((T18)*(1+(T$38/(T$41-T$38))))/T$54</f>
        <v>4.0895123297603943E-3</v>
      </c>
      <c r="W87" s="18">
        <f>((W18)*(1+(W$38/(W$41-W$38))))/W$54</f>
        <v>0.1483069472611655</v>
      </c>
      <c r="Z87" s="18">
        <f>((Z18)*(1+(Z$38/(Z$41-Z$38))))/Z$54</f>
        <v>0</v>
      </c>
      <c r="AC87" s="18">
        <f>((AC18)*(1+(AC$38/(AC$41-AC$38))))/AC$54</f>
        <v>0</v>
      </c>
      <c r="AF87" s="18">
        <f>((AF18)*(1+(AF$38/(AF$41-AF$38))))/AF$54</f>
        <v>0</v>
      </c>
    </row>
    <row r="88" spans="1:38" x14ac:dyDescent="0.25">
      <c r="A88">
        <v>30</v>
      </c>
      <c r="B88" s="6" t="s">
        <v>216</v>
      </c>
      <c r="E88" s="19"/>
      <c r="H88" s="19"/>
      <c r="K88" s="19"/>
      <c r="N88" s="19"/>
      <c r="Q88" s="19"/>
      <c r="T88" s="19"/>
      <c r="W88" s="19"/>
      <c r="Z88" s="19"/>
      <c r="AC88" s="19"/>
      <c r="AF88" s="19"/>
    </row>
    <row r="89" spans="1:38" x14ac:dyDescent="0.25">
      <c r="B89" s="7" t="s">
        <v>178</v>
      </c>
      <c r="E89" s="18">
        <f>SUM(E59:E88)</f>
        <v>1.3010008827099178</v>
      </c>
      <c r="H89" s="18">
        <f>SUM(H59:H88)</f>
        <v>0.89249628981763585</v>
      </c>
      <c r="K89" s="18">
        <f>SUM(K59:K88)</f>
        <v>0.85504016170590136</v>
      </c>
      <c r="L89" s="18"/>
      <c r="M89" s="18"/>
      <c r="N89" s="18">
        <f>SUM(N59:N88)</f>
        <v>6.543910788138751</v>
      </c>
      <c r="O89" s="18"/>
      <c r="P89" s="18"/>
      <c r="Q89" s="18">
        <f>SUM(Q59:Q88)</f>
        <v>3.38296242393199</v>
      </c>
      <c r="T89" s="18">
        <f>SUM(T59:T88)</f>
        <v>1.2570381873746901</v>
      </c>
      <c r="W89" s="18">
        <f>SUM(W59:W88)</f>
        <v>0.44924360679284508</v>
      </c>
      <c r="Z89" s="18">
        <f>SUM(Z59:Z88)</f>
        <v>1.0036338597506602</v>
      </c>
      <c r="AC89" s="18">
        <f>SUM(AC59:AC88)</f>
        <v>0.69704220283114304</v>
      </c>
      <c r="AF89" s="18">
        <f>SUM(AF59:AF88)</f>
        <v>0.55731844378639139</v>
      </c>
    </row>
    <row r="90" spans="1:38" x14ac:dyDescent="0.25">
      <c r="B90" s="14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</row>
    <row r="92" spans="1:38" x14ac:dyDescent="0.25">
      <c r="B92" s="7" t="s">
        <v>183</v>
      </c>
    </row>
    <row r="93" spans="1:38" x14ac:dyDescent="0.25">
      <c r="B93" s="6" t="s">
        <v>217</v>
      </c>
    </row>
    <row r="94" spans="1:38" x14ac:dyDescent="0.25">
      <c r="B94" s="7" t="s">
        <v>218</v>
      </c>
      <c r="E94" s="18">
        <f>E46/E54</f>
        <v>0.90156033409773828</v>
      </c>
      <c r="H94" s="18">
        <f>H46/H54</f>
        <v>0.91221373329192623</v>
      </c>
      <c r="K94" s="18">
        <f>K46/K54</f>
        <v>0.8649080004603632</v>
      </c>
      <c r="N94" s="18">
        <f>N46/N54</f>
        <v>0.78047528442886438</v>
      </c>
      <c r="Q94" s="18">
        <f>Q46/Q54</f>
        <v>0.99706062414447538</v>
      </c>
      <c r="T94" s="18">
        <f>T46/T54</f>
        <v>0.9089403560287862</v>
      </c>
      <c r="W94" s="18">
        <f>W46/W54</f>
        <v>0.17051090709124417</v>
      </c>
      <c r="Z94" s="18">
        <f>Z46/Z54</f>
        <v>0.58642192571197749</v>
      </c>
      <c r="AC94" s="18">
        <f>AC46/AC54</f>
        <v>0.59535414125495978</v>
      </c>
      <c r="AF94" s="18">
        <f>AF46/AF54</f>
        <v>0.74832868972684807</v>
      </c>
    </row>
    <row r="95" spans="1:38" x14ac:dyDescent="0.25">
      <c r="B95" s="7" t="s">
        <v>219</v>
      </c>
      <c r="E95" s="18">
        <f>E47/E54</f>
        <v>9.7242376684268939E-2</v>
      </c>
      <c r="H95" s="18">
        <f>H47/H54</f>
        <v>8.4335749926510314E-2</v>
      </c>
      <c r="K95" s="18">
        <f>K47/K54</f>
        <v>0.12956506514665472</v>
      </c>
      <c r="N95" s="18">
        <f>N47/N54</f>
        <v>0.2195247155711357</v>
      </c>
      <c r="Q95" s="18">
        <f>Q47/Q54</f>
        <v>2.9393758555245914E-3</v>
      </c>
      <c r="T95" s="18">
        <f>T47/T54</f>
        <v>7.6293561889089881E-2</v>
      </c>
      <c r="W95" s="18">
        <f>W47/W54</f>
        <v>0.82948909290875572</v>
      </c>
      <c r="Z95" s="18">
        <f>Z47/Z54</f>
        <v>0.41006583891253506</v>
      </c>
      <c r="AC95" s="18">
        <f>AC47/AC54</f>
        <v>8.3348903500696528E-2</v>
      </c>
      <c r="AF95" s="18">
        <f>AF47/AF54</f>
        <v>8.9464105781561387E-2</v>
      </c>
      <c r="AL95" s="18"/>
    </row>
    <row r="96" spans="1:38" x14ac:dyDescent="0.25">
      <c r="B96" s="6" t="s">
        <v>220</v>
      </c>
      <c r="E96" s="19">
        <f>E48/E54</f>
        <v>1.1972892179928705E-3</v>
      </c>
      <c r="H96" s="19">
        <f>H48/H54</f>
        <v>3.4505167815633698E-3</v>
      </c>
      <c r="K96" s="19">
        <f>K48/K54</f>
        <v>5.5269343929820764E-3</v>
      </c>
      <c r="N96" s="19">
        <f>N48/N54</f>
        <v>0</v>
      </c>
      <c r="Q96" s="19">
        <f>Q48/Q54</f>
        <v>0</v>
      </c>
      <c r="T96" s="19">
        <f>T48/T54</f>
        <v>1.4766082082123981E-2</v>
      </c>
      <c r="W96" s="19">
        <f>W48/W54</f>
        <v>0</v>
      </c>
      <c r="Z96" s="19">
        <f>Z48/Z54</f>
        <v>3.5122353754873646E-3</v>
      </c>
      <c r="AC96" s="19">
        <f>AC48/AC54</f>
        <v>0.32129695524434371</v>
      </c>
      <c r="AF96" s="19">
        <f>AF48/AF54</f>
        <v>0.1622072044915906</v>
      </c>
    </row>
    <row r="97" spans="2:32" x14ac:dyDescent="0.25">
      <c r="B97" s="7" t="s">
        <v>178</v>
      </c>
      <c r="E97" s="18">
        <f>SUM(E94:E96)</f>
        <v>1</v>
      </c>
      <c r="H97" s="18">
        <f>SUM(H94:H96)</f>
        <v>0.99999999999999989</v>
      </c>
      <c r="K97" s="18">
        <f>SUM(K94:K96)</f>
        <v>1</v>
      </c>
      <c r="N97" s="18">
        <f>SUM(N94:N96)</f>
        <v>1</v>
      </c>
      <c r="Q97" s="18">
        <f>SUM(Q94:Q96)</f>
        <v>1</v>
      </c>
      <c r="T97" s="18">
        <f>SUM(T94:T96)</f>
        <v>1</v>
      </c>
      <c r="W97" s="18">
        <f>SUM(W94:W96)</f>
        <v>0.99999999999999989</v>
      </c>
      <c r="Z97" s="18">
        <f>SUM(Z94:Z96)</f>
        <v>0.99999999999999989</v>
      </c>
      <c r="AC97" s="18">
        <f>SUM(AC94:AC96)</f>
        <v>1</v>
      </c>
      <c r="AF97" s="18">
        <f>SUM(AF94:AF96)</f>
        <v>1</v>
      </c>
    </row>
    <row r="98" spans="2:32" x14ac:dyDescent="0.25">
      <c r="B98" s="14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</row>
  </sheetData>
  <mergeCells count="13">
    <mergeCell ref="Y2:Z2"/>
    <mergeCell ref="AB2:AC2"/>
    <mergeCell ref="AE2:AF2"/>
    <mergeCell ref="V1:W1"/>
    <mergeCell ref="AB1:AC1"/>
    <mergeCell ref="AE1:AF1"/>
    <mergeCell ref="D2:E2"/>
    <mergeCell ref="G2:H2"/>
    <mergeCell ref="J2:K2"/>
    <mergeCell ref="M2:N2"/>
    <mergeCell ref="P2:Q2"/>
    <mergeCell ref="S2:T2"/>
    <mergeCell ref="V2:W2"/>
  </mergeCells>
  <conditionalFormatting sqref="D4:E40 G4:H40 J4:K40 M4:N40 P4:Q40 S4:T40 V4:W40 Y4:Z40 AB4:AC40 AE4:AF40 D45:E50 G45:H50 J45:K50 M45:N50 P45:Q50 S45:T50 V45:W50 Y45:Z50 AB45:AC50 AE45:AF50 E94:E96 H94:H96 K94:K96 N94:N96 Q94:Q96 T94:T96 W94:W96 Z94:Z96 AC94:AC96 AF94:AF96">
    <cfRule type="cellIs" dxfId="1" priority="2" operator="greaterThan">
      <formula>0</formula>
    </cfRule>
  </conditionalFormatting>
  <conditionalFormatting sqref="E59:E88 H59:H88 K59:K88 N59:N88 Q59:Q88 T59:T88 W59:W88 Z59:Z88 AC59:AC88 AF59:AF88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2DF0-A074-49EA-8B4E-A1B6A56CCE60}">
  <dimension ref="A1:B11"/>
  <sheetViews>
    <sheetView workbookViewId="0">
      <selection activeCell="A2" sqref="A2:A11"/>
    </sheetView>
  </sheetViews>
  <sheetFormatPr defaultRowHeight="15" x14ac:dyDescent="0.25"/>
  <cols>
    <col min="1" max="1" width="11.5703125" bestFit="1" customWidth="1"/>
    <col min="2" max="2" width="48.85546875" bestFit="1" customWidth="1"/>
  </cols>
  <sheetData>
    <row r="1" spans="1:2" ht="16.5" thickBot="1" x14ac:dyDescent="0.3">
      <c r="A1" s="1" t="s">
        <v>3</v>
      </c>
      <c r="B1" s="1" t="s">
        <v>4</v>
      </c>
    </row>
    <row r="2" spans="1:2" x14ac:dyDescent="0.25">
      <c r="A2" t="s">
        <v>14</v>
      </c>
      <c r="B2" t="s">
        <v>15</v>
      </c>
    </row>
    <row r="3" spans="1:2" x14ac:dyDescent="0.25">
      <c r="A3" t="s">
        <v>21</v>
      </c>
      <c r="B3" t="s">
        <v>22</v>
      </c>
    </row>
    <row r="4" spans="1:2" x14ac:dyDescent="0.25">
      <c r="A4" t="s">
        <v>26</v>
      </c>
      <c r="B4" t="s">
        <v>27</v>
      </c>
    </row>
    <row r="5" spans="1:2" x14ac:dyDescent="0.25">
      <c r="A5" t="s">
        <v>30</v>
      </c>
      <c r="B5" t="s">
        <v>31</v>
      </c>
    </row>
    <row r="6" spans="1:2" x14ac:dyDescent="0.25">
      <c r="A6" t="s">
        <v>34</v>
      </c>
      <c r="B6" t="s">
        <v>35</v>
      </c>
    </row>
    <row r="7" spans="1:2" x14ac:dyDescent="0.25">
      <c r="A7" t="s">
        <v>46</v>
      </c>
      <c r="B7" t="s">
        <v>47</v>
      </c>
    </row>
    <row r="8" spans="1:2" x14ac:dyDescent="0.25">
      <c r="A8" t="s">
        <v>60</v>
      </c>
      <c r="B8" t="s">
        <v>61</v>
      </c>
    </row>
    <row r="9" spans="1:2" x14ac:dyDescent="0.25">
      <c r="A9" t="s">
        <v>97</v>
      </c>
      <c r="B9" t="s">
        <v>98</v>
      </c>
    </row>
    <row r="10" spans="1:2" x14ac:dyDescent="0.25">
      <c r="A10" t="s">
        <v>130</v>
      </c>
      <c r="B10" t="s">
        <v>131</v>
      </c>
    </row>
    <row r="11" spans="1:2" x14ac:dyDescent="0.25">
      <c r="A11" t="s">
        <v>138</v>
      </c>
      <c r="B1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IA_2025</vt:lpstr>
      <vt:lpstr>stats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Liu, Tao, OSE</cp:lastModifiedBy>
  <dcterms:created xsi:type="dcterms:W3CDTF">2026-07-23T19:01:53Z</dcterms:created>
  <dcterms:modified xsi:type="dcterms:W3CDTF">2026-07-23T19:20:05Z</dcterms:modified>
</cp:coreProperties>
</file>