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Projects\GilaReportTool\data\"/>
    </mc:Choice>
  </mc:AlternateContent>
  <xr:revisionPtr revIDLastSave="0" documentId="8_{E3145180-5A18-4A08-B5D7-3ED6D96FC935}" xr6:coauthVersionLast="47" xr6:coauthVersionMax="47" xr10:uidLastSave="{00000000-0000-0000-0000-000000000000}"/>
  <bookViews>
    <workbookView xWindow="3000" yWindow="2295" windowWidth="28800" windowHeight="15345" xr2:uid="{6939230A-9BB2-45ED-9EE1-76AFFBD78554}"/>
  </bookViews>
  <sheets>
    <sheet name="luna" sheetId="1" r:id="rId1"/>
  </sheets>
  <definedNames>
    <definedName name="_xlnm.Print_Area" localSheetId="0">luna!$A$1:$AI$46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9" i="1" l="1"/>
  <c r="H40" i="1" s="1"/>
  <c r="H45" i="1" s="1"/>
  <c r="H46" i="1" s="1"/>
  <c r="B14" i="1" s="1"/>
  <c r="P32" i="1"/>
  <c r="M32" i="1"/>
  <c r="F31" i="1"/>
  <c r="S29" i="1"/>
  <c r="F29" i="1"/>
  <c r="AC24" i="1"/>
  <c r="W24" i="1"/>
  <c r="Q24" i="1"/>
  <c r="K24" i="1"/>
  <c r="E24" i="1"/>
  <c r="D24" i="1"/>
  <c r="AD23" i="1"/>
  <c r="AE23" i="1" s="1"/>
  <c r="C23" i="1"/>
  <c r="F23" i="1" s="1"/>
  <c r="G23" i="1" s="1"/>
  <c r="AD22" i="1"/>
  <c r="AE22" i="1" s="1"/>
  <c r="C22" i="1"/>
  <c r="C21" i="1"/>
  <c r="AD20" i="1"/>
  <c r="AE20" i="1" s="1"/>
  <c r="X20" i="1"/>
  <c r="Y20" i="1" s="1"/>
  <c r="R20" i="1"/>
  <c r="S20" i="1" s="1"/>
  <c r="L20" i="1"/>
  <c r="M20" i="1" s="1"/>
  <c r="F20" i="1"/>
  <c r="G20" i="1" s="1"/>
  <c r="C20" i="1"/>
  <c r="X19" i="1"/>
  <c r="Y19" i="1" s="1"/>
  <c r="R19" i="1"/>
  <c r="S19" i="1" s="1"/>
  <c r="L19" i="1"/>
  <c r="M19" i="1" s="1"/>
  <c r="C19" i="1"/>
  <c r="F19" i="1" s="1"/>
  <c r="G19" i="1" s="1"/>
  <c r="AD18" i="1"/>
  <c r="AE18" i="1" s="1"/>
  <c r="X18" i="1"/>
  <c r="Y18" i="1" s="1"/>
  <c r="R18" i="1"/>
  <c r="S18" i="1" s="1"/>
  <c r="C18" i="1"/>
  <c r="L18" i="1" s="1"/>
  <c r="M18" i="1" s="1"/>
  <c r="AD17" i="1"/>
  <c r="AE17" i="1" s="1"/>
  <c r="X17" i="1"/>
  <c r="Y17" i="1" s="1"/>
  <c r="S17" i="1"/>
  <c r="R17" i="1"/>
  <c r="C17" i="1"/>
  <c r="F17" i="1" s="1"/>
  <c r="G17" i="1" s="1"/>
  <c r="AD16" i="1"/>
  <c r="AE16" i="1" s="1"/>
  <c r="X16" i="1"/>
  <c r="Y16" i="1" s="1"/>
  <c r="C16" i="1"/>
  <c r="R16" i="1" s="1"/>
  <c r="S16" i="1" s="1"/>
  <c r="AD15" i="1"/>
  <c r="AE15" i="1" s="1"/>
  <c r="X15" i="1"/>
  <c r="Y15" i="1" s="1"/>
  <c r="C15" i="1"/>
  <c r="L15" i="1" s="1"/>
  <c r="M15" i="1" s="1"/>
  <c r="AE14" i="1"/>
  <c r="AD14" i="1"/>
  <c r="C14" i="1"/>
  <c r="F14" i="1" s="1"/>
  <c r="G14" i="1" s="1"/>
  <c r="AD13" i="1"/>
  <c r="AE13" i="1" s="1"/>
  <c r="X13" i="1"/>
  <c r="Y13" i="1" s="1"/>
  <c r="C13" i="1"/>
  <c r="R13" i="1" s="1"/>
  <c r="S13" i="1" s="1"/>
  <c r="AD12" i="1"/>
  <c r="X12" i="1"/>
  <c r="Y12" i="1" s="1"/>
  <c r="C12" i="1"/>
  <c r="F12" i="1" s="1"/>
  <c r="AD10" i="1"/>
  <c r="X10" i="1"/>
  <c r="R10" i="1"/>
  <c r="L10" i="1"/>
  <c r="F10" i="1"/>
  <c r="S32" i="1" l="1"/>
  <c r="Z14" i="1"/>
  <c r="AA14" i="1" s="1"/>
  <c r="AB14" i="1" s="1"/>
  <c r="H14" i="1"/>
  <c r="N14" i="1"/>
  <c r="AF14" i="1"/>
  <c r="AG14" i="1" s="1"/>
  <c r="AH14" i="1" s="1"/>
  <c r="F32" i="1"/>
  <c r="S31" i="1"/>
  <c r="AE12" i="1"/>
  <c r="AD21" i="1"/>
  <c r="AE21" i="1" s="1"/>
  <c r="R21" i="1"/>
  <c r="S21" i="1" s="1"/>
  <c r="C24" i="1"/>
  <c r="X21" i="1"/>
  <c r="L21" i="1"/>
  <c r="M21" i="1" s="1"/>
  <c r="G12" i="1"/>
  <c r="I14" i="1"/>
  <c r="J14" i="1" s="1"/>
  <c r="F21" i="1"/>
  <c r="G21" i="1" s="1"/>
  <c r="L22" i="1"/>
  <c r="M22" i="1" s="1"/>
  <c r="X22" i="1"/>
  <c r="Y22" i="1" s="1"/>
  <c r="R22" i="1"/>
  <c r="S22" i="1" s="1"/>
  <c r="F22" i="1"/>
  <c r="G22" i="1" s="1"/>
  <c r="F40" i="1"/>
  <c r="L12" i="1"/>
  <c r="L13" i="1"/>
  <c r="M13" i="1" s="1"/>
  <c r="L16" i="1"/>
  <c r="M16" i="1" s="1"/>
  <c r="AD19" i="1"/>
  <c r="AE19" i="1" s="1"/>
  <c r="R23" i="1"/>
  <c r="S23" i="1" s="1"/>
  <c r="N40" i="1"/>
  <c r="N45" i="1" s="1"/>
  <c r="N46" i="1" s="1"/>
  <c r="B20" i="1" s="1"/>
  <c r="F16" i="1"/>
  <c r="G16" i="1" s="1"/>
  <c r="I40" i="1"/>
  <c r="I45" i="1" s="1"/>
  <c r="I46" i="1" s="1"/>
  <c r="B15" i="1" s="1"/>
  <c r="F13" i="1"/>
  <c r="G13" i="1" s="1"/>
  <c r="L23" i="1"/>
  <c r="M23" i="1" s="1"/>
  <c r="J40" i="1"/>
  <c r="J45" i="1" s="1"/>
  <c r="J46" i="1" s="1"/>
  <c r="B16" i="1" s="1"/>
  <c r="K40" i="1"/>
  <c r="K45" i="1" s="1"/>
  <c r="K46" i="1" s="1"/>
  <c r="B17" i="1" s="1"/>
  <c r="L40" i="1"/>
  <c r="L45" i="1" s="1"/>
  <c r="L46" i="1" s="1"/>
  <c r="B18" i="1" s="1"/>
  <c r="M40" i="1"/>
  <c r="M45" i="1" s="1"/>
  <c r="M46" i="1" s="1"/>
  <c r="B19" i="1" s="1"/>
  <c r="L14" i="1"/>
  <c r="M14" i="1" s="1"/>
  <c r="O14" i="1" s="1"/>
  <c r="P14" i="1" s="1"/>
  <c r="F18" i="1"/>
  <c r="G18" i="1" s="1"/>
  <c r="O40" i="1"/>
  <c r="O45" i="1" s="1"/>
  <c r="O46" i="1" s="1"/>
  <c r="B21" i="1" s="1"/>
  <c r="R15" i="1"/>
  <c r="S15" i="1" s="1"/>
  <c r="P40" i="1"/>
  <c r="P45" i="1" s="1"/>
  <c r="P46" i="1" s="1"/>
  <c r="B22" i="1" s="1"/>
  <c r="L17" i="1"/>
  <c r="M17" i="1" s="1"/>
  <c r="Q40" i="1"/>
  <c r="Q45" i="1" s="1"/>
  <c r="Q46" i="1" s="1"/>
  <c r="B23" i="1" s="1"/>
  <c r="R12" i="1"/>
  <c r="X23" i="1"/>
  <c r="Y23" i="1" s="1"/>
  <c r="F15" i="1"/>
  <c r="G15" i="1" s="1"/>
  <c r="G40" i="1"/>
  <c r="G45" i="1" s="1"/>
  <c r="G46" i="1" s="1"/>
  <c r="B13" i="1" s="1"/>
  <c r="AF17" i="1" l="1"/>
  <c r="AG17" i="1" s="1"/>
  <c r="AH17" i="1" s="1"/>
  <c r="N17" i="1"/>
  <c r="Z17" i="1"/>
  <c r="AA17" i="1" s="1"/>
  <c r="AB17" i="1" s="1"/>
  <c r="H17" i="1"/>
  <c r="I17" i="1" s="1"/>
  <c r="J17" i="1" s="1"/>
  <c r="T17" i="1"/>
  <c r="U17" i="1" s="1"/>
  <c r="V17" i="1" s="1"/>
  <c r="H15" i="1"/>
  <c r="N15" i="1"/>
  <c r="O15" i="1" s="1"/>
  <c r="P15" i="1" s="1"/>
  <c r="T15" i="1"/>
  <c r="AF15" i="1"/>
  <c r="AG15" i="1" s="1"/>
  <c r="AH15" i="1" s="1"/>
  <c r="Z15" i="1"/>
  <c r="AA15" i="1" s="1"/>
  <c r="AB15" i="1" s="1"/>
  <c r="AG21" i="1"/>
  <c r="AH21" i="1" s="1"/>
  <c r="N23" i="1"/>
  <c r="O23" i="1" s="1"/>
  <c r="T23" i="1"/>
  <c r="U23" i="1" s="1"/>
  <c r="V23" i="1" s="1"/>
  <c r="H23" i="1"/>
  <c r="I23" i="1" s="1"/>
  <c r="AF23" i="1"/>
  <c r="AG23" i="1" s="1"/>
  <c r="AH23" i="1" s="1"/>
  <c r="Z23" i="1"/>
  <c r="AA23" i="1" s="1"/>
  <c r="F24" i="1"/>
  <c r="F45" i="1"/>
  <c r="R40" i="1"/>
  <c r="O17" i="1"/>
  <c r="P17" i="1" s="1"/>
  <c r="Z22" i="1"/>
  <c r="AA22" i="1" s="1"/>
  <c r="AB22" i="1" s="1"/>
  <c r="N22" i="1"/>
  <c r="H22" i="1"/>
  <c r="T22" i="1"/>
  <c r="AF22" i="1"/>
  <c r="AG22" i="1" s="1"/>
  <c r="AH22" i="1" s="1"/>
  <c r="AE24" i="1"/>
  <c r="Q31" i="1"/>
  <c r="N31" i="1"/>
  <c r="U15" i="1"/>
  <c r="V15" i="1" s="1"/>
  <c r="U22" i="1"/>
  <c r="V22" i="1" s="1"/>
  <c r="G31" i="1"/>
  <c r="N16" i="1"/>
  <c r="O16" i="1" s="1"/>
  <c r="P16" i="1" s="1"/>
  <c r="H16" i="1"/>
  <c r="I16" i="1" s="1"/>
  <c r="J16" i="1" s="1"/>
  <c r="AF16" i="1"/>
  <c r="AG16" i="1" s="1"/>
  <c r="AH16" i="1" s="1"/>
  <c r="Z16" i="1"/>
  <c r="AA16" i="1" s="1"/>
  <c r="AB16" i="1" s="1"/>
  <c r="T16" i="1"/>
  <c r="U16" i="1" s="1"/>
  <c r="V16" i="1" s="1"/>
  <c r="O13" i="1"/>
  <c r="M12" i="1"/>
  <c r="L24" i="1"/>
  <c r="R24" i="1"/>
  <c r="S12" i="1"/>
  <c r="AD24" i="1"/>
  <c r="T21" i="1"/>
  <c r="U21" i="1" s="1"/>
  <c r="V21" i="1" s="1"/>
  <c r="N21" i="1"/>
  <c r="Z21" i="1"/>
  <c r="AF21" i="1"/>
  <c r="H21" i="1"/>
  <c r="I21" i="1" s="1"/>
  <c r="J21" i="1" s="1"/>
  <c r="H19" i="1"/>
  <c r="I19" i="1" s="1"/>
  <c r="J19" i="1" s="1"/>
  <c r="T19" i="1"/>
  <c r="U19" i="1" s="1"/>
  <c r="V19" i="1" s="1"/>
  <c r="AF19" i="1"/>
  <c r="AG19" i="1" s="1"/>
  <c r="AH19" i="1" s="1"/>
  <c r="Z19" i="1"/>
  <c r="AA19" i="1" s="1"/>
  <c r="AB19" i="1" s="1"/>
  <c r="N19" i="1"/>
  <c r="O19" i="1" s="1"/>
  <c r="P19" i="1" s="1"/>
  <c r="AF18" i="1"/>
  <c r="AG18" i="1" s="1"/>
  <c r="AH18" i="1" s="1"/>
  <c r="Z18" i="1"/>
  <c r="AA18" i="1" s="1"/>
  <c r="AB18" i="1" s="1"/>
  <c r="H18" i="1"/>
  <c r="I18" i="1" s="1"/>
  <c r="J18" i="1" s="1"/>
  <c r="T18" i="1"/>
  <c r="U18" i="1" s="1"/>
  <c r="V18" i="1" s="1"/>
  <c r="N18" i="1"/>
  <c r="O18" i="1" s="1"/>
  <c r="P18" i="1" s="1"/>
  <c r="G24" i="1"/>
  <c r="T20" i="1"/>
  <c r="U20" i="1" s="1"/>
  <c r="V20" i="1" s="1"/>
  <c r="N20" i="1"/>
  <c r="O20" i="1" s="1"/>
  <c r="P20" i="1" s="1"/>
  <c r="AF20" i="1"/>
  <c r="AG20" i="1" s="1"/>
  <c r="AH20" i="1" s="1"/>
  <c r="Z20" i="1"/>
  <c r="AA20" i="1" s="1"/>
  <c r="AB20" i="1" s="1"/>
  <c r="H20" i="1"/>
  <c r="I20" i="1" s="1"/>
  <c r="J20" i="1" s="1"/>
  <c r="O21" i="1"/>
  <c r="P21" i="1" s="1"/>
  <c r="Y21" i="1"/>
  <c r="X24" i="1"/>
  <c r="T13" i="1"/>
  <c r="U13" i="1" s="1"/>
  <c r="V13" i="1" s="1"/>
  <c r="N13" i="1"/>
  <c r="AF13" i="1"/>
  <c r="AG13" i="1" s="1"/>
  <c r="AH13" i="1" s="1"/>
  <c r="H13" i="1"/>
  <c r="I13" i="1" s="1"/>
  <c r="Z13" i="1"/>
  <c r="AA13" i="1" s="1"/>
  <c r="I15" i="1"/>
  <c r="J15" i="1" s="1"/>
  <c r="I22" i="1"/>
  <c r="J22" i="1" s="1"/>
  <c r="O22" i="1"/>
  <c r="P22" i="1" s="1"/>
  <c r="J24" i="1" l="1"/>
  <c r="P24" i="1"/>
  <c r="F46" i="1"/>
  <c r="R45" i="1"/>
  <c r="T31" i="1"/>
  <c r="AA21" i="1"/>
  <c r="AB21" i="1" s="1"/>
  <c r="AB24" i="1" s="1"/>
  <c r="Y24" i="1"/>
  <c r="M24" i="1"/>
  <c r="H31" i="1" s="1"/>
  <c r="S24" i="1"/>
  <c r="R46" i="1" l="1"/>
  <c r="B12" i="1"/>
  <c r="T12" i="1" l="1"/>
  <c r="H12" i="1"/>
  <c r="N12" i="1"/>
  <c r="AF12" i="1"/>
  <c r="B24" i="1"/>
  <c r="C29" i="1" s="1"/>
  <c r="Z12" i="1"/>
  <c r="Q29" i="1" l="1"/>
  <c r="Q32" i="1" s="1"/>
  <c r="N29" i="1"/>
  <c r="N32" i="1" s="1"/>
  <c r="G29" i="1"/>
  <c r="AF24" i="1"/>
  <c r="AG12" i="1"/>
  <c r="Z24" i="1"/>
  <c r="AA12" i="1"/>
  <c r="AA24" i="1" s="1"/>
  <c r="N24" i="1"/>
  <c r="O12" i="1"/>
  <c r="O24" i="1" s="1"/>
  <c r="H24" i="1"/>
  <c r="I12" i="1"/>
  <c r="I24" i="1" s="1"/>
  <c r="T24" i="1"/>
  <c r="U12" i="1"/>
  <c r="V12" i="1" l="1"/>
  <c r="V24" i="1" s="1"/>
  <c r="I32" i="1" s="1"/>
  <c r="J32" i="1" s="1"/>
  <c r="K29" i="1" s="1"/>
  <c r="U24" i="1"/>
  <c r="AH12" i="1"/>
  <c r="AH24" i="1" s="1"/>
  <c r="AG24" i="1"/>
  <c r="G32" i="1"/>
  <c r="T29" i="1"/>
  <c r="H29" i="1"/>
  <c r="H32" i="1" s="1"/>
  <c r="T32" i="1" l="1"/>
  <c r="O29" i="1"/>
  <c r="O31" i="1"/>
  <c r="K32" i="1"/>
  <c r="K31" i="1"/>
  <c r="U31" i="1" l="1"/>
  <c r="V31" i="1" s="1"/>
  <c r="O32" i="1"/>
  <c r="U29" i="1"/>
  <c r="U32" i="1" l="1"/>
  <c r="V29" i="1"/>
  <c r="V32" i="1" s="1"/>
  <c r="W32" i="1" s="1"/>
  <c r="X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5DAA81D1-E78D-472F-B770-9ED3D4702EA9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2D0E8D48-4900-4DDF-A477-64AE15F8C2B3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9D450A62-BAD3-433B-A447-E6F0FD1664F5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86DF05C0-0722-4241-9744-681815F851C9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2261E601-EB1E-4C9F-9ED5-770E786F22A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U11" authorId="0" shapeId="0" xr:uid="{6762BEA9-57C3-4C7C-8730-7E47DA124291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X11" authorId="0" shapeId="0" xr:uid="{11A4F28F-EE72-4003-BD17-D55C349382CC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A11" authorId="0" shapeId="0" xr:uid="{3485EA84-4CF7-4B36-BD1E-08AFD83F4EB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D11" authorId="0" shapeId="0" xr:uid="{A217419D-015D-4DE5-8D00-C23549923D0F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G11" authorId="0" shapeId="0" xr:uid="{56949AD7-664D-4131-B6B1-F145CAF6A9F6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sharedStrings.xml><?xml version="1.0" encoding="utf-8"?>
<sst xmlns="http://schemas.openxmlformats.org/spreadsheetml/2006/main" count="145" uniqueCount="87">
  <si>
    <t>LUNA</t>
  </si>
  <si>
    <t>Crop acres diversion required for CU = crop acres * CIR / e;  Reservoir acres diversion required for CU = reservoir acres  * ( (monthly pan evap * 0.8) - precip)  /  e</t>
  </si>
  <si>
    <t xml:space="preserve"> </t>
  </si>
  <si>
    <t>"e" = efficiency  diversion to consumptive use=</t>
  </si>
  <si>
    <t>0.30</t>
  </si>
  <si>
    <r>
      <t>Farm efficiency (40%)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30%</t>
    </r>
  </si>
  <si>
    <r>
      <t>a</t>
    </r>
    <r>
      <rPr>
        <sz val="12"/>
        <rFont val="Arial"/>
        <family val="2"/>
      </rPr>
      <t xml:space="preserve"> Gila River Hydrographic Survey Report Volume 5; 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1970 Arizona v. California Report backup computations</t>
    </r>
  </si>
  <si>
    <t>Metered Diversions  -- Crop Acres and Reservoir Acres</t>
  </si>
  <si>
    <t>Northside Luna Ditch</t>
  </si>
  <si>
    <t>William S. Laney Ditch</t>
  </si>
  <si>
    <t>A. Laney Ditch</t>
  </si>
  <si>
    <t>Leslie Laney Ditch</t>
  </si>
  <si>
    <t>Adair Luna  Ditch</t>
  </si>
  <si>
    <t>reservoir  acres</t>
  </si>
  <si>
    <t>reservoir acres</t>
  </si>
  <si>
    <t>pre-plant acres</t>
  </si>
  <si>
    <t>crop acres</t>
  </si>
  <si>
    <t>total acres</t>
  </si>
  <si>
    <t>MONTH</t>
  </si>
  <si>
    <t>CIR (ft)/e</t>
  </si>
  <si>
    <t>Average Area Monthly Pan *(0.8) Evaporation (ft)</t>
  </si>
  <si>
    <t xml:space="preserve">Precipitation (ft) </t>
  </si>
  <si>
    <t>Diverted</t>
  </si>
  <si>
    <t>Reservoir Evap. minus Precip.      (ac-ft)</t>
  </si>
  <si>
    <t>Reservoir Acres Diversion required for CU</t>
  </si>
  <si>
    <t>Crop Acres Diversion required for CU</t>
  </si>
  <si>
    <t>Total Diversion required for CU</t>
  </si>
  <si>
    <t>Total Short to Required Diversion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</si>
  <si>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</si>
  <si>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</si>
  <si>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</si>
  <si>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</si>
  <si>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</si>
  <si>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</si>
  <si>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</si>
  <si>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</si>
  <si>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</si>
  <si>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</si>
  <si>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</si>
  <si>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</si>
  <si>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</si>
  <si>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Daily diversion records were used to assess whether a shortage condition truly existed in months for which only partial daily data were available, e.g. spring and fall at data logger startup/shutdown.</t>
  </si>
  <si>
    <t>Estimated from partial data.</t>
  </si>
  <si>
    <t>Reservoirs with small amounts of evaporation exceeding precipitation during winter were assumed to have no shortage in those months, despite the lack of diversion data for that period.</t>
  </si>
  <si>
    <t>Consumptive Use</t>
  </si>
  <si>
    <t>Metered</t>
  </si>
  <si>
    <t xml:space="preserve">Non-Metered </t>
  </si>
  <si>
    <t>Total</t>
  </si>
  <si>
    <t>CIR full season (ft)</t>
  </si>
  <si>
    <t>CIR Jul-Nov (ft)</t>
  </si>
  <si>
    <t xml:space="preserve">Acres Subject to Shortage </t>
  </si>
  <si>
    <t>CU Demand/Full Supply</t>
  </si>
  <si>
    <t>Diversion Required for CU *</t>
  </si>
  <si>
    <t>Diversion Shortage to CU *</t>
  </si>
  <si>
    <t>Fractional Shortage to Diversion Required</t>
  </si>
  <si>
    <t>Shortage to CU</t>
  </si>
  <si>
    <t>Acres Subject to Shortage</t>
  </si>
  <si>
    <t>Acres NOT Subject to Shortage**</t>
  </si>
  <si>
    <t>Total Acres</t>
  </si>
  <si>
    <t>Total CU Demand/Full Supply</t>
  </si>
  <si>
    <t>Total  Shortage to CU Demand</t>
  </si>
  <si>
    <t>Tota Crop &amp; Pond CU</t>
  </si>
  <si>
    <t>Incidental Losses</t>
  </si>
  <si>
    <t>Total Irrigated CU</t>
  </si>
  <si>
    <t>Full Season</t>
  </si>
  <si>
    <t>Pre-Plant</t>
  </si>
  <si>
    <t>Reservoir</t>
  </si>
  <si>
    <t xml:space="preserve"> * Shortage based on measured surface water diversions; no groundwater supplement</t>
  </si>
  <si>
    <t>**Groundwater supplied</t>
  </si>
  <si>
    <t>MONTHLY CIR COMPUTED USING THE SCS MODIFIED BLANEY-CRIDDLE METHOD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</si>
  <si>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</si>
  <si>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</si>
  <si>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</si>
  <si>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</si>
  <si>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</si>
  <si>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</si>
  <si>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</si>
  <si>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</si>
  <si>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</si>
  <si>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</si>
  <si>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</si>
  <si>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Weighted CIR - in</t>
  </si>
  <si>
    <t>Ratio to Annual Total</t>
  </si>
  <si>
    <t>ORIGINAL BLANEY-CRIDDLE ANNUAL WCIR</t>
  </si>
  <si>
    <t>inches DISTRIBUTED USING MODIFIED BLANEY-CRIDDLE MONTHLY DISTRIBUTION RATIOS</t>
  </si>
  <si>
    <t>CIR (in)</t>
  </si>
  <si>
    <t>CIR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</si>
</sst>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color rgb="FFFF0000"/>
      <name val="Tahoma"/>
      <family val="2"/>
    </font>
    <font>
      <sz val="9"/>
      <color rgb="FF00B050"/>
      <name val="Tahoma"/>
      <family val="2"/>
    </font>
    <font>
      <vertAlign val="superscript"/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b/>
      <sz val="12"/>
      <color rgb="FF00B05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gray0625">
        <fgColor indexed="31"/>
        <bgColor indexed="43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2" fontId="2" fillId="0" borderId="0" xfId="0" applyNumberFormat="1" applyFont="1" applyAlignment="1">
      <alignment horizontal="justify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0" borderId="0" xfId="0" applyFont="1"/>
    <xf numFmtId="2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 textRotation="90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2" fontId="1" fillId="0" borderId="0" xfId="0" applyNumberFormat="1" applyFont="1"/>
    <xf numFmtId="2" fontId="3" fillId="0" borderId="0" xfId="0" applyNumberFormat="1" applyFont="1" applyAlignment="1">
      <alignment horizontal="right" shrinkToFit="1"/>
    </xf>
    <xf numFmtId="0" fontId="1" fillId="0" borderId="0" xfId="0" applyFont="1" applyAlignment="1">
      <alignment horizontal="right" shrinkToFit="1"/>
    </xf>
    <xf numFmtId="2" fontId="4" fillId="0" borderId="0" xfId="0" applyNumberFormat="1" applyFont="1" applyAlignment="1">
      <alignment horizontal="right"/>
    </xf>
    <xf numFmtId="2" fontId="7" fillId="0" borderId="0" xfId="0" applyNumberFormat="1" applyFont="1"/>
    <xf numFmtId="2" fontId="4" fillId="0" borderId="0" xfId="0" applyNumberFormat="1" applyFont="1" applyAlignment="1">
      <alignment horizontal="center"/>
    </xf>
    <xf numFmtId="2" fontId="2" fillId="2" borderId="0" xfId="0" applyNumberFormat="1" applyFont="1" applyFill="1" applyAlignment="1">
      <alignment horizontal="left"/>
    </xf>
    <xf numFmtId="2" fontId="3" fillId="2" borderId="0" xfId="0" applyNumberFormat="1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10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/>
    </xf>
    <xf numFmtId="2" fontId="10" fillId="0" borderId="0" xfId="0" applyNumberFormat="1" applyFont="1"/>
    <xf numFmtId="2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 textRotation="90" wrapText="1"/>
    </xf>
    <xf numFmtId="2" fontId="4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 wrapText="1"/>
    </xf>
    <xf numFmtId="2" fontId="10" fillId="0" borderId="0" xfId="0" applyNumberFormat="1" applyFont="1" applyAlignment="1">
      <alignment horizontal="center"/>
    </xf>
    <xf numFmtId="4" fontId="3" fillId="0" borderId="0" xfId="0" applyNumberFormat="1" applyFont="1"/>
    <xf numFmtId="2" fontId="10" fillId="0" borderId="0" xfId="1" applyNumberFormat="1" applyFont="1" applyAlignment="1">
      <alignment horizontal="right"/>
    </xf>
    <xf numFmtId="2" fontId="3" fillId="5" borderId="0" xfId="0" applyNumberFormat="1" applyFont="1" applyFill="1"/>
    <xf numFmtId="2" fontId="3" fillId="5" borderId="0" xfId="0" applyNumberFormat="1" applyFont="1" applyFill="1" applyAlignment="1">
      <alignment horizontal="center"/>
    </xf>
    <xf numFmtId="2" fontId="10" fillId="6" borderId="0" xfId="0" applyNumberFormat="1" applyFont="1" applyFill="1"/>
    <xf numFmtId="2" fontId="3" fillId="6" borderId="0" xfId="0" applyNumberFormat="1" applyFont="1" applyFill="1"/>
    <xf numFmtId="2" fontId="2" fillId="7" borderId="1" xfId="0" applyNumberFormat="1" applyFont="1" applyFill="1" applyBorder="1" applyAlignment="1">
      <alignment horizontal="centerContinuous" vertical="center"/>
    </xf>
    <xf numFmtId="2" fontId="2" fillId="7" borderId="2" xfId="0" applyNumberFormat="1" applyFont="1" applyFill="1" applyBorder="1" applyAlignment="1">
      <alignment horizontal="centerContinuous" vertical="center"/>
    </xf>
    <xf numFmtId="0" fontId="2" fillId="7" borderId="2" xfId="0" applyFont="1" applyFill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center" vertical="center"/>
    </xf>
    <xf numFmtId="0" fontId="0" fillId="0" borderId="2" xfId="0" applyBorder="1"/>
    <xf numFmtId="2" fontId="2" fillId="7" borderId="2" xfId="0" applyNumberFormat="1" applyFont="1" applyFill="1" applyBorder="1" applyAlignment="1">
      <alignment horizontal="center" vertical="center"/>
    </xf>
    <xf numFmtId="0" fontId="8" fillId="0" borderId="2" xfId="0" applyFont="1" applyBorder="1"/>
    <xf numFmtId="2" fontId="2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/>
    <xf numFmtId="0" fontId="8" fillId="0" borderId="3" xfId="0" applyFont="1" applyBorder="1"/>
    <xf numFmtId="0" fontId="8" fillId="7" borderId="2" xfId="0" applyFont="1" applyFill="1" applyBorder="1"/>
    <xf numFmtId="2" fontId="9" fillId="0" borderId="0" xfId="0" applyNumberFormat="1" applyFont="1" applyAlignment="1">
      <alignment wrapText="1"/>
    </xf>
    <xf numFmtId="2" fontId="9" fillId="0" borderId="0" xfId="0" applyNumberFormat="1" applyFont="1" applyAlignment="1">
      <alignment horizontal="center" vertical="center" textRotation="90" wrapText="1"/>
    </xf>
    <xf numFmtId="2" fontId="9" fillId="0" borderId="0" xfId="0" applyNumberFormat="1" applyFont="1" applyAlignment="1">
      <alignment textRotation="90" wrapText="1"/>
    </xf>
    <xf numFmtId="0" fontId="1" fillId="0" borderId="0" xfId="0" applyFont="1"/>
    <xf numFmtId="0" fontId="4" fillId="0" borderId="0" xfId="0" applyFont="1"/>
    <xf numFmtId="1" fontId="3" fillId="0" borderId="0" xfId="0" applyNumberFormat="1" applyFont="1"/>
    <xf numFmtId="2" fontId="4" fillId="7" borderId="0" xfId="0" applyNumberFormat="1" applyFont="1" applyFill="1" applyAlignment="1">
      <alignment horizontal="left"/>
    </xf>
    <xf numFmtId="0" fontId="3" fillId="7" borderId="0" xfId="0" applyFont="1" applyFill="1"/>
    <xf numFmtId="2" fontId="4" fillId="7" borderId="0" xfId="0" applyNumberFormat="1" applyFont="1" applyFill="1"/>
    <xf numFmtId="2" fontId="4" fillId="7" borderId="0" xfId="0" applyNumberFormat="1" applyFont="1" applyFill="1" applyAlignment="1">
      <alignment horizontal="center"/>
    </xf>
    <xf numFmtId="2" fontId="3" fillId="7" borderId="0" xfId="0" applyNumberFormat="1" applyFont="1" applyFill="1"/>
    <xf numFmtId="2" fontId="3" fillId="7" borderId="0" xfId="0" applyNumberFormat="1" applyFont="1" applyFill="1" applyAlignment="1">
      <alignment horizontal="center"/>
    </xf>
    <xf numFmtId="2" fontId="11" fillId="0" borderId="0" xfId="0" applyNumberFormat="1" applyFont="1"/>
    <xf numFmtId="2" fontId="12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646053EA-6868-40A2-B027-388AD06DEA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83C2-A169-4683-8813-BBE7A1746F19}">
  <sheetPr>
    <pageSetUpPr fitToPage="1"/>
  </sheetPr>
  <dimension ref="A1:AS63"/>
  <sheetViews>
    <sheetView tabSelected="1" topLeftCell="A3" zoomScale="85" zoomScaleNormal="85" zoomScaleSheetLayoutView="75" workbookViewId="0">
      <selection activeCell="A25" sqref="A25"/>
    </sheetView>
  </sheetViews>
  <sheetFormatPr defaultColWidth="9.140625" defaultRowHeight="15" x14ac:dyDescent="0.2"/>
  <cols>
    <col min="1" max="1" width="28.28515625" style="4" customWidth="1"/>
    <col min="2" max="34" width="10.7109375" style="4" customWidth="1"/>
    <col min="35" max="35" width="7.42578125" style="4" customWidth="1"/>
    <col min="36" max="36" width="7.140625" style="4" bestFit="1" customWidth="1"/>
    <col min="37" max="37" width="8.7109375" style="4" customWidth="1"/>
    <col min="38" max="39" width="8.7109375" style="4" bestFit="1" customWidth="1"/>
    <col min="40" max="40" width="9" style="4" customWidth="1"/>
    <col min="41" max="207" width="9.7109375" style="4" customWidth="1"/>
    <col min="208" max="16384" width="9.140625" style="4"/>
  </cols>
  <sheetData>
    <row r="1" spans="1:45" ht="18" x14ac:dyDescent="0.25">
      <c r="A1" s="1" t="s">
        <v>0</v>
      </c>
      <c r="B1" s="2" t="s">
        <v>1</v>
      </c>
      <c r="C1" s="2"/>
      <c r="D1" s="2"/>
      <c r="E1" s="2"/>
      <c r="F1" s="2"/>
      <c r="G1" s="3"/>
      <c r="H1" s="2"/>
      <c r="I1" s="2"/>
      <c r="J1" s="2"/>
      <c r="K1" s="2"/>
      <c r="L1" s="2"/>
      <c r="M1" s="3"/>
      <c r="O1" s="5"/>
      <c r="P1" s="5"/>
      <c r="Q1" s="5"/>
      <c r="R1" s="2"/>
      <c r="S1" s="6"/>
      <c r="T1" s="2"/>
      <c r="U1" s="2"/>
      <c r="V1" s="2"/>
      <c r="W1" s="2"/>
      <c r="X1" s="2"/>
      <c r="Y1" s="3"/>
      <c r="Z1" s="2"/>
      <c r="AA1" s="2"/>
      <c r="AB1" s="2"/>
      <c r="AC1" s="2"/>
      <c r="AD1" s="2"/>
      <c r="AE1" s="3"/>
      <c r="AF1" s="2"/>
      <c r="AG1" s="2"/>
    </row>
    <row r="2" spans="1:45" s="2" customFormat="1" ht="16.899999999999999" customHeight="1" x14ac:dyDescent="0.25">
      <c r="A2" s="5" t="s">
        <v>2</v>
      </c>
      <c r="B2" s="5"/>
      <c r="C2" s="7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9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9"/>
    </row>
    <row r="3" spans="1:45" s="2" customFormat="1" ht="20.65" customHeight="1" x14ac:dyDescent="0.25">
      <c r="A3" s="12" t="s">
        <v>3</v>
      </c>
      <c r="B3" s="12"/>
      <c r="C3" s="13"/>
      <c r="D3" s="14" t="s">
        <v>4</v>
      </c>
      <c r="E3" s="2" t="s">
        <v>5</v>
      </c>
      <c r="J3" s="3"/>
      <c r="O3" s="3"/>
      <c r="Q3" s="6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45" ht="18.75" x14ac:dyDescent="0.25">
      <c r="A4" s="15" t="s">
        <v>6</v>
      </c>
      <c r="B4" s="15"/>
      <c r="C4" s="2"/>
      <c r="F4" s="5"/>
      <c r="G4" s="16"/>
      <c r="H4" s="5"/>
      <c r="I4" s="5"/>
      <c r="J4" s="5"/>
      <c r="K4" s="5"/>
      <c r="L4" s="5"/>
      <c r="M4" s="16"/>
      <c r="N4" s="5"/>
      <c r="O4" s="5"/>
      <c r="P4" s="5"/>
      <c r="Q4" s="5"/>
      <c r="R4" s="5"/>
      <c r="S4" s="16"/>
      <c r="T4" s="5"/>
      <c r="U4" s="5"/>
      <c r="V4" s="2"/>
      <c r="W4" s="2"/>
      <c r="X4" s="2"/>
      <c r="Y4" s="3"/>
      <c r="Z4" s="5"/>
      <c r="AG4" s="2"/>
    </row>
    <row r="5" spans="1:45" s="2" customFormat="1" ht="18" x14ac:dyDescent="0.25">
      <c r="A5" s="17" t="s">
        <v>7</v>
      </c>
      <c r="B5" s="17"/>
      <c r="C5" s="18"/>
      <c r="D5" s="18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/>
      <c r="AH5" s="18"/>
      <c r="AI5" s="18"/>
      <c r="AJ5" s="18"/>
      <c r="AK5" s="18"/>
      <c r="AL5" s="18"/>
      <c r="AM5" s="18"/>
      <c r="AN5" s="18"/>
      <c r="AO5" s="18"/>
    </row>
    <row r="6" spans="1:45" s="2" customFormat="1" ht="15.75" customHeight="1" x14ac:dyDescent="0.25">
      <c r="A6" s="16"/>
      <c r="B6" s="16"/>
      <c r="D6" s="16"/>
      <c r="E6" s="21" t="s">
        <v>8</v>
      </c>
      <c r="F6" s="22"/>
      <c r="G6" s="22"/>
      <c r="H6" s="22"/>
      <c r="I6" s="22"/>
      <c r="J6" s="22"/>
      <c r="K6" s="23" t="s">
        <v>9</v>
      </c>
      <c r="L6" s="23"/>
      <c r="M6" s="23"/>
      <c r="N6" s="23"/>
      <c r="O6" s="23"/>
      <c r="P6" s="23"/>
      <c r="Q6" s="24" t="s">
        <v>10</v>
      </c>
      <c r="R6" s="24"/>
      <c r="S6" s="24"/>
      <c r="T6" s="24"/>
      <c r="U6" s="24"/>
      <c r="V6" s="24"/>
      <c r="W6" s="23" t="s">
        <v>11</v>
      </c>
      <c r="X6" s="23"/>
      <c r="Y6" s="23"/>
      <c r="Z6" s="23"/>
      <c r="AA6" s="23"/>
      <c r="AB6" s="23"/>
      <c r="AC6" s="24" t="s">
        <v>12</v>
      </c>
      <c r="AD6" s="24"/>
      <c r="AE6" s="24"/>
      <c r="AF6" s="24"/>
      <c r="AG6" s="24"/>
      <c r="AH6" s="24"/>
      <c r="AI6" s="25"/>
      <c r="AJ6" s="26"/>
      <c r="AK6" s="26"/>
      <c r="AL6" s="26"/>
      <c r="AM6" s="26"/>
      <c r="AN6" s="26"/>
      <c r="AO6" s="27"/>
      <c r="AP6" s="27"/>
      <c r="AQ6" s="27"/>
    </row>
    <row r="7" spans="1:45" s="2" customFormat="1" x14ac:dyDescent="0.2">
      <c r="F7" s="28">
        <v>1.22</v>
      </c>
      <c r="G7" s="29" t="s">
        <v>13</v>
      </c>
      <c r="H7" s="29"/>
      <c r="I7" s="29"/>
      <c r="L7" s="28">
        <v>1.25</v>
      </c>
      <c r="M7" s="29" t="s">
        <v>13</v>
      </c>
      <c r="N7" s="29"/>
      <c r="O7" s="29"/>
      <c r="R7" s="28">
        <v>0</v>
      </c>
      <c r="S7" s="29" t="s">
        <v>13</v>
      </c>
      <c r="T7" s="29"/>
      <c r="U7" s="29"/>
      <c r="X7" s="28">
        <v>0.06</v>
      </c>
      <c r="Y7" s="2" t="s">
        <v>14</v>
      </c>
      <c r="Z7" s="29"/>
      <c r="AA7" s="29"/>
      <c r="AD7" s="28">
        <v>0</v>
      </c>
      <c r="AE7" s="29" t="s">
        <v>13</v>
      </c>
      <c r="AF7" s="29"/>
      <c r="AG7" s="29"/>
      <c r="AJ7" s="30"/>
      <c r="AK7" s="29"/>
      <c r="AL7" s="29"/>
      <c r="AM7" s="29"/>
      <c r="AO7" s="30"/>
      <c r="AP7" s="29"/>
      <c r="AQ7" s="29"/>
      <c r="AR7" s="29"/>
    </row>
    <row r="8" spans="1:45" s="2" customFormat="1" x14ac:dyDescent="0.2">
      <c r="F8" s="30">
        <v>0</v>
      </c>
      <c r="G8" s="29" t="s">
        <v>15</v>
      </c>
      <c r="H8" s="29"/>
      <c r="I8" s="29"/>
      <c r="L8" s="30">
        <v>0</v>
      </c>
      <c r="M8" s="29" t="s">
        <v>15</v>
      </c>
      <c r="N8" s="29"/>
      <c r="O8" s="29"/>
      <c r="R8" s="30">
        <v>0</v>
      </c>
      <c r="S8" s="29" t="s">
        <v>15</v>
      </c>
      <c r="T8" s="29"/>
      <c r="U8" s="29"/>
      <c r="X8" s="30">
        <v>0</v>
      </c>
      <c r="Y8" s="29" t="s">
        <v>15</v>
      </c>
      <c r="Z8" s="29"/>
      <c r="AA8" s="29"/>
      <c r="AD8" s="30">
        <v>0</v>
      </c>
      <c r="AE8" s="29" t="s">
        <v>15</v>
      </c>
      <c r="AF8" s="29"/>
      <c r="AG8" s="29"/>
      <c r="AJ8" s="30"/>
      <c r="AK8" s="29"/>
      <c r="AL8" s="29"/>
      <c r="AM8" s="29"/>
      <c r="AO8" s="30"/>
      <c r="AQ8" s="29"/>
      <c r="AR8" s="29"/>
    </row>
    <row r="9" spans="1:45" s="2" customFormat="1" x14ac:dyDescent="0.2">
      <c r="C9" s="3"/>
      <c r="F9" s="31">
        <v>77</v>
      </c>
      <c r="G9" s="2" t="s">
        <v>16</v>
      </c>
      <c r="L9" s="28">
        <v>38.58</v>
      </c>
      <c r="M9" s="2" t="s">
        <v>16</v>
      </c>
      <c r="R9" s="31">
        <v>14.44</v>
      </c>
      <c r="S9" s="2" t="s">
        <v>16</v>
      </c>
      <c r="X9" s="31">
        <v>0</v>
      </c>
      <c r="Y9" s="2" t="s">
        <v>16</v>
      </c>
      <c r="AD9" s="31">
        <v>12.23</v>
      </c>
      <c r="AE9" s="2" t="s">
        <v>16</v>
      </c>
    </row>
    <row r="10" spans="1:45" s="2" customFormat="1" x14ac:dyDescent="0.2">
      <c r="C10" s="3"/>
      <c r="F10" s="30">
        <f>SUM(F7:F9)</f>
        <v>78.22</v>
      </c>
      <c r="G10" s="2" t="s">
        <v>17</v>
      </c>
      <c r="L10" s="30">
        <f>SUM(L7:L9)</f>
        <v>39.83</v>
      </c>
      <c r="M10" s="2" t="s">
        <v>17</v>
      </c>
      <c r="R10" s="30">
        <f>SUM(R7:R9)</f>
        <v>14.44</v>
      </c>
      <c r="S10" s="2" t="s">
        <v>17</v>
      </c>
      <c r="X10" s="30">
        <f>SUM(X7:X9)</f>
        <v>0.06</v>
      </c>
      <c r="Y10" s="2" t="s">
        <v>17</v>
      </c>
      <c r="AD10" s="30">
        <f>SUM(AD7:AD9)</f>
        <v>12.23</v>
      </c>
      <c r="AE10" s="2" t="s">
        <v>17</v>
      </c>
      <c r="AJ10" s="30"/>
    </row>
    <row r="11" spans="1:45" s="11" customFormat="1" ht="93.75" customHeight="1" x14ac:dyDescent="0.25">
      <c r="A11" s="32" t="s">
        <v>18</v>
      </c>
      <c r="B11" s="16" t="s">
        <v>19</v>
      </c>
      <c r="C11" s="33" t="s">
        <v>20</v>
      </c>
      <c r="D11" s="33" t="s">
        <v>21</v>
      </c>
      <c r="E11" s="32" t="s">
        <v>22</v>
      </c>
      <c r="F11" s="33" t="s">
        <v>23</v>
      </c>
      <c r="G11" s="33" t="s">
        <v>24</v>
      </c>
      <c r="H11" s="33" t="s">
        <v>25</v>
      </c>
      <c r="I11" s="33" t="s">
        <v>26</v>
      </c>
      <c r="J11" s="33" t="s">
        <v>27</v>
      </c>
      <c r="K11" s="32" t="s">
        <v>22</v>
      </c>
      <c r="L11" s="33" t="s">
        <v>23</v>
      </c>
      <c r="M11" s="33" t="s">
        <v>24</v>
      </c>
      <c r="N11" s="33" t="s">
        <v>25</v>
      </c>
      <c r="O11" s="33" t="s">
        <v>26</v>
      </c>
      <c r="P11" s="33" t="s">
        <v>27</v>
      </c>
      <c r="Q11" s="32" t="s">
        <v>22</v>
      </c>
      <c r="R11" s="33" t="s">
        <v>23</v>
      </c>
      <c r="S11" s="33" t="s">
        <v>24</v>
      </c>
      <c r="T11" s="33" t="s">
        <v>25</v>
      </c>
      <c r="U11" s="33" t="s">
        <v>26</v>
      </c>
      <c r="V11" s="33" t="s">
        <v>27</v>
      </c>
      <c r="W11" s="32" t="s">
        <v>22</v>
      </c>
      <c r="X11" s="33" t="s">
        <v>23</v>
      </c>
      <c r="Y11" s="33" t="s">
        <v>24</v>
      </c>
      <c r="Z11" s="33" t="s">
        <v>25</v>
      </c>
      <c r="AA11" s="33" t="s">
        <v>26</v>
      </c>
      <c r="AB11" s="33" t="s">
        <v>27</v>
      </c>
      <c r="AC11" s="32" t="s">
        <v>22</v>
      </c>
      <c r="AD11" s="33" t="s">
        <v>23</v>
      </c>
      <c r="AE11" s="33" t="s">
        <v>24</v>
      </c>
      <c r="AF11" s="33" t="s">
        <v>25</v>
      </c>
      <c r="AG11" s="33" t="s">
        <v>26</v>
      </c>
      <c r="AH11" s="33" t="s">
        <v>27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3"/>
      <c r="AS11" s="33"/>
    </row>
    <row r="12" spans="1:45" s="11" customFormat="1" ht="15.75" customHeight="1" x14ac:dyDescent="0.25">
      <c r="A12" s="34" t="s">
        <v>28</v>
      </c>
      <c r="B12" s="30">
        <f>F46/$D$3</f>
        <v>0</v>
      </c>
      <c r="C12" s="35">
        <f>1.49/12</f>
        <v>0.12416666666666666</v>
      </c>
      <c r="D12" s="36">
        <v>0.11333333333333334</v>
      </c>
      <c r="E12" s="31">
        <v>0</v>
      </c>
      <c r="F12" s="30">
        <f>$F$7*(IF($C12-$D12&lt;0,0,ABS($C12-$D12)))</f>
        <v>1.3216666666666649E-2</v>
      </c>
      <c r="G12" s="30">
        <f>F12/$D$3</f>
        <v>4.4055555555555501E-2</v>
      </c>
      <c r="H12" s="2">
        <f>F$9*$B12</f>
        <v>0</v>
      </c>
      <c r="I12" s="30">
        <f>G12+H12</f>
        <v>4.4055555555555501E-2</v>
      </c>
      <c r="J12" s="28">
        <v>0</v>
      </c>
      <c r="K12" s="28">
        <v>0</v>
      </c>
      <c r="L12" s="30">
        <f t="shared" ref="L12:L23" si="0">$L$7*(IF($C12-$D12&lt;0,0,ABS($C12-$D12)))</f>
        <v>1.354166666666665E-2</v>
      </c>
      <c r="M12" s="30">
        <f>L12/$D$3</f>
        <v>4.5138888888888833E-2</v>
      </c>
      <c r="N12" s="2">
        <f>L$9*$B12</f>
        <v>0</v>
      </c>
      <c r="O12" s="30">
        <f>M12+N12</f>
        <v>4.5138888888888833E-2</v>
      </c>
      <c r="P12" s="28">
        <v>0</v>
      </c>
      <c r="Q12" s="28">
        <v>0</v>
      </c>
      <c r="R12" s="30">
        <f>R$7*(IF($C12-$D12&lt;0,0,ABS($C12-$D12)))</f>
        <v>0</v>
      </c>
      <c r="S12" s="30">
        <f>R12/$D$3</f>
        <v>0</v>
      </c>
      <c r="T12" s="2">
        <f>R$9*$B12</f>
        <v>0</v>
      </c>
      <c r="U12" s="30">
        <f>S12+T12</f>
        <v>0</v>
      </c>
      <c r="V12" s="30">
        <f>IF(Q12-U12&gt;0,0,ABS(Q12-U12))</f>
        <v>0</v>
      </c>
      <c r="W12" s="28">
        <v>0</v>
      </c>
      <c r="X12" s="30">
        <f t="shared" ref="X12:X23" si="1">$X$7*(IF($C12-$D12&lt;0,0,ABS($C12-$D12)))</f>
        <v>6.4999999999999921E-4</v>
      </c>
      <c r="Y12" s="30">
        <f>X12/$D$3</f>
        <v>2.166666666666664E-3</v>
      </c>
      <c r="Z12" s="2">
        <f>X$9*$B12</f>
        <v>0</v>
      </c>
      <c r="AA12" s="30">
        <f>Y12+Z12</f>
        <v>2.166666666666664E-3</v>
      </c>
      <c r="AB12" s="28">
        <v>0</v>
      </c>
      <c r="AC12" s="28">
        <v>0</v>
      </c>
      <c r="AD12" s="30">
        <f>$AD$7*(IF($C12-$D12&lt;0,0,ABS($C12-$D12)))</f>
        <v>0</v>
      </c>
      <c r="AE12" s="30">
        <f>AD12/$D$3</f>
        <v>0</v>
      </c>
      <c r="AF12" s="2">
        <f>AD$9*$B12</f>
        <v>0</v>
      </c>
      <c r="AG12" s="30">
        <f>AE12+AF12</f>
        <v>0</v>
      </c>
      <c r="AH12" s="30">
        <f t="shared" ref="AH12:AH23" si="2">IF(AC12-AG12&gt;0,0,ABS(AC12-AG12))</f>
        <v>0</v>
      </c>
      <c r="AI12" s="16"/>
      <c r="AJ12" s="30"/>
      <c r="AK12" s="33"/>
      <c r="AL12" s="33"/>
      <c r="AM12" s="33"/>
      <c r="AO12" s="33"/>
      <c r="AP12" s="33"/>
      <c r="AQ12" s="33"/>
      <c r="AR12" s="33"/>
      <c r="AS12" s="33"/>
    </row>
    <row r="13" spans="1:45" s="2" customFormat="1" ht="15.75" x14ac:dyDescent="0.25">
      <c r="A13" s="34" t="s">
        <v>29</v>
      </c>
      <c r="B13" s="30">
        <f>G46/$D$3</f>
        <v>0</v>
      </c>
      <c r="C13" s="30">
        <f>1.97/12</f>
        <v>0.16416666666666666</v>
      </c>
      <c r="D13" s="36">
        <v>0.11916666666666666</v>
      </c>
      <c r="E13" s="28">
        <v>0</v>
      </c>
      <c r="F13" s="30">
        <f t="shared" ref="F13:F23" si="3">$F$7*(IF($C13-$D13&lt;0,0,ABS($C13-$D13)))</f>
        <v>5.4899999999999997E-2</v>
      </c>
      <c r="G13" s="30">
        <f>F13/$D$3</f>
        <v>0.183</v>
      </c>
      <c r="H13" s="2">
        <f>F$9*$B13</f>
        <v>0</v>
      </c>
      <c r="I13" s="30">
        <f t="shared" ref="I13:I22" si="4">G13+H13</f>
        <v>0.183</v>
      </c>
      <c r="J13" s="28">
        <v>0</v>
      </c>
      <c r="K13" s="28">
        <v>0</v>
      </c>
      <c r="L13" s="30">
        <f t="shared" si="0"/>
        <v>5.6249999999999994E-2</v>
      </c>
      <c r="M13" s="30">
        <f>L13/$D$3</f>
        <v>0.1875</v>
      </c>
      <c r="N13" s="2">
        <f>L$9*$B13</f>
        <v>0</v>
      </c>
      <c r="O13" s="30">
        <f t="shared" ref="O13:O22" si="5">M13+N13</f>
        <v>0.1875</v>
      </c>
      <c r="P13" s="28">
        <v>0</v>
      </c>
      <c r="Q13" s="28">
        <v>0</v>
      </c>
      <c r="R13" s="30">
        <f>R$7*(IF($C13-$D13&lt;0,0,ABS($C13-$D13)))</f>
        <v>0</v>
      </c>
      <c r="S13" s="30">
        <f>R13/$D$3</f>
        <v>0</v>
      </c>
      <c r="T13" s="2">
        <f t="shared" ref="T13:T22" si="6">R$9*$B13</f>
        <v>0</v>
      </c>
      <c r="U13" s="30">
        <f t="shared" ref="U13:U22" si="7">S13+T13</f>
        <v>0</v>
      </c>
      <c r="V13" s="30">
        <f>IF(Q13-U13&gt;0,0,ABS(Q13-U13))</f>
        <v>0</v>
      </c>
      <c r="W13" s="28">
        <v>0</v>
      </c>
      <c r="X13" s="30">
        <f t="shared" si="1"/>
        <v>2.6999999999999997E-3</v>
      </c>
      <c r="Y13" s="30">
        <f>X13/$D$3</f>
        <v>8.9999999999999993E-3</v>
      </c>
      <c r="Z13" s="2">
        <f t="shared" ref="Z13:Z22" si="8">X$9*$B13</f>
        <v>0</v>
      </c>
      <c r="AA13" s="30">
        <f t="shared" ref="AA13:AA22" si="9">Y13+Z13</f>
        <v>8.9999999999999993E-3</v>
      </c>
      <c r="AB13" s="28">
        <v>0</v>
      </c>
      <c r="AC13" s="28">
        <v>0</v>
      </c>
      <c r="AD13" s="30">
        <f t="shared" ref="AD13:AD23" si="10">$AD$7*(IF($C13-$D13&lt;0,0,ABS($C13-$D13)))</f>
        <v>0</v>
      </c>
      <c r="AE13" s="30">
        <f>AD13/$D$3</f>
        <v>0</v>
      </c>
      <c r="AF13" s="2">
        <f t="shared" ref="AF13:AF22" si="11">AD$9*$B13</f>
        <v>0</v>
      </c>
      <c r="AG13" s="30">
        <f t="shared" ref="AG13:AG22" si="12">AE13+AF13</f>
        <v>0</v>
      </c>
      <c r="AH13" s="30">
        <f t="shared" si="2"/>
        <v>0</v>
      </c>
      <c r="AI13" s="37"/>
      <c r="AJ13" s="30"/>
      <c r="AK13" s="30"/>
      <c r="AM13" s="30"/>
      <c r="AN13" s="11"/>
      <c r="AO13" s="30"/>
      <c r="AP13" s="30"/>
      <c r="AQ13" s="30"/>
      <c r="AR13" s="30"/>
      <c r="AS13" s="30"/>
    </row>
    <row r="14" spans="1:45" s="2" customFormat="1" ht="15.75" x14ac:dyDescent="0.25">
      <c r="A14" s="34" t="s">
        <v>30</v>
      </c>
      <c r="B14" s="30">
        <f>H46/$D$3</f>
        <v>0</v>
      </c>
      <c r="C14" s="30">
        <f>4.13/12</f>
        <v>0.34416666666666668</v>
      </c>
      <c r="D14" s="36">
        <v>0.18583333333333332</v>
      </c>
      <c r="E14" s="31">
        <v>5.2165261000000003</v>
      </c>
      <c r="F14" s="30">
        <f t="shared" si="3"/>
        <v>0.19316666666666668</v>
      </c>
      <c r="G14" s="30">
        <f t="shared" ref="G14:G22" si="13">F14/$D$3</f>
        <v>0.64388888888888896</v>
      </c>
      <c r="H14" s="2">
        <f>F$9*$B14</f>
        <v>0</v>
      </c>
      <c r="I14" s="30">
        <f t="shared" si="4"/>
        <v>0.64388888888888896</v>
      </c>
      <c r="J14" s="30">
        <f t="shared" ref="J14:J22" si="14">IF(E14-I14&gt;0,0,ABS(E14-I14))</f>
        <v>0</v>
      </c>
      <c r="K14" s="38">
        <v>34.438989610000007</v>
      </c>
      <c r="L14" s="30">
        <f t="shared" si="0"/>
        <v>0.19791666666666669</v>
      </c>
      <c r="M14" s="30">
        <f t="shared" ref="M14:M22" si="15">L14/$D$3</f>
        <v>0.65972222222222232</v>
      </c>
      <c r="N14" s="2">
        <f>L$9*$B14</f>
        <v>0</v>
      </c>
      <c r="O14" s="30">
        <f t="shared" si="5"/>
        <v>0.65972222222222232</v>
      </c>
      <c r="P14" s="30">
        <f>IF(K14-O14&gt;0,0,ABS(K14-O14))</f>
        <v>0</v>
      </c>
      <c r="Q14" s="38">
        <v>0</v>
      </c>
      <c r="R14" s="30">
        <v>36.437914147083326</v>
      </c>
      <c r="S14" s="30">
        <v>47.197363182363766</v>
      </c>
      <c r="T14" s="2">
        <v>50.228567834166654</v>
      </c>
      <c r="U14" s="30">
        <v>32.553598069270826</v>
      </c>
      <c r="V14" s="30">
        <v>0</v>
      </c>
      <c r="W14" s="28">
        <v>43.358654199999997</v>
      </c>
      <c r="X14" s="30">
        <v>0</v>
      </c>
      <c r="Y14" s="30">
        <v>0</v>
      </c>
      <c r="Z14" s="2">
        <f t="shared" si="8"/>
        <v>0</v>
      </c>
      <c r="AA14" s="30">
        <f t="shared" si="9"/>
        <v>0</v>
      </c>
      <c r="AB14" s="30">
        <f t="shared" ref="AB14:AB22" si="16">IF(W14-AA14&gt;0,0,ABS(W14-AA14))</f>
        <v>0</v>
      </c>
      <c r="AC14" s="38">
        <v>0</v>
      </c>
      <c r="AD14" s="30">
        <f t="shared" si="10"/>
        <v>0</v>
      </c>
      <c r="AE14" s="30">
        <f t="shared" ref="AE14:AE22" si="17">AD14/$D$3</f>
        <v>0</v>
      </c>
      <c r="AF14" s="2">
        <f t="shared" si="11"/>
        <v>0</v>
      </c>
      <c r="AG14" s="30">
        <f t="shared" si="12"/>
        <v>0</v>
      </c>
      <c r="AH14" s="30">
        <f t="shared" si="2"/>
        <v>0</v>
      </c>
      <c r="AI14" s="37"/>
      <c r="AJ14" s="30"/>
      <c r="AK14" s="30"/>
      <c r="AM14" s="30"/>
      <c r="AN14" s="11"/>
      <c r="AO14" s="30"/>
      <c r="AP14" s="30"/>
      <c r="AQ14" s="30"/>
      <c r="AR14" s="30"/>
      <c r="AS14" s="30"/>
    </row>
    <row r="15" spans="1:45" s="2" customFormat="1" ht="15.75" x14ac:dyDescent="0.25">
      <c r="A15" s="34" t="s">
        <v>31</v>
      </c>
      <c r="B15" s="30">
        <f>I46/$D$3</f>
        <v>0.14971773158840138</v>
      </c>
      <c r="C15" s="30">
        <f>5.38/12</f>
        <v>0.44833333333333331</v>
      </c>
      <c r="D15" s="36">
        <v>4.0833333333333333E-2</v>
      </c>
      <c r="E15" s="31">
        <v>16.38412335666666</v>
      </c>
      <c r="F15" s="30">
        <f>$F$7*(IF($C15-$D15&lt;0,0,ABS($C15-$D15)))</f>
        <v>0.49714999999999998</v>
      </c>
      <c r="G15" s="30">
        <f t="shared" si="13"/>
        <v>1.6571666666666667</v>
      </c>
      <c r="H15" s="2">
        <f t="shared" ref="H15:H22" si="18">F$9*$B15</f>
        <v>11.528265332306907</v>
      </c>
      <c r="I15" s="30">
        <f t="shared" si="4"/>
        <v>13.185431998973574</v>
      </c>
      <c r="J15" s="30">
        <f t="shared" si="14"/>
        <v>0</v>
      </c>
      <c r="K15" s="38">
        <v>67.273351989999995</v>
      </c>
      <c r="L15" s="30">
        <f t="shared" si="0"/>
        <v>0.50937499999999991</v>
      </c>
      <c r="M15" s="30">
        <f t="shared" si="15"/>
        <v>1.6979166666666665</v>
      </c>
      <c r="N15" s="2">
        <f t="shared" ref="N15:N22" si="19">L$9*$B15</f>
        <v>5.7761100846805249</v>
      </c>
      <c r="O15" s="30">
        <f t="shared" si="5"/>
        <v>7.474026751347191</v>
      </c>
      <c r="P15" s="30">
        <f t="shared" ref="P15:P22" si="20">IF(K15-O15&gt;0,0,ABS(K15-O15))</f>
        <v>0</v>
      </c>
      <c r="Q15" s="38">
        <v>27.059613441875008</v>
      </c>
      <c r="R15" s="30">
        <f t="shared" ref="R15:R22" si="21">R$7*(IF($C15-$D15&lt;0,0,ABS($C15-$D15)))</f>
        <v>0</v>
      </c>
      <c r="S15" s="30">
        <f t="shared" ref="S15:S22" si="22">R15/$D$3</f>
        <v>0</v>
      </c>
      <c r="T15" s="2">
        <f t="shared" si="6"/>
        <v>2.1619240441365157</v>
      </c>
      <c r="U15" s="30">
        <f t="shared" si="7"/>
        <v>2.1619240441365157</v>
      </c>
      <c r="V15" s="30">
        <f t="shared" ref="V15:V22" si="23">IF(Q15-U15&gt;0,0,ABS(Q15-U15))</f>
        <v>0</v>
      </c>
      <c r="W15" s="28">
        <v>32.054858669999987</v>
      </c>
      <c r="X15" s="30">
        <f t="shared" si="1"/>
        <v>2.4449999999999996E-2</v>
      </c>
      <c r="Y15" s="30">
        <f t="shared" ref="Y15:Y22" si="24">X15/$D$3</f>
        <v>8.1499999999999989E-2</v>
      </c>
      <c r="Z15" s="2">
        <f t="shared" si="8"/>
        <v>0</v>
      </c>
      <c r="AA15" s="30">
        <f t="shared" si="9"/>
        <v>8.1499999999999989E-2</v>
      </c>
      <c r="AB15" s="30">
        <f t="shared" si="16"/>
        <v>0</v>
      </c>
      <c r="AC15" s="38">
        <v>2.5999366082291666</v>
      </c>
      <c r="AD15" s="30">
        <f t="shared" si="10"/>
        <v>0</v>
      </c>
      <c r="AE15" s="30">
        <f t="shared" si="17"/>
        <v>0</v>
      </c>
      <c r="AF15" s="2">
        <f t="shared" si="11"/>
        <v>1.8310478573261488</v>
      </c>
      <c r="AG15" s="30">
        <f t="shared" si="12"/>
        <v>1.8310478573261488</v>
      </c>
      <c r="AH15" s="30">
        <f t="shared" si="2"/>
        <v>0</v>
      </c>
      <c r="AI15" s="37"/>
      <c r="AJ15" s="30"/>
      <c r="AK15" s="30"/>
      <c r="AM15" s="30"/>
      <c r="AN15" s="11"/>
      <c r="AO15" s="30"/>
      <c r="AP15" s="30"/>
      <c r="AQ15" s="30"/>
      <c r="AR15" s="30"/>
      <c r="AS15" s="30"/>
    </row>
    <row r="16" spans="1:45" s="2" customFormat="1" ht="15.75" x14ac:dyDescent="0.25">
      <c r="A16" s="34" t="s">
        <v>32</v>
      </c>
      <c r="B16" s="30">
        <f>J46/$D$3</f>
        <v>0.69511803951757756</v>
      </c>
      <c r="C16" s="30">
        <f>6.19/12</f>
        <v>0.51583333333333337</v>
      </c>
      <c r="D16" s="36">
        <v>4.1666666666666666E-3</v>
      </c>
      <c r="E16" s="31">
        <v>2.6088622232291665</v>
      </c>
      <c r="F16" s="30">
        <f t="shared" si="3"/>
        <v>0.62423333333333342</v>
      </c>
      <c r="G16" s="30">
        <f t="shared" si="13"/>
        <v>2.0807777777777781</v>
      </c>
      <c r="H16" s="2">
        <f>F$9*$B16</f>
        <v>53.524089042853475</v>
      </c>
      <c r="I16" s="30">
        <f t="shared" si="4"/>
        <v>55.604866820631251</v>
      </c>
      <c r="J16" s="30">
        <f t="shared" si="14"/>
        <v>52.996004597402084</v>
      </c>
      <c r="K16" s="38">
        <v>91.061107700000022</v>
      </c>
      <c r="L16" s="30">
        <f t="shared" si="0"/>
        <v>0.63958333333333339</v>
      </c>
      <c r="M16" s="30">
        <f t="shared" si="15"/>
        <v>2.1319444444444446</v>
      </c>
      <c r="N16" s="2">
        <f t="shared" si="19"/>
        <v>26.817653964588143</v>
      </c>
      <c r="O16" s="30">
        <f t="shared" si="5"/>
        <v>28.949598409032589</v>
      </c>
      <c r="P16" s="30">
        <f t="shared" si="20"/>
        <v>0</v>
      </c>
      <c r="Q16" s="38">
        <v>42.180473020000001</v>
      </c>
      <c r="R16" s="30">
        <f t="shared" si="21"/>
        <v>0</v>
      </c>
      <c r="S16" s="30">
        <f t="shared" si="22"/>
        <v>0</v>
      </c>
      <c r="T16" s="2">
        <f t="shared" si="6"/>
        <v>10.03750449063382</v>
      </c>
      <c r="U16" s="30">
        <f t="shared" si="7"/>
        <v>10.03750449063382</v>
      </c>
      <c r="V16" s="30">
        <f t="shared" si="23"/>
        <v>0</v>
      </c>
      <c r="W16" s="28">
        <v>0</v>
      </c>
      <c r="X16" s="30">
        <f t="shared" si="1"/>
        <v>3.0700000000000002E-2</v>
      </c>
      <c r="Y16" s="30">
        <f t="shared" si="24"/>
        <v>0.10233333333333335</v>
      </c>
      <c r="Z16" s="2">
        <f t="shared" si="8"/>
        <v>0</v>
      </c>
      <c r="AA16" s="30">
        <f t="shared" si="9"/>
        <v>0.10233333333333335</v>
      </c>
      <c r="AB16" s="30">
        <f t="shared" si="16"/>
        <v>0.10233333333333335</v>
      </c>
      <c r="AC16" s="38">
        <v>0</v>
      </c>
      <c r="AD16" s="30">
        <f t="shared" si="10"/>
        <v>0</v>
      </c>
      <c r="AE16" s="30">
        <f t="shared" si="17"/>
        <v>0</v>
      </c>
      <c r="AF16" s="2">
        <f t="shared" si="11"/>
        <v>8.5012936232999738</v>
      </c>
      <c r="AG16" s="30">
        <f t="shared" si="12"/>
        <v>8.5012936232999738</v>
      </c>
      <c r="AH16" s="30">
        <f t="shared" si="2"/>
        <v>8.5012936232999738</v>
      </c>
      <c r="AI16" s="37"/>
      <c r="AJ16" s="30"/>
      <c r="AK16" s="30"/>
      <c r="AM16" s="30"/>
      <c r="AN16" s="11"/>
      <c r="AO16" s="30"/>
      <c r="AP16" s="30"/>
      <c r="AQ16" s="30"/>
      <c r="AR16" s="30"/>
      <c r="AS16" s="30"/>
    </row>
    <row r="17" spans="1:45" s="2" customFormat="1" ht="15.75" x14ac:dyDescent="0.25">
      <c r="A17" s="34" t="s">
        <v>33</v>
      </c>
      <c r="B17" s="30">
        <f>K46/$D$3</f>
        <v>1.1710065434949963</v>
      </c>
      <c r="C17" s="30">
        <f>7.39/12</f>
        <v>0.61583333333333334</v>
      </c>
      <c r="D17" s="36">
        <v>4.5833333333333337E-2</v>
      </c>
      <c r="E17" s="31">
        <v>109.21554296669643</v>
      </c>
      <c r="F17" s="30">
        <f t="shared" si="3"/>
        <v>0.69540000000000002</v>
      </c>
      <c r="G17" s="30">
        <f t="shared" si="13"/>
        <v>2.3180000000000001</v>
      </c>
      <c r="H17" s="2">
        <f t="shared" si="18"/>
        <v>90.167503849114723</v>
      </c>
      <c r="I17" s="30">
        <f t="shared" si="4"/>
        <v>92.485503849114721</v>
      </c>
      <c r="J17" s="30">
        <f t="shared" si="14"/>
        <v>0</v>
      </c>
      <c r="K17" s="38">
        <v>70.448887460000009</v>
      </c>
      <c r="L17" s="30">
        <f t="shared" si="0"/>
        <v>0.71250000000000013</v>
      </c>
      <c r="M17" s="30">
        <f t="shared" si="15"/>
        <v>2.3750000000000004</v>
      </c>
      <c r="N17" s="2">
        <f t="shared" si="19"/>
        <v>45.17743244803696</v>
      </c>
      <c r="O17" s="30">
        <f t="shared" si="5"/>
        <v>47.55243244803696</v>
      </c>
      <c r="P17" s="30">
        <f t="shared" si="20"/>
        <v>0</v>
      </c>
      <c r="Q17" s="38">
        <v>31.856511669999993</v>
      </c>
      <c r="R17" s="30">
        <f t="shared" si="21"/>
        <v>0</v>
      </c>
      <c r="S17" s="30">
        <f t="shared" si="22"/>
        <v>0</v>
      </c>
      <c r="T17" s="2">
        <f t="shared" si="6"/>
        <v>16.909334488067746</v>
      </c>
      <c r="U17" s="30">
        <f t="shared" si="7"/>
        <v>16.909334488067746</v>
      </c>
      <c r="V17" s="30">
        <f t="shared" si="23"/>
        <v>0</v>
      </c>
      <c r="W17" s="28">
        <v>0</v>
      </c>
      <c r="X17" s="30">
        <f t="shared" si="1"/>
        <v>3.4200000000000001E-2</v>
      </c>
      <c r="Y17" s="30">
        <f t="shared" si="24"/>
        <v>0.114</v>
      </c>
      <c r="Z17" s="2">
        <f t="shared" si="8"/>
        <v>0</v>
      </c>
      <c r="AA17" s="30">
        <f t="shared" si="9"/>
        <v>0.114</v>
      </c>
      <c r="AB17" s="30">
        <f t="shared" si="16"/>
        <v>0.114</v>
      </c>
      <c r="AC17" s="38">
        <v>0</v>
      </c>
      <c r="AD17" s="30">
        <f t="shared" si="10"/>
        <v>0</v>
      </c>
      <c r="AE17" s="30">
        <f t="shared" si="17"/>
        <v>0</v>
      </c>
      <c r="AF17" s="2">
        <f t="shared" si="11"/>
        <v>14.321410026943806</v>
      </c>
      <c r="AG17" s="30">
        <f t="shared" si="12"/>
        <v>14.321410026943806</v>
      </c>
      <c r="AH17" s="30">
        <f t="shared" si="2"/>
        <v>14.321410026943806</v>
      </c>
      <c r="AI17" s="37"/>
      <c r="AJ17" s="30"/>
      <c r="AK17" s="30"/>
      <c r="AM17" s="30"/>
      <c r="AN17" s="11"/>
      <c r="AO17" s="30"/>
      <c r="AP17" s="30"/>
      <c r="AQ17" s="30"/>
      <c r="AR17" s="30"/>
      <c r="AS17" s="30"/>
    </row>
    <row r="18" spans="1:45" s="2" customFormat="1" ht="15.75" x14ac:dyDescent="0.25">
      <c r="A18" s="34" t="s">
        <v>34</v>
      </c>
      <c r="B18" s="30">
        <f>L46/$D$3</f>
        <v>0.62293270464459849</v>
      </c>
      <c r="C18" s="30">
        <f>5.66/12</f>
        <v>0.47166666666666668</v>
      </c>
      <c r="D18" s="36">
        <v>0.34250000000000003</v>
      </c>
      <c r="E18" s="31">
        <v>19.840508733571422</v>
      </c>
      <c r="F18" s="30">
        <f t="shared" si="3"/>
        <v>0.15758333333333333</v>
      </c>
      <c r="G18" s="30">
        <f t="shared" si="13"/>
        <v>0.52527777777777773</v>
      </c>
      <c r="H18" s="2">
        <f t="shared" si="18"/>
        <v>47.965818257634083</v>
      </c>
      <c r="I18" s="30">
        <f t="shared" si="4"/>
        <v>48.491096035411864</v>
      </c>
      <c r="J18" s="30">
        <f t="shared" si="14"/>
        <v>28.650587301840442</v>
      </c>
      <c r="K18" s="31">
        <v>65.506080220000001</v>
      </c>
      <c r="L18" s="30">
        <f t="shared" si="0"/>
        <v>0.16145833333333331</v>
      </c>
      <c r="M18" s="30">
        <f t="shared" si="15"/>
        <v>0.53819444444444442</v>
      </c>
      <c r="N18" s="2">
        <f t="shared" si="19"/>
        <v>24.032743745188608</v>
      </c>
      <c r="O18" s="30">
        <f t="shared" si="5"/>
        <v>24.570938189633051</v>
      </c>
      <c r="P18" s="30">
        <f t="shared" si="20"/>
        <v>0</v>
      </c>
      <c r="Q18" s="38">
        <v>39.957003150000006</v>
      </c>
      <c r="R18" s="30">
        <f t="shared" si="21"/>
        <v>0</v>
      </c>
      <c r="S18" s="30">
        <f t="shared" si="22"/>
        <v>0</v>
      </c>
      <c r="T18" s="2">
        <f t="shared" si="6"/>
        <v>8.9951482550680026</v>
      </c>
      <c r="U18" s="30">
        <f t="shared" si="7"/>
        <v>8.9951482550680026</v>
      </c>
      <c r="V18" s="30">
        <f t="shared" si="23"/>
        <v>0</v>
      </c>
      <c r="W18" s="28">
        <v>0</v>
      </c>
      <c r="X18" s="30">
        <f t="shared" si="1"/>
        <v>7.7499999999999991E-3</v>
      </c>
      <c r="Y18" s="30">
        <f t="shared" si="24"/>
        <v>2.583333333333333E-2</v>
      </c>
      <c r="Z18" s="2">
        <f t="shared" si="8"/>
        <v>0</v>
      </c>
      <c r="AA18" s="30">
        <f t="shared" si="9"/>
        <v>2.583333333333333E-2</v>
      </c>
      <c r="AB18" s="30">
        <f t="shared" si="16"/>
        <v>2.583333333333333E-2</v>
      </c>
      <c r="AC18" s="38">
        <v>0</v>
      </c>
      <c r="AD18" s="30">
        <f t="shared" si="10"/>
        <v>0</v>
      </c>
      <c r="AE18" s="30">
        <f t="shared" si="17"/>
        <v>0</v>
      </c>
      <c r="AF18" s="2">
        <f t="shared" si="11"/>
        <v>7.6184669778034397</v>
      </c>
      <c r="AG18" s="30">
        <f t="shared" si="12"/>
        <v>7.6184669778034397</v>
      </c>
      <c r="AH18" s="30">
        <f t="shared" si="2"/>
        <v>7.6184669778034397</v>
      </c>
      <c r="AI18" s="37"/>
      <c r="AJ18" s="30"/>
      <c r="AK18" s="30"/>
      <c r="AM18" s="30"/>
      <c r="AN18" s="11"/>
      <c r="AO18" s="30"/>
      <c r="AP18" s="30"/>
      <c r="AQ18" s="30"/>
      <c r="AR18" s="30"/>
      <c r="AS18" s="30"/>
    </row>
    <row r="19" spans="1:45" s="2" customFormat="1" ht="15.75" x14ac:dyDescent="0.25">
      <c r="A19" s="34" t="s">
        <v>35</v>
      </c>
      <c r="B19" s="30">
        <f>M46/$D$3</f>
        <v>0.79136515268155005</v>
      </c>
      <c r="C19" s="30">
        <f>4.7/12</f>
        <v>0.39166666666666666</v>
      </c>
      <c r="D19" s="36">
        <v>0.19833333333333333</v>
      </c>
      <c r="E19" s="31">
        <v>14.657843300000003</v>
      </c>
      <c r="F19" s="30">
        <f t="shared" si="3"/>
        <v>0.23586666666666667</v>
      </c>
      <c r="G19" s="30">
        <f t="shared" si="13"/>
        <v>0.78622222222222227</v>
      </c>
      <c r="H19" s="2">
        <f t="shared" si="18"/>
        <v>60.935116756479353</v>
      </c>
      <c r="I19" s="30">
        <f t="shared" si="4"/>
        <v>61.721338978701574</v>
      </c>
      <c r="J19" s="30">
        <f t="shared" si="14"/>
        <v>47.063495678701571</v>
      </c>
      <c r="K19" s="31">
        <v>63.106081520000004</v>
      </c>
      <c r="L19" s="30">
        <f t="shared" si="0"/>
        <v>0.24166666666666667</v>
      </c>
      <c r="M19" s="30">
        <f t="shared" si="15"/>
        <v>0.80555555555555558</v>
      </c>
      <c r="N19" s="2">
        <f t="shared" si="19"/>
        <v>30.5308675904542</v>
      </c>
      <c r="O19" s="30">
        <f t="shared" si="5"/>
        <v>31.336423146009757</v>
      </c>
      <c r="P19" s="30">
        <f t="shared" si="20"/>
        <v>0</v>
      </c>
      <c r="Q19" s="38">
        <v>39.5503918</v>
      </c>
      <c r="R19" s="30">
        <f t="shared" si="21"/>
        <v>0</v>
      </c>
      <c r="S19" s="30">
        <f t="shared" si="22"/>
        <v>0</v>
      </c>
      <c r="T19" s="2">
        <f t="shared" si="6"/>
        <v>11.427312804721582</v>
      </c>
      <c r="U19" s="30">
        <f t="shared" si="7"/>
        <v>11.427312804721582</v>
      </c>
      <c r="V19" s="30">
        <f t="shared" si="23"/>
        <v>0</v>
      </c>
      <c r="W19" s="28">
        <v>0</v>
      </c>
      <c r="X19" s="30">
        <f t="shared" si="1"/>
        <v>1.1599999999999999E-2</v>
      </c>
      <c r="Y19" s="30">
        <f t="shared" si="24"/>
        <v>3.8666666666666669E-2</v>
      </c>
      <c r="Z19" s="2">
        <f t="shared" si="8"/>
        <v>0</v>
      </c>
      <c r="AA19" s="30">
        <f t="shared" si="9"/>
        <v>3.8666666666666669E-2</v>
      </c>
      <c r="AB19" s="30">
        <f t="shared" si="16"/>
        <v>3.8666666666666669E-2</v>
      </c>
      <c r="AC19" s="38">
        <v>0</v>
      </c>
      <c r="AD19" s="30">
        <f t="shared" si="10"/>
        <v>0</v>
      </c>
      <c r="AE19" s="30">
        <f t="shared" si="17"/>
        <v>0</v>
      </c>
      <c r="AF19" s="2">
        <f t="shared" si="11"/>
        <v>9.6783958172953568</v>
      </c>
      <c r="AG19" s="30">
        <f t="shared" si="12"/>
        <v>9.6783958172953568</v>
      </c>
      <c r="AH19" s="30">
        <f t="shared" si="2"/>
        <v>9.6783958172953568</v>
      </c>
      <c r="AI19" s="37"/>
      <c r="AJ19" s="30"/>
      <c r="AK19" s="30"/>
      <c r="AM19" s="30"/>
      <c r="AN19" s="11"/>
      <c r="AO19" s="30"/>
      <c r="AP19" s="30"/>
      <c r="AQ19" s="30"/>
      <c r="AR19" s="30"/>
      <c r="AS19" s="30"/>
    </row>
    <row r="20" spans="1:45" s="2" customFormat="1" ht="15.75" x14ac:dyDescent="0.25">
      <c r="A20" s="34" t="s">
        <v>36</v>
      </c>
      <c r="B20" s="30">
        <f>N46/$D$3</f>
        <v>0.78067102899666418</v>
      </c>
      <c r="C20" s="30">
        <f>4.18/12</f>
        <v>0.34833333333333333</v>
      </c>
      <c r="D20" s="36">
        <v>6.5833333333333341E-2</v>
      </c>
      <c r="E20" s="31">
        <v>60.989813480952385</v>
      </c>
      <c r="F20" s="30">
        <f t="shared" si="3"/>
        <v>0.34464999999999996</v>
      </c>
      <c r="G20" s="30">
        <f t="shared" si="13"/>
        <v>1.1488333333333332</v>
      </c>
      <c r="H20" s="2">
        <f t="shared" si="18"/>
        <v>60.111669232743139</v>
      </c>
      <c r="I20" s="30">
        <f t="shared" si="4"/>
        <v>61.260502566076475</v>
      </c>
      <c r="J20" s="30">
        <f t="shared" si="14"/>
        <v>0.27068908512408996</v>
      </c>
      <c r="K20" s="38">
        <v>72.59500199999998</v>
      </c>
      <c r="L20" s="30">
        <f t="shared" si="0"/>
        <v>0.35312499999999997</v>
      </c>
      <c r="M20" s="30">
        <f t="shared" si="15"/>
        <v>1.1770833333333333</v>
      </c>
      <c r="N20" s="2">
        <f t="shared" si="19"/>
        <v>30.118288298691304</v>
      </c>
      <c r="O20" s="30">
        <f t="shared" si="5"/>
        <v>31.295371632024636</v>
      </c>
      <c r="P20" s="30">
        <f t="shared" si="20"/>
        <v>0</v>
      </c>
      <c r="Q20" s="38">
        <v>0</v>
      </c>
      <c r="R20" s="30">
        <f t="shared" si="21"/>
        <v>0</v>
      </c>
      <c r="S20" s="30">
        <f t="shared" si="22"/>
        <v>0</v>
      </c>
      <c r="T20" s="2">
        <f t="shared" si="6"/>
        <v>11.272889658711831</v>
      </c>
      <c r="U20" s="30">
        <f t="shared" si="7"/>
        <v>11.272889658711831</v>
      </c>
      <c r="V20" s="30">
        <f t="shared" si="23"/>
        <v>11.272889658711831</v>
      </c>
      <c r="W20" s="28">
        <v>0</v>
      </c>
      <c r="X20" s="30">
        <f t="shared" si="1"/>
        <v>1.6949999999999996E-2</v>
      </c>
      <c r="Y20" s="30">
        <f t="shared" si="24"/>
        <v>5.6499999999999988E-2</v>
      </c>
      <c r="Z20" s="2">
        <f t="shared" si="8"/>
        <v>0</v>
      </c>
      <c r="AA20" s="30">
        <f t="shared" si="9"/>
        <v>5.6499999999999988E-2</v>
      </c>
      <c r="AB20" s="30">
        <f t="shared" si="16"/>
        <v>5.6499999999999988E-2</v>
      </c>
      <c r="AC20" s="38">
        <v>0</v>
      </c>
      <c r="AD20" s="30">
        <f t="shared" si="10"/>
        <v>0</v>
      </c>
      <c r="AE20" s="30">
        <f t="shared" si="17"/>
        <v>0</v>
      </c>
      <c r="AF20" s="2">
        <f t="shared" si="11"/>
        <v>9.5476066846292031</v>
      </c>
      <c r="AG20" s="30">
        <f t="shared" si="12"/>
        <v>9.5476066846292031</v>
      </c>
      <c r="AH20" s="30">
        <f t="shared" si="2"/>
        <v>9.5476066846292031</v>
      </c>
      <c r="AI20" s="37"/>
      <c r="AJ20" s="30"/>
      <c r="AK20" s="30"/>
      <c r="AM20" s="30"/>
      <c r="AN20" s="11"/>
      <c r="AO20" s="30"/>
      <c r="AP20" s="30"/>
      <c r="AQ20" s="30"/>
      <c r="AR20" s="30"/>
      <c r="AS20" s="30"/>
    </row>
    <row r="21" spans="1:45" s="2" customFormat="1" ht="15.75" x14ac:dyDescent="0.25">
      <c r="A21" s="34" t="s">
        <v>37</v>
      </c>
      <c r="B21" s="30">
        <f>O46/$D$3</f>
        <v>0.41974435463176807</v>
      </c>
      <c r="C21" s="30">
        <f>3.5/12</f>
        <v>0.29166666666666669</v>
      </c>
      <c r="D21" s="36">
        <v>4.9166666666666664E-2</v>
      </c>
      <c r="E21" s="31">
        <v>26.711768293809509</v>
      </c>
      <c r="F21" s="30">
        <f t="shared" si="3"/>
        <v>0.29585</v>
      </c>
      <c r="G21" s="30">
        <f t="shared" si="13"/>
        <v>0.98616666666666675</v>
      </c>
      <c r="H21" s="2">
        <f t="shared" si="18"/>
        <v>32.320315306646144</v>
      </c>
      <c r="I21" s="30">
        <f t="shared" si="4"/>
        <v>33.306481973312813</v>
      </c>
      <c r="J21" s="30">
        <f t="shared" si="14"/>
        <v>6.5947136795033039</v>
      </c>
      <c r="K21" s="38">
        <v>99.994656579999983</v>
      </c>
      <c r="L21" s="30">
        <f t="shared" si="0"/>
        <v>0.30312500000000003</v>
      </c>
      <c r="M21" s="30">
        <f t="shared" si="15"/>
        <v>1.0104166666666667</v>
      </c>
      <c r="N21" s="2">
        <f t="shared" si="19"/>
        <v>16.193737201693612</v>
      </c>
      <c r="O21" s="30">
        <f t="shared" si="5"/>
        <v>17.204153868360279</v>
      </c>
      <c r="P21" s="30">
        <f t="shared" si="20"/>
        <v>0</v>
      </c>
      <c r="Q21" s="38">
        <v>0</v>
      </c>
      <c r="R21" s="30">
        <f t="shared" si="21"/>
        <v>0</v>
      </c>
      <c r="S21" s="30">
        <f t="shared" si="22"/>
        <v>0</v>
      </c>
      <c r="T21" s="2">
        <f t="shared" si="6"/>
        <v>6.0611084808827309</v>
      </c>
      <c r="U21" s="30">
        <f t="shared" si="7"/>
        <v>6.0611084808827309</v>
      </c>
      <c r="V21" s="30">
        <f t="shared" si="23"/>
        <v>6.0611084808827309</v>
      </c>
      <c r="W21" s="28">
        <v>0</v>
      </c>
      <c r="X21" s="30">
        <f t="shared" si="1"/>
        <v>1.455E-2</v>
      </c>
      <c r="Y21" s="30">
        <f t="shared" si="24"/>
        <v>4.8500000000000001E-2</v>
      </c>
      <c r="Z21" s="2">
        <f t="shared" si="8"/>
        <v>0</v>
      </c>
      <c r="AA21" s="30">
        <f t="shared" si="9"/>
        <v>4.8500000000000001E-2</v>
      </c>
      <c r="AB21" s="30">
        <f t="shared" si="16"/>
        <v>4.8500000000000001E-2</v>
      </c>
      <c r="AC21" s="38">
        <v>0</v>
      </c>
      <c r="AD21" s="30">
        <f t="shared" si="10"/>
        <v>0</v>
      </c>
      <c r="AE21" s="30">
        <f t="shared" si="17"/>
        <v>0</v>
      </c>
      <c r="AF21" s="2">
        <f t="shared" si="11"/>
        <v>5.1334734571465237</v>
      </c>
      <c r="AG21" s="30">
        <f t="shared" si="12"/>
        <v>5.1334734571465237</v>
      </c>
      <c r="AH21" s="30">
        <f t="shared" si="2"/>
        <v>5.1334734571465237</v>
      </c>
      <c r="AI21" s="37"/>
      <c r="AJ21" s="30"/>
      <c r="AK21" s="30"/>
      <c r="AM21" s="30"/>
      <c r="AN21" s="11"/>
      <c r="AO21" s="30"/>
      <c r="AP21" s="30"/>
      <c r="AQ21" s="30"/>
      <c r="AR21" s="30"/>
      <c r="AS21" s="30"/>
    </row>
    <row r="22" spans="1:45" s="2" customFormat="1" ht="15.75" x14ac:dyDescent="0.25">
      <c r="A22" s="34" t="s">
        <v>38</v>
      </c>
      <c r="B22" s="30">
        <f>P46/$D$3</f>
        <v>0</v>
      </c>
      <c r="C22" s="30">
        <f>1.82/12</f>
        <v>0.15166666666666667</v>
      </c>
      <c r="D22" s="36">
        <v>6.083333333333333E-2</v>
      </c>
      <c r="E22" s="31">
        <v>20.800649890000006</v>
      </c>
      <c r="F22" s="30">
        <f t="shared" si="3"/>
        <v>0.11081666666666669</v>
      </c>
      <c r="G22" s="30">
        <f t="shared" si="13"/>
        <v>0.36938888888888899</v>
      </c>
      <c r="H22" s="2">
        <f t="shared" si="18"/>
        <v>0</v>
      </c>
      <c r="I22" s="30">
        <f t="shared" si="4"/>
        <v>0.36938888888888899</v>
      </c>
      <c r="J22" s="30">
        <f t="shared" si="14"/>
        <v>0</v>
      </c>
      <c r="K22" s="38">
        <v>73.804918700000016</v>
      </c>
      <c r="L22" s="30">
        <f t="shared" si="0"/>
        <v>0.11354166666666668</v>
      </c>
      <c r="M22" s="30">
        <f t="shared" si="15"/>
        <v>0.37847222222222227</v>
      </c>
      <c r="N22" s="2">
        <f t="shared" si="19"/>
        <v>0</v>
      </c>
      <c r="O22" s="30">
        <f t="shared" si="5"/>
        <v>0.37847222222222227</v>
      </c>
      <c r="P22" s="30">
        <f t="shared" si="20"/>
        <v>0</v>
      </c>
      <c r="Q22" s="38">
        <v>0</v>
      </c>
      <c r="R22" s="30">
        <f t="shared" si="21"/>
        <v>0</v>
      </c>
      <c r="S22" s="30">
        <f t="shared" si="22"/>
        <v>0</v>
      </c>
      <c r="T22" s="2">
        <f t="shared" si="6"/>
        <v>0</v>
      </c>
      <c r="U22" s="30">
        <f t="shared" si="7"/>
        <v>0</v>
      </c>
      <c r="V22" s="30">
        <f t="shared" si="23"/>
        <v>0</v>
      </c>
      <c r="W22" s="28">
        <v>0</v>
      </c>
      <c r="X22" s="30">
        <f t="shared" si="1"/>
        <v>5.4500000000000009E-3</v>
      </c>
      <c r="Y22" s="30">
        <f t="shared" si="24"/>
        <v>1.8166666666666671E-2</v>
      </c>
      <c r="Z22" s="2">
        <f t="shared" si="8"/>
        <v>0</v>
      </c>
      <c r="AA22" s="30">
        <f t="shared" si="9"/>
        <v>1.8166666666666671E-2</v>
      </c>
      <c r="AB22" s="30">
        <f t="shared" si="16"/>
        <v>1.8166666666666671E-2</v>
      </c>
      <c r="AC22" s="38">
        <v>0</v>
      </c>
      <c r="AD22" s="30">
        <f t="shared" si="10"/>
        <v>0</v>
      </c>
      <c r="AE22" s="30">
        <f t="shared" si="17"/>
        <v>0</v>
      </c>
      <c r="AF22" s="2">
        <f t="shared" si="11"/>
        <v>0</v>
      </c>
      <c r="AG22" s="30">
        <f t="shared" si="12"/>
        <v>0</v>
      </c>
      <c r="AH22" s="30">
        <f t="shared" si="2"/>
        <v>0</v>
      </c>
      <c r="AI22" s="37"/>
      <c r="AJ22" s="30"/>
      <c r="AK22" s="30"/>
      <c r="AM22" s="30"/>
      <c r="AN22" s="11"/>
      <c r="AO22" s="30"/>
      <c r="AP22" s="30"/>
      <c r="AQ22" s="30"/>
      <c r="AR22" s="30"/>
      <c r="AS22" s="30"/>
    </row>
    <row r="23" spans="1:45" s="2" customFormat="1" ht="15.75" x14ac:dyDescent="0.25">
      <c r="A23" s="34" t="s">
        <v>39</v>
      </c>
      <c r="B23" s="30">
        <f>Q46/$D$3</f>
        <v>0</v>
      </c>
      <c r="C23" s="35">
        <f>1.49/12</f>
        <v>0.12416666666666666</v>
      </c>
      <c r="D23" s="36">
        <v>0</v>
      </c>
      <c r="E23" s="28">
        <v>0.45619810000000005</v>
      </c>
      <c r="F23" s="30">
        <f t="shared" si="3"/>
        <v>0.15148333333333333</v>
      </c>
      <c r="G23" s="30">
        <f>F23/$D$3</f>
        <v>0.50494444444444442</v>
      </c>
      <c r="H23" s="2">
        <f>F$9*$B23</f>
        <v>0</v>
      </c>
      <c r="I23" s="30">
        <f>G23+H23</f>
        <v>0.50494444444444442</v>
      </c>
      <c r="J23" s="28">
        <v>0</v>
      </c>
      <c r="K23" s="28">
        <v>2.5190068999999999</v>
      </c>
      <c r="L23" s="30">
        <f t="shared" si="0"/>
        <v>0.15520833333333334</v>
      </c>
      <c r="M23" s="30">
        <f>L23/$D$3</f>
        <v>0.51736111111111116</v>
      </c>
      <c r="N23" s="2">
        <f>L$9*$B23</f>
        <v>0</v>
      </c>
      <c r="O23" s="30">
        <f>M23+N23</f>
        <v>0.51736111111111116</v>
      </c>
      <c r="P23" s="28">
        <v>0</v>
      </c>
      <c r="Q23" s="28">
        <v>0</v>
      </c>
      <c r="R23" s="30">
        <f>R$7*(IF($C23-$D23&lt;0,0,ABS($C23-$D23)))</f>
        <v>0</v>
      </c>
      <c r="S23" s="30">
        <f>R23/$D$3</f>
        <v>0</v>
      </c>
      <c r="T23" s="2">
        <f>R$9*$B23</f>
        <v>0</v>
      </c>
      <c r="U23" s="30">
        <f>S23+T23</f>
        <v>0</v>
      </c>
      <c r="V23" s="30">
        <f>IF(Q23-U23&gt;0,0,ABS(Q23-U23))</f>
        <v>0</v>
      </c>
      <c r="W23" s="28">
        <v>0</v>
      </c>
      <c r="X23" s="30">
        <f t="shared" si="1"/>
        <v>7.4499999999999992E-3</v>
      </c>
      <c r="Y23" s="30">
        <f>X23/$D$3</f>
        <v>2.4833333333333332E-2</v>
      </c>
      <c r="Z23" s="2">
        <f>X$9*$B23</f>
        <v>0</v>
      </c>
      <c r="AA23" s="30">
        <f>Y23+Z23</f>
        <v>2.4833333333333332E-2</v>
      </c>
      <c r="AB23" s="28">
        <v>0</v>
      </c>
      <c r="AC23" s="28">
        <v>0</v>
      </c>
      <c r="AD23" s="30">
        <f t="shared" si="10"/>
        <v>0</v>
      </c>
      <c r="AE23" s="30">
        <f>AD23/$D$3</f>
        <v>0</v>
      </c>
      <c r="AF23" s="2">
        <f>AD$9*$B23</f>
        <v>0</v>
      </c>
      <c r="AG23" s="30">
        <f>AE23+AF23</f>
        <v>0</v>
      </c>
      <c r="AH23" s="30">
        <f t="shared" si="2"/>
        <v>0</v>
      </c>
      <c r="AJ23" s="30"/>
      <c r="AK23" s="30"/>
      <c r="AL23" s="30"/>
      <c r="AM23" s="30"/>
      <c r="AN23" s="11"/>
      <c r="AO23" s="30"/>
      <c r="AP23" s="30"/>
      <c r="AQ23" s="30"/>
      <c r="AR23" s="30"/>
      <c r="AS23" s="30"/>
    </row>
    <row r="24" spans="1:45" s="14" customFormat="1" ht="15.75" x14ac:dyDescent="0.25">
      <c r="A24" s="14" t="s">
        <v>40</v>
      </c>
      <c r="B24" s="14">
        <f>SUM(B12:B23)</f>
        <v>4.6305555555555564</v>
      </c>
      <c r="C24" s="14">
        <f>SUM(C12:C23)</f>
        <v>3.9916666666666663</v>
      </c>
      <c r="D24" s="14">
        <f t="shared" ref="D24:AC24" si="25">SUM(D12:D23)</f>
        <v>1.2258333333333333</v>
      </c>
      <c r="E24" s="14">
        <f t="shared" si="25"/>
        <v>276.88183644492557</v>
      </c>
      <c r="F24" s="14">
        <f t="shared" si="25"/>
        <v>3.3743166666666662</v>
      </c>
      <c r="G24" s="14">
        <f t="shared" si="25"/>
        <v>11.247722222222221</v>
      </c>
      <c r="H24" s="14">
        <f t="shared" si="25"/>
        <v>356.55277777777786</v>
      </c>
      <c r="I24" s="14">
        <f t="shared" si="25"/>
        <v>367.80050000000006</v>
      </c>
      <c r="J24" s="14">
        <f t="shared" si="25"/>
        <v>135.5754903425715</v>
      </c>
      <c r="K24" s="14">
        <f t="shared" si="25"/>
        <v>640.74808268000015</v>
      </c>
      <c r="L24" s="14">
        <f t="shared" si="25"/>
        <v>3.4572916666666669</v>
      </c>
      <c r="M24" s="14">
        <f t="shared" si="25"/>
        <v>11.524305555555555</v>
      </c>
      <c r="N24" s="14">
        <f t="shared" si="25"/>
        <v>178.64683333333335</v>
      </c>
      <c r="O24" s="14">
        <f t="shared" si="25"/>
        <v>190.17113888888892</v>
      </c>
      <c r="P24" s="14">
        <f t="shared" si="25"/>
        <v>0</v>
      </c>
      <c r="Q24" s="14">
        <f t="shared" si="25"/>
        <v>180.60399308187499</v>
      </c>
      <c r="R24" s="14">
        <f t="shared" si="25"/>
        <v>36.437914147083326</v>
      </c>
      <c r="S24" s="14">
        <f t="shared" si="25"/>
        <v>47.197363182363766</v>
      </c>
      <c r="T24" s="14">
        <f t="shared" si="25"/>
        <v>117.09379005638888</v>
      </c>
      <c r="U24" s="14">
        <f t="shared" si="25"/>
        <v>99.418820291493063</v>
      </c>
      <c r="V24" s="14">
        <f t="shared" si="25"/>
        <v>17.333998139594563</v>
      </c>
      <c r="W24" s="14">
        <f t="shared" si="25"/>
        <v>75.413512869999977</v>
      </c>
      <c r="X24" s="14">
        <f t="shared" si="25"/>
        <v>0.15645000000000003</v>
      </c>
      <c r="Y24" s="14">
        <f t="shared" si="25"/>
        <v>0.52149999999999996</v>
      </c>
      <c r="Z24" s="14">
        <f t="shared" si="25"/>
        <v>0</v>
      </c>
      <c r="AA24" s="14">
        <f t="shared" si="25"/>
        <v>0.52149999999999996</v>
      </c>
      <c r="AB24" s="14">
        <f t="shared" si="25"/>
        <v>0.40399999999999997</v>
      </c>
      <c r="AC24" s="14">
        <f t="shared" si="25"/>
        <v>2.5999366082291666</v>
      </c>
      <c r="AD24" s="14">
        <f>SUM(AD12:AD23)</f>
        <v>0</v>
      </c>
      <c r="AE24" s="14">
        <f>SUM(AE12:AE23)</f>
        <v>0</v>
      </c>
      <c r="AF24" s="14">
        <f>SUM(AF12:AF23)</f>
        <v>56.631694444444449</v>
      </c>
      <c r="AG24" s="14">
        <f>SUM(AG12:AG23)</f>
        <v>56.631694444444449</v>
      </c>
      <c r="AH24" s="14">
        <f>SUM(AH12:AH23)</f>
        <v>54.800646587118301</v>
      </c>
    </row>
    <row r="25" spans="1:45" s="2" customFormat="1" x14ac:dyDescent="0.2">
      <c r="A25" s="39" t="s">
        <v>41</v>
      </c>
      <c r="B25" s="39"/>
      <c r="C25" s="39"/>
      <c r="D25" s="40"/>
      <c r="E25" s="40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T25" s="41" t="s">
        <v>42</v>
      </c>
      <c r="U25" s="42"/>
      <c r="V25" s="42"/>
    </row>
    <row r="26" spans="1:45" s="2" customFormat="1" x14ac:dyDescent="0.2">
      <c r="A26" s="2" t="s">
        <v>43</v>
      </c>
      <c r="D26" s="3"/>
      <c r="E26" s="3"/>
    </row>
    <row r="27" spans="1:45" s="54" customFormat="1" ht="18" customHeight="1" x14ac:dyDescent="0.25">
      <c r="A27" s="43" t="s">
        <v>44</v>
      </c>
      <c r="B27" s="44"/>
      <c r="C27" s="45"/>
      <c r="D27" s="46"/>
      <c r="E27" s="46"/>
      <c r="F27" s="47" t="s">
        <v>45</v>
      </c>
      <c r="G27" s="48"/>
      <c r="H27" s="48"/>
      <c r="I27" s="48"/>
      <c r="J27" s="48"/>
      <c r="K27" s="48"/>
      <c r="L27" s="49" t="s">
        <v>46</v>
      </c>
      <c r="M27" s="48"/>
      <c r="N27" s="48"/>
      <c r="O27" s="48"/>
      <c r="P27" s="48"/>
      <c r="Q27" s="48"/>
      <c r="R27" s="50"/>
      <c r="S27" s="51" t="s">
        <v>47</v>
      </c>
      <c r="T27" s="52"/>
      <c r="U27" s="52"/>
      <c r="V27" s="52"/>
      <c r="W27" s="52"/>
      <c r="X27" s="52"/>
      <c r="Y27" s="50"/>
      <c r="Z27" s="50"/>
      <c r="AA27" s="50"/>
      <c r="AB27" s="50"/>
      <c r="AC27" s="53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</row>
    <row r="28" spans="1:45" s="58" customFormat="1" ht="72.75" customHeight="1" x14ac:dyDescent="0.2">
      <c r="A28" s="55"/>
      <c r="B28" s="55"/>
      <c r="C28" s="56" t="s">
        <v>48</v>
      </c>
      <c r="D28" s="56" t="s">
        <v>49</v>
      </c>
      <c r="E28" s="56"/>
      <c r="F28" s="57" t="s">
        <v>50</v>
      </c>
      <c r="G28" s="33" t="s">
        <v>51</v>
      </c>
      <c r="H28" s="57" t="s">
        <v>52</v>
      </c>
      <c r="I28" s="57" t="s">
        <v>53</v>
      </c>
      <c r="J28" s="57" t="s">
        <v>54</v>
      </c>
      <c r="K28" s="57" t="s">
        <v>55</v>
      </c>
      <c r="L28" s="55"/>
      <c r="M28" s="57" t="s">
        <v>56</v>
      </c>
      <c r="N28" s="33" t="s">
        <v>51</v>
      </c>
      <c r="O28" s="57" t="s">
        <v>55</v>
      </c>
      <c r="P28" s="57" t="s">
        <v>57</v>
      </c>
      <c r="Q28" s="33" t="s">
        <v>51</v>
      </c>
      <c r="S28" s="33" t="s">
        <v>58</v>
      </c>
      <c r="T28" s="57" t="s">
        <v>59</v>
      </c>
      <c r="U28" s="57" t="s">
        <v>60</v>
      </c>
      <c r="V28" s="33" t="s">
        <v>61</v>
      </c>
      <c r="W28" s="33" t="s">
        <v>62</v>
      </c>
      <c r="X28" s="33" t="s">
        <v>63</v>
      </c>
      <c r="Y28" s="57"/>
      <c r="AG28" s="11"/>
    </row>
    <row r="29" spans="1:45" ht="15.75" x14ac:dyDescent="0.25">
      <c r="A29" s="4" t="s">
        <v>64</v>
      </c>
      <c r="B29" s="2"/>
      <c r="C29" s="30">
        <f>B24*$D$3</f>
        <v>1.3891666666666669</v>
      </c>
      <c r="E29" s="30"/>
      <c r="F29" s="30">
        <f>($F9+$L9+$R9+$X9+$AD9+$AJ9)-F30</f>
        <v>142.25</v>
      </c>
      <c r="G29" s="30">
        <f>F29*$C29</f>
        <v>197.60895833333336</v>
      </c>
      <c r="H29" s="2">
        <f>H24+N24+T24+Z24+AF24+AL24</f>
        <v>708.92509561194447</v>
      </c>
      <c r="I29" s="2"/>
      <c r="J29" s="2"/>
      <c r="K29" s="2">
        <f>G29*J32</f>
        <v>52.764144120721568</v>
      </c>
      <c r="L29" s="2"/>
      <c r="M29" s="28">
        <v>15.01</v>
      </c>
      <c r="N29" s="30">
        <f>M29*$C29</f>
        <v>20.851391666666668</v>
      </c>
      <c r="O29" s="2">
        <f>J32*N29</f>
        <v>5.5675908840213051</v>
      </c>
      <c r="P29" s="31">
        <v>26.1</v>
      </c>
      <c r="Q29" s="30">
        <f>P29*$C29</f>
        <v>36.257250000000006</v>
      </c>
      <c r="S29" s="2">
        <f>F29+M29+P29</f>
        <v>183.35999999999999</v>
      </c>
      <c r="T29" s="2">
        <f>G29+N29+Q29</f>
        <v>254.71760000000003</v>
      </c>
      <c r="U29" s="2">
        <f>O29+K29</f>
        <v>58.331735004742875</v>
      </c>
      <c r="V29" s="2">
        <f>T29-U29</f>
        <v>196.38586499525715</v>
      </c>
      <c r="W29" s="2"/>
      <c r="X29" s="2"/>
      <c r="Y29" s="2"/>
      <c r="AG29" s="2"/>
      <c r="AH29" s="59"/>
      <c r="AI29" s="59"/>
      <c r="AM29" s="2"/>
    </row>
    <row r="30" spans="1:45" x14ac:dyDescent="0.2">
      <c r="A30" s="4" t="s">
        <v>65</v>
      </c>
      <c r="B30" s="2"/>
      <c r="C30" s="2"/>
      <c r="D30" s="30"/>
      <c r="E30" s="30"/>
      <c r="F30" s="30"/>
      <c r="G30" s="30"/>
      <c r="H30" s="2"/>
      <c r="I30" s="2"/>
      <c r="J30" s="2"/>
      <c r="K30" s="2"/>
      <c r="L30" s="2"/>
      <c r="M30" s="30">
        <v>0</v>
      </c>
      <c r="N30" s="30"/>
      <c r="O30" s="2"/>
      <c r="P30" s="2">
        <v>0</v>
      </c>
      <c r="Q30" s="30"/>
      <c r="S30" s="2"/>
      <c r="T30" s="2"/>
      <c r="U30" s="2"/>
      <c r="V30" s="2"/>
      <c r="W30" s="2"/>
      <c r="X30" s="2"/>
      <c r="Y30" s="2"/>
      <c r="AA30" s="60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</row>
    <row r="31" spans="1:45" s="2" customFormat="1" x14ac:dyDescent="0.2">
      <c r="A31" s="2" t="s">
        <v>66</v>
      </c>
      <c r="E31" s="30"/>
      <c r="F31" s="30">
        <f>F7+L7+R7+X7+AD7+AJ7</f>
        <v>2.5299999999999998</v>
      </c>
      <c r="G31" s="30">
        <f>F31*($C24-$D24)</f>
        <v>6.9975583333333322</v>
      </c>
      <c r="H31" s="2">
        <f>G24+M24+S24+Y24+AE24+AK24</f>
        <v>70.490890960141542</v>
      </c>
      <c r="K31" s="2">
        <f>G31*J32</f>
        <v>1.8684384529285523</v>
      </c>
      <c r="M31" s="28">
        <v>21.92</v>
      </c>
      <c r="N31" s="30">
        <f>M31*($C24-$D24)</f>
        <v>60.627066666666664</v>
      </c>
      <c r="O31" s="30">
        <f>J32*N31</f>
        <v>16.188209837230779</v>
      </c>
      <c r="P31" s="31">
        <v>0</v>
      </c>
      <c r="Q31" s="30">
        <f>P31*($C24-$D24)</f>
        <v>0</v>
      </c>
      <c r="R31" s="30"/>
      <c r="S31" s="2">
        <f>F31+M31+P31</f>
        <v>24.450000000000003</v>
      </c>
      <c r="T31" s="2">
        <f>G31+N31+Q31</f>
        <v>67.624624999999995</v>
      </c>
      <c r="U31" s="2">
        <f>O31+K31</f>
        <v>18.05664829015933</v>
      </c>
      <c r="V31" s="2">
        <f>T31-U31</f>
        <v>49.567976709840664</v>
      </c>
      <c r="W31" s="3"/>
      <c r="AH31" s="4"/>
      <c r="AI31" s="4"/>
      <c r="AJ31" s="4"/>
      <c r="AK31" s="4"/>
      <c r="AL31" s="4"/>
    </row>
    <row r="32" spans="1:45" ht="15.75" x14ac:dyDescent="0.25">
      <c r="A32" s="5" t="s">
        <v>47</v>
      </c>
      <c r="B32" s="2"/>
      <c r="D32" s="30"/>
      <c r="E32" s="30"/>
      <c r="F32" s="30">
        <f>SUM(F29:F31)</f>
        <v>144.78</v>
      </c>
      <c r="G32" s="30">
        <f>SUM(G29:G31)</f>
        <v>204.60651666666669</v>
      </c>
      <c r="H32" s="30">
        <f>SUM(H29:H31)</f>
        <v>779.41598657208601</v>
      </c>
      <c r="I32" s="2">
        <f>J24+P24+V24+AB24+AH24+AN24+AT24</f>
        <v>208.11413506928437</v>
      </c>
      <c r="J32" s="14">
        <f>I32/H32</f>
        <v>0.26701291563774782</v>
      </c>
      <c r="K32" s="30">
        <f>J32*G32</f>
        <v>54.632582573650119</v>
      </c>
      <c r="L32" s="2"/>
      <c r="M32" s="30">
        <f>SUM(M29:M31)</f>
        <v>36.93</v>
      </c>
      <c r="N32" s="30">
        <f>SUM(N29:N31)</f>
        <v>81.478458333333336</v>
      </c>
      <c r="O32" s="30">
        <f>SUM(O29:O31)</f>
        <v>21.755800721252086</v>
      </c>
      <c r="P32" s="30">
        <f>SUM(P29:P31)</f>
        <v>26.1</v>
      </c>
      <c r="Q32" s="30">
        <f>SUM(Q29:Q31)</f>
        <v>36.257250000000006</v>
      </c>
      <c r="S32" s="2">
        <f>SUM(S29:S31)</f>
        <v>207.81</v>
      </c>
      <c r="T32" s="2">
        <f>SUM(T29:T31)</f>
        <v>322.34222500000004</v>
      </c>
      <c r="U32" s="2">
        <f>SUM(U29:U31)</f>
        <v>76.388383294902212</v>
      </c>
      <c r="V32" s="2">
        <f>SUM(V29:V31)</f>
        <v>245.95384170509783</v>
      </c>
      <c r="W32" s="30">
        <f>(V32-Q32)*0.1+(Q32*0.02)</f>
        <v>21.694804170509787</v>
      </c>
      <c r="X32" s="2">
        <f>W32+V32</f>
        <v>267.6486458756076</v>
      </c>
      <c r="Y32" s="2"/>
      <c r="AG32" s="2"/>
      <c r="AM32" s="2"/>
    </row>
    <row r="33" spans="1:37" ht="15.75" x14ac:dyDescent="0.25">
      <c r="A33" s="2"/>
      <c r="B33" s="2"/>
      <c r="C33" s="2"/>
      <c r="D33" s="30"/>
      <c r="E33" s="30"/>
      <c r="F33" s="30"/>
      <c r="G33" s="30"/>
      <c r="H33" s="2"/>
      <c r="I33" s="2"/>
      <c r="J33" s="30"/>
      <c r="K33" s="30"/>
      <c r="L33" s="2"/>
      <c r="M33" s="30"/>
      <c r="N33" s="30"/>
      <c r="O33" s="2"/>
      <c r="P33" s="30"/>
      <c r="Q33" s="30"/>
      <c r="R33" s="30"/>
      <c r="S33" s="2"/>
      <c r="T33" s="2"/>
      <c r="U33" s="2"/>
      <c r="V33" s="2"/>
      <c r="W33" s="2"/>
      <c r="X33" s="5"/>
      <c r="Y33" s="2"/>
      <c r="Z33" s="2"/>
      <c r="AA33" s="2"/>
      <c r="AF33" s="2"/>
      <c r="AG33" s="2"/>
      <c r="AH33" s="59"/>
      <c r="AI33" s="59"/>
      <c r="AK33" s="59"/>
    </row>
    <row r="34" spans="1:37" ht="15.75" x14ac:dyDescent="0.25">
      <c r="A34" s="2" t="s">
        <v>67</v>
      </c>
      <c r="B34" s="2"/>
      <c r="C34" s="2"/>
      <c r="D34" s="30"/>
      <c r="E34" s="30"/>
      <c r="F34" s="30"/>
      <c r="G34" s="30"/>
      <c r="H34" s="2"/>
      <c r="I34" s="2"/>
      <c r="J34" s="30"/>
      <c r="K34" s="30"/>
      <c r="L34" s="2"/>
      <c r="M34" s="30"/>
      <c r="N34" s="30"/>
      <c r="O34" s="2"/>
      <c r="P34" s="30"/>
      <c r="Q34" s="30"/>
      <c r="R34" s="30"/>
      <c r="S34" s="2"/>
      <c r="T34" s="2"/>
      <c r="U34" s="2"/>
      <c r="V34" s="2"/>
      <c r="W34" s="2"/>
      <c r="X34" s="5"/>
      <c r="Y34" s="2"/>
      <c r="Z34" s="2"/>
      <c r="AG34" s="2"/>
    </row>
    <row r="35" spans="1:37" s="2" customFormat="1" x14ac:dyDescent="0.2">
      <c r="A35" s="2" t="s">
        <v>68</v>
      </c>
      <c r="D35" s="3"/>
      <c r="E35" s="3"/>
    </row>
    <row r="36" spans="1:37" s="62" customFormat="1" ht="15.75" x14ac:dyDescent="0.25">
      <c r="A36" s="61" t="s">
        <v>69</v>
      </c>
      <c r="B36" s="61"/>
      <c r="D36" s="63"/>
      <c r="E36" s="63"/>
      <c r="F36" s="63"/>
      <c r="G36" s="64"/>
      <c r="H36" s="63"/>
      <c r="I36" s="63"/>
      <c r="J36" s="63"/>
      <c r="K36" s="63"/>
      <c r="L36" s="63"/>
      <c r="M36" s="64"/>
      <c r="N36" s="63"/>
      <c r="O36" s="63"/>
      <c r="P36" s="63"/>
      <c r="Q36" s="63"/>
      <c r="R36" s="63"/>
      <c r="S36" s="64"/>
      <c r="T36" s="63"/>
      <c r="U36" s="63"/>
      <c r="V36" s="65"/>
      <c r="W36" s="65"/>
      <c r="X36" s="65"/>
      <c r="Y36" s="66"/>
      <c r="Z36" s="65"/>
      <c r="AA36" s="65"/>
      <c r="AF36" s="65"/>
      <c r="AG36" s="65"/>
    </row>
    <row r="37" spans="1:37" ht="15.75" x14ac:dyDescent="0.25">
      <c r="A37" s="5"/>
      <c r="B37" s="5"/>
      <c r="C37" s="5"/>
      <c r="F37" s="14" t="s">
        <v>70</v>
      </c>
      <c r="G37" s="14" t="s">
        <v>71</v>
      </c>
      <c r="H37" s="14" t="s">
        <v>72</v>
      </c>
      <c r="I37" s="14" t="s">
        <v>73</v>
      </c>
      <c r="J37" s="14" t="s">
        <v>32</v>
      </c>
      <c r="K37" s="14" t="s">
        <v>74</v>
      </c>
      <c r="L37" s="14" t="s">
        <v>75</v>
      </c>
      <c r="M37" s="14" t="s">
        <v>76</v>
      </c>
      <c r="N37" s="14" t="s">
        <v>77</v>
      </c>
      <c r="O37" s="14" t="s">
        <v>78</v>
      </c>
      <c r="P37" s="14" t="s">
        <v>79</v>
      </c>
      <c r="Q37" s="14" t="s">
        <v>80</v>
      </c>
      <c r="R37" s="14" t="s">
        <v>47</v>
      </c>
      <c r="V37" s="2"/>
      <c r="W37" s="2"/>
      <c r="X37" s="2"/>
      <c r="Y37" s="3"/>
      <c r="Z37" s="2"/>
      <c r="AA37" s="2"/>
      <c r="AF37" s="2"/>
      <c r="AG37" s="2"/>
    </row>
    <row r="38" spans="1:37" ht="15.75" x14ac:dyDescent="0.25">
      <c r="A38" s="5"/>
      <c r="B38" s="5"/>
      <c r="C38" s="5"/>
      <c r="F38" s="14"/>
      <c r="G38" s="16"/>
      <c r="H38" s="16"/>
      <c r="I38" s="14"/>
      <c r="J38" s="16"/>
      <c r="K38" s="16"/>
      <c r="L38" s="16"/>
      <c r="M38" s="16"/>
      <c r="N38" s="14"/>
      <c r="O38" s="16"/>
      <c r="P38" s="14"/>
      <c r="Q38" s="16"/>
      <c r="R38" s="14"/>
      <c r="V38" s="2"/>
      <c r="W38" s="2"/>
      <c r="X38" s="2"/>
      <c r="Y38" s="3"/>
      <c r="Z38" s="2"/>
      <c r="AA38" s="2"/>
      <c r="AF38" s="2"/>
      <c r="AG38" s="2"/>
    </row>
    <row r="39" spans="1:37" ht="15.75" x14ac:dyDescent="0.25">
      <c r="A39" s="5" t="s">
        <v>81</v>
      </c>
      <c r="B39" s="5"/>
      <c r="C39" s="2"/>
      <c r="F39" s="31">
        <v>0</v>
      </c>
      <c r="G39" s="31">
        <v>0</v>
      </c>
      <c r="H39" s="31">
        <v>0</v>
      </c>
      <c r="I39" s="31">
        <v>0.56000000000000005</v>
      </c>
      <c r="J39" s="31">
        <v>2.6</v>
      </c>
      <c r="K39" s="31">
        <v>4.38</v>
      </c>
      <c r="L39" s="31">
        <v>2.33</v>
      </c>
      <c r="M39" s="31">
        <v>2.96</v>
      </c>
      <c r="N39" s="31">
        <v>2.92</v>
      </c>
      <c r="O39" s="31">
        <v>1.57</v>
      </c>
      <c r="P39" s="31">
        <v>0</v>
      </c>
      <c r="Q39" s="31">
        <v>0</v>
      </c>
      <c r="R39" s="2">
        <f>SUM(F39:Q39)</f>
        <v>17.32</v>
      </c>
      <c r="V39" s="2"/>
      <c r="W39" s="2"/>
      <c r="X39" s="2"/>
      <c r="Y39" s="3"/>
      <c r="Z39" s="2"/>
      <c r="AA39" s="2"/>
      <c r="AB39" s="2"/>
      <c r="AC39" s="2"/>
      <c r="AD39" s="2"/>
      <c r="AE39" s="3"/>
      <c r="AF39" s="2"/>
      <c r="AG39" s="2"/>
    </row>
    <row r="40" spans="1:37" ht="15.75" x14ac:dyDescent="0.25">
      <c r="A40" s="5" t="s">
        <v>82</v>
      </c>
      <c r="B40" s="5"/>
      <c r="C40" s="2"/>
      <c r="F40" s="2">
        <f t="shared" ref="F40:Q40" si="26">F39/$R39</f>
        <v>0</v>
      </c>
      <c r="G40" s="2">
        <f t="shared" si="26"/>
        <v>0</v>
      </c>
      <c r="H40" s="2">
        <f t="shared" si="26"/>
        <v>0</v>
      </c>
      <c r="I40" s="2">
        <f t="shared" si="26"/>
        <v>3.2332563510392612E-2</v>
      </c>
      <c r="J40" s="2">
        <f t="shared" si="26"/>
        <v>0.15011547344110854</v>
      </c>
      <c r="K40" s="2">
        <f t="shared" si="26"/>
        <v>0.25288683602771361</v>
      </c>
      <c r="L40" s="2">
        <f t="shared" si="26"/>
        <v>0.13452655889145496</v>
      </c>
      <c r="M40" s="2">
        <f t="shared" si="26"/>
        <v>0.17090069284064666</v>
      </c>
      <c r="N40" s="2">
        <f t="shared" si="26"/>
        <v>0.16859122401847573</v>
      </c>
      <c r="O40" s="2">
        <f t="shared" si="26"/>
        <v>9.0646651270207851E-2</v>
      </c>
      <c r="P40" s="2">
        <f t="shared" si="26"/>
        <v>0</v>
      </c>
      <c r="Q40" s="2">
        <f t="shared" si="26"/>
        <v>0</v>
      </c>
      <c r="R40" s="2">
        <f>SUM(F40:Q40)</f>
        <v>1</v>
      </c>
      <c r="V40" s="2"/>
      <c r="W40" s="2"/>
      <c r="X40" s="2"/>
      <c r="Y40" s="3"/>
      <c r="Z40" s="2"/>
      <c r="AA40" s="2"/>
      <c r="AB40" s="2"/>
      <c r="AC40" s="2"/>
      <c r="AD40" s="2"/>
      <c r="AE40" s="3"/>
      <c r="AF40" s="2"/>
      <c r="AG40" s="2"/>
    </row>
    <row r="41" spans="1:37" ht="16.5" thickBot="1" x14ac:dyDescent="0.3">
      <c r="A41" s="5"/>
      <c r="B41" s="5"/>
      <c r="C41" s="2"/>
      <c r="F41" s="67"/>
      <c r="G41" s="3"/>
      <c r="H41" s="2"/>
      <c r="I41" s="2"/>
      <c r="J41" s="2"/>
      <c r="K41" s="2"/>
      <c r="L41" s="2"/>
      <c r="M41" s="3"/>
      <c r="N41" s="2"/>
      <c r="O41" s="2"/>
      <c r="P41" s="2"/>
      <c r="Q41" s="2"/>
      <c r="R41" s="2"/>
      <c r="S41" s="3"/>
      <c r="T41" s="2"/>
      <c r="V41" s="2"/>
      <c r="W41" s="2"/>
      <c r="X41" s="2"/>
      <c r="Y41" s="3"/>
      <c r="Z41" s="2"/>
      <c r="AA41" s="2"/>
      <c r="AB41" s="2"/>
      <c r="AC41" s="2"/>
      <c r="AD41" s="2"/>
      <c r="AE41" s="3"/>
      <c r="AF41" s="2"/>
      <c r="AG41" s="2"/>
    </row>
    <row r="42" spans="1:37" s="65" customFormat="1" ht="16.5" thickBot="1" x14ac:dyDescent="0.3">
      <c r="A42" s="63" t="s">
        <v>83</v>
      </c>
      <c r="B42" s="63"/>
      <c r="F42" s="68">
        <v>16.670000000000002</v>
      </c>
      <c r="G42" s="63" t="s">
        <v>84</v>
      </c>
      <c r="Z42" s="63"/>
      <c r="AA42" s="63"/>
      <c r="AB42" s="63"/>
      <c r="AC42" s="63"/>
      <c r="AD42" s="63"/>
      <c r="AE42" s="64"/>
      <c r="AF42" s="63"/>
      <c r="AG42" s="63"/>
    </row>
    <row r="43" spans="1:37" ht="15.75" x14ac:dyDescent="0.25">
      <c r="A43" s="5"/>
      <c r="B43" s="5"/>
      <c r="C43" s="2"/>
      <c r="F43" s="14" t="s">
        <v>70</v>
      </c>
      <c r="G43" s="14" t="s">
        <v>71</v>
      </c>
      <c r="H43" s="14" t="s">
        <v>72</v>
      </c>
      <c r="I43" s="14" t="s">
        <v>73</v>
      </c>
      <c r="J43" s="14" t="s">
        <v>32</v>
      </c>
      <c r="K43" s="14" t="s">
        <v>74</v>
      </c>
      <c r="L43" s="14" t="s">
        <v>75</v>
      </c>
      <c r="M43" s="14" t="s">
        <v>76</v>
      </c>
      <c r="N43" s="14" t="s">
        <v>77</v>
      </c>
      <c r="O43" s="14" t="s">
        <v>78</v>
      </c>
      <c r="P43" s="14" t="s">
        <v>79</v>
      </c>
      <c r="Q43" s="14" t="s">
        <v>80</v>
      </c>
      <c r="R43" s="14" t="s">
        <v>47</v>
      </c>
      <c r="V43" s="2"/>
      <c r="W43" s="2"/>
      <c r="X43" s="2"/>
      <c r="Y43" s="3"/>
      <c r="Z43" s="2"/>
      <c r="AA43" s="2"/>
      <c r="AB43" s="2"/>
      <c r="AC43" s="2"/>
      <c r="AD43" s="2"/>
      <c r="AE43" s="3"/>
      <c r="AF43" s="2"/>
      <c r="AG43" s="2"/>
    </row>
    <row r="44" spans="1:37" ht="15.75" x14ac:dyDescent="0.25">
      <c r="A44" s="5"/>
      <c r="B44" s="5"/>
      <c r="C44" s="2"/>
      <c r="F44" s="14"/>
      <c r="G44" s="16"/>
      <c r="H44" s="16"/>
      <c r="I44" s="14"/>
      <c r="J44" s="16"/>
      <c r="K44" s="16"/>
      <c r="L44" s="16"/>
      <c r="M44" s="16"/>
      <c r="N44" s="14"/>
      <c r="O44" s="16"/>
      <c r="P44" s="14"/>
      <c r="Q44" s="16"/>
      <c r="R44" s="14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</row>
    <row r="45" spans="1:37" ht="15.75" x14ac:dyDescent="0.25">
      <c r="A45" s="5" t="s">
        <v>85</v>
      </c>
      <c r="B45" s="5"/>
      <c r="C45" s="2"/>
      <c r="F45" s="2">
        <f t="shared" ref="F45:Q45" si="27">F40*$F42</f>
        <v>0</v>
      </c>
      <c r="G45" s="2">
        <f t="shared" si="27"/>
        <v>0</v>
      </c>
      <c r="H45" s="2">
        <f t="shared" si="27"/>
        <v>0</v>
      </c>
      <c r="I45" s="2">
        <f t="shared" si="27"/>
        <v>0.53898383371824488</v>
      </c>
      <c r="J45" s="2">
        <f t="shared" si="27"/>
        <v>2.5024249422632794</v>
      </c>
      <c r="K45" s="2">
        <f t="shared" si="27"/>
        <v>4.2156235565819866</v>
      </c>
      <c r="L45" s="2">
        <f t="shared" si="27"/>
        <v>2.2425577367205545</v>
      </c>
      <c r="M45" s="2">
        <f t="shared" si="27"/>
        <v>2.8489145496535802</v>
      </c>
      <c r="N45" s="2">
        <f t="shared" si="27"/>
        <v>2.8104157043879909</v>
      </c>
      <c r="O45" s="2">
        <f t="shared" si="27"/>
        <v>1.511079676674365</v>
      </c>
      <c r="P45" s="2">
        <f t="shared" si="27"/>
        <v>0</v>
      </c>
      <c r="Q45" s="2">
        <f t="shared" si="27"/>
        <v>0</v>
      </c>
      <c r="R45" s="2">
        <f>SUM(F45:Q45)</f>
        <v>16.670000000000002</v>
      </c>
      <c r="V45" s="2"/>
      <c r="W45" s="2"/>
      <c r="Y45" s="3"/>
      <c r="Z45" s="2"/>
      <c r="AA45" s="2"/>
      <c r="AB45" s="2"/>
      <c r="AC45" s="2"/>
      <c r="AD45" s="2"/>
      <c r="AE45" s="3"/>
      <c r="AF45" s="2"/>
      <c r="AG45" s="2"/>
    </row>
    <row r="46" spans="1:37" ht="15.75" x14ac:dyDescent="0.25">
      <c r="A46" s="5" t="s">
        <v>86</v>
      </c>
      <c r="B46" s="5"/>
      <c r="C46" s="2"/>
      <c r="F46" s="2">
        <f t="shared" ref="F46:Q46" si="28">F45/12</f>
        <v>0</v>
      </c>
      <c r="G46" s="2">
        <f t="shared" si="28"/>
        <v>0</v>
      </c>
      <c r="H46" s="2">
        <f t="shared" si="28"/>
        <v>0</v>
      </c>
      <c r="I46" s="2">
        <f t="shared" si="28"/>
        <v>4.4915319476520409E-2</v>
      </c>
      <c r="J46" s="2">
        <f t="shared" si="28"/>
        <v>0.20853541185527327</v>
      </c>
      <c r="K46" s="2">
        <f t="shared" si="28"/>
        <v>0.35130196304849887</v>
      </c>
      <c r="L46" s="2">
        <f t="shared" si="28"/>
        <v>0.18687981139337953</v>
      </c>
      <c r="M46" s="2">
        <f t="shared" si="28"/>
        <v>0.23740954580446502</v>
      </c>
      <c r="N46" s="2">
        <f t="shared" si="28"/>
        <v>0.23420130869899924</v>
      </c>
      <c r="O46" s="2">
        <f t="shared" si="28"/>
        <v>0.12592330638953042</v>
      </c>
      <c r="P46" s="2">
        <f t="shared" si="28"/>
        <v>0</v>
      </c>
      <c r="Q46" s="2">
        <f t="shared" si="28"/>
        <v>0</v>
      </c>
      <c r="R46" s="2">
        <f>SUM(F46:Q46)</f>
        <v>1.3891666666666667</v>
      </c>
      <c r="U46" s="2"/>
      <c r="V46" s="2"/>
      <c r="W46" s="2"/>
      <c r="X46" s="2"/>
      <c r="Y46" s="3"/>
      <c r="Z46" s="2"/>
      <c r="AA46" s="2"/>
      <c r="AB46" s="2"/>
      <c r="AC46" s="2"/>
      <c r="AD46" s="2"/>
      <c r="AE46" s="3"/>
      <c r="AF46" s="2"/>
      <c r="AG46" s="2"/>
    </row>
    <row r="52" spans="1:2" x14ac:dyDescent="0.2">
      <c r="A52" s="35"/>
      <c r="B52" s="2"/>
    </row>
    <row r="53" spans="1:2" x14ac:dyDescent="0.2">
      <c r="A53" s="30"/>
      <c r="B53" s="2"/>
    </row>
    <row r="54" spans="1:2" x14ac:dyDescent="0.2">
      <c r="A54" s="30"/>
      <c r="B54" s="2"/>
    </row>
    <row r="55" spans="1:2" x14ac:dyDescent="0.2">
      <c r="A55" s="30"/>
      <c r="B55" s="2"/>
    </row>
    <row r="56" spans="1:2" x14ac:dyDescent="0.2">
      <c r="A56" s="30"/>
      <c r="B56" s="2"/>
    </row>
    <row r="57" spans="1:2" x14ac:dyDescent="0.2">
      <c r="A57" s="30"/>
      <c r="B57" s="2"/>
    </row>
    <row r="58" spans="1:2" x14ac:dyDescent="0.2">
      <c r="A58" s="30"/>
      <c r="B58" s="2"/>
    </row>
    <row r="59" spans="1:2" x14ac:dyDescent="0.2">
      <c r="A59" s="30"/>
      <c r="B59" s="2"/>
    </row>
    <row r="60" spans="1:2" x14ac:dyDescent="0.2">
      <c r="A60" s="30"/>
      <c r="B60" s="2"/>
    </row>
    <row r="61" spans="1:2" x14ac:dyDescent="0.2">
      <c r="A61" s="30"/>
      <c r="B61" s="2"/>
    </row>
    <row r="62" spans="1:2" x14ac:dyDescent="0.2">
      <c r="A62" s="30"/>
      <c r="B62" s="2"/>
    </row>
    <row r="63" spans="1:2" x14ac:dyDescent="0.2">
      <c r="A63" s="30"/>
      <c r="B63" s="2"/>
    </row>
  </sheetData>
  <sheetProtection formatColumns="0"/>
  <mergeCells count="10">
    <mergeCell ref="AJ6:AN6"/>
    <mergeCell ref="F27:K27"/>
    <mergeCell ref="L27:Q27"/>
    <mergeCell ref="S27:X27"/>
    <mergeCell ref="A3:C3"/>
    <mergeCell ref="E6:J6"/>
    <mergeCell ref="K6:P6"/>
    <mergeCell ref="Q6:V6"/>
    <mergeCell ref="W6:AB6"/>
    <mergeCell ref="AC6:AH6"/>
  </mergeCells>
  <printOptions horizontalCentered="1" gridLines="1"/>
  <pageMargins left="0.75" right="0.25" top="0.75" bottom="0.75" header="0.5" footer="0.5"/>
  <pageSetup paperSize="17" scale="54" orientation="landscape" r:id="rId1"/>
  <headerFooter alignWithMargins="0">
    <oddHeader>&amp;L&amp;D</oddHeader>
    <oddFooter>&amp;L&amp;F&amp;R&amp;A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luna</vt:lpstr>
      <vt:lpstr>luna!Print_Area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Tao, OSE</dc:creator>
  <cp:lastModifiedBy>Liu, Tao, OSE</cp:lastModifiedBy>
  <dcterms:created xsi:type="dcterms:W3CDTF">2026-07-24T19:39:13Z</dcterms:created>
  <dcterms:modified xsi:type="dcterms:W3CDTF">2026-07-24T19:39:38Z</dcterms:modified>
</cp:coreProperties>
</file>