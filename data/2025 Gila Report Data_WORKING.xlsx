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mgov-my.sharepoint.com/personal/tao_liu_ose_nm_gov/Documents/Documents/Projects_local/GilaReport/2025 GSF Tao/"/>
    </mc:Choice>
  </mc:AlternateContent>
  <xr:revisionPtr revIDLastSave="140" documentId="8_{E029E5FD-C566-438A-AC93-E6EDED460B69}" xr6:coauthVersionLast="47" xr6:coauthVersionMax="47" xr10:uidLastSave="{B966DDCC-332D-43B8-B77D-A49BCAF33158}"/>
  <bookViews>
    <workbookView xWindow="-105" yWindow="0" windowWidth="26010" windowHeight="20985" tabRatio="886" activeTab="2" xr2:uid="{00000000-000D-0000-FFFF-FFFF00000000}"/>
  </bookViews>
  <sheets>
    <sheet name="stock-dom-com-ind-evap" sheetId="1" r:id="rId1"/>
    <sheet name="Freeport" sheetId="30" r:id="rId2"/>
    <sheet name="Diversions" sheetId="20" r:id="rId3"/>
    <sheet name="luna" sheetId="22" r:id="rId4"/>
    <sheet name="apachearagon" sheetId="23" r:id="rId5"/>
    <sheet name="reserve" sheetId="24" r:id="rId6"/>
    <sheet name="glenwood" sheetId="8" r:id="rId7"/>
    <sheet name="uppergila" sheetId="26" r:id="rId8"/>
    <sheet name="cliffgila" sheetId="25" r:id="rId9"/>
    <sheet name="redrock" sheetId="27" r:id="rId10"/>
    <sheet name="virden" sheetId="28" r:id="rId11"/>
    <sheet name="sansimon" sheetId="29" r:id="rId12"/>
    <sheet name="Tables1,2,3,4" sheetId="4" r:id="rId13"/>
    <sheet name="Misc.Tables" sheetId="16" r:id="rId14"/>
  </sheets>
  <definedNames>
    <definedName name="_ftn1" localSheetId="0">'stock-dom-com-ind-evap'!#REF!</definedName>
    <definedName name="_ftn2" localSheetId="0">'stock-dom-com-ind-evap'!#REF!</definedName>
    <definedName name="_ftn3" localSheetId="0">'stock-dom-com-ind-evap'!#REF!</definedName>
    <definedName name="_ftn4" localSheetId="0">'stock-dom-com-ind-evap'!#REF!</definedName>
    <definedName name="_ftn5" localSheetId="0">'stock-dom-com-ind-evap'!#REF!</definedName>
    <definedName name="_ftn6" localSheetId="0">'stock-dom-com-ind-evap'!#REF!</definedName>
    <definedName name="_ftnref1" localSheetId="0">'stock-dom-com-ind-evap'!$C$81</definedName>
    <definedName name="_ftnref2" localSheetId="0">'stock-dom-com-ind-evap'!$C$82</definedName>
    <definedName name="_ftnref3" localSheetId="0">'stock-dom-com-ind-evap'!$C$107</definedName>
    <definedName name="_ftnref4" localSheetId="0">'stock-dom-com-ind-evap'!$C$108</definedName>
    <definedName name="_ftnref5" localSheetId="0">'stock-dom-com-ind-evap'!$C$110</definedName>
    <definedName name="_ftnref6" localSheetId="0">'stock-dom-com-ind-evap'!$C$111</definedName>
    <definedName name="_xlnm.Print_Area" localSheetId="4">apachearagon!$A$1:$X$45</definedName>
    <definedName name="_xlnm.Print_Area" localSheetId="8">cliffgila!$A$1:$X$48</definedName>
    <definedName name="_xlnm.Print_Area" localSheetId="2">Diversions!$A$1:$M$78</definedName>
    <definedName name="_xlnm.Print_Area" localSheetId="1">Freeport!$A$1:$F$27</definedName>
    <definedName name="_xlnm.Print_Area" localSheetId="6">glenwood!$A$1:$AN$48</definedName>
    <definedName name="_xlnm.Print_Area" localSheetId="3">luna!$A$1:$AI$46</definedName>
    <definedName name="_xlnm.Print_Area" localSheetId="13">Misc.Tables!$A$1:$H$43</definedName>
    <definedName name="_xlnm.Print_Area" localSheetId="9">redrock!$A$1:$AA$47</definedName>
    <definedName name="_xlnm.Print_Area" localSheetId="5">reserve!$A$1:$AT$46</definedName>
    <definedName name="_xlnm.Print_Area" localSheetId="11">sansimon!$A$1:$X$57</definedName>
    <definedName name="_xlnm.Print_Area" localSheetId="0">'stock-dom-com-ind-evap'!$A$1:$H$147</definedName>
    <definedName name="_xlnm.Print_Area" localSheetId="12">'Tables1,2,3,4'!$A$1:$L$78</definedName>
    <definedName name="_xlnm.Print_Area" localSheetId="7">uppergila!$A$1:$X$45</definedName>
    <definedName name="_xlnm.Print_Area" localSheetId="10">virden!$A$1:$X$47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4" l="1"/>
  <c r="T29" i="22"/>
  <c r="F31" i="22" l="1"/>
  <c r="C33" i="4" l="1"/>
  <c r="M23" i="23"/>
  <c r="M22" i="23"/>
  <c r="M21" i="23"/>
  <c r="N21" i="23" s="1"/>
  <c r="M20" i="23"/>
  <c r="M19" i="23"/>
  <c r="M18" i="23"/>
  <c r="M17" i="23"/>
  <c r="M16" i="23"/>
  <c r="N16" i="23" s="1"/>
  <c r="M15" i="23"/>
  <c r="N15" i="23" s="1"/>
  <c r="M14" i="23"/>
  <c r="N14" i="23" s="1"/>
  <c r="M13" i="23"/>
  <c r="M12" i="23"/>
  <c r="N19" i="23"/>
  <c r="N13" i="23"/>
  <c r="N12" i="23"/>
  <c r="N17" i="23"/>
  <c r="N23" i="23"/>
  <c r="N22" i="23"/>
  <c r="N18" i="23"/>
  <c r="N20" i="23"/>
  <c r="C24" i="22"/>
  <c r="B103" i="1" s="1"/>
  <c r="H16" i="22"/>
  <c r="C26" i="1" l="1"/>
  <c r="C51" i="1"/>
  <c r="C48" i="1"/>
  <c r="C38" i="1"/>
  <c r="C37" i="1"/>
  <c r="C33" i="1"/>
  <c r="C32" i="1"/>
  <c r="C23" i="1"/>
  <c r="L16" i="1"/>
  <c r="B18" i="1"/>
  <c r="E19" i="1" l="1"/>
  <c r="F29" i="22"/>
  <c r="D64" i="1"/>
  <c r="C64" i="1"/>
  <c r="R48" i="8" l="1"/>
  <c r="D63" i="1"/>
  <c r="J32" i="8"/>
  <c r="F31" i="8" l="1"/>
  <c r="S31" i="8"/>
  <c r="F29" i="8"/>
  <c r="S29" i="8" s="1"/>
  <c r="G29" i="8" l="1"/>
  <c r="F11" i="28" l="1"/>
  <c r="G11" i="28" s="1"/>
  <c r="F12" i="27"/>
  <c r="G12" i="27" s="1"/>
  <c r="F12" i="25"/>
  <c r="G12" i="25" s="1"/>
  <c r="F12" i="26"/>
  <c r="G12" i="26" s="1"/>
  <c r="C61" i="1"/>
  <c r="V56" i="29"/>
  <c r="B48" i="1"/>
  <c r="B37" i="1"/>
  <c r="B33" i="1"/>
  <c r="B32" i="1"/>
  <c r="B26" i="1"/>
  <c r="B23" i="1"/>
  <c r="F11" i="29"/>
  <c r="G11" i="29" s="1"/>
  <c r="F12" i="24"/>
  <c r="G12" i="24" s="1"/>
  <c r="F12" i="22"/>
  <c r="G12" i="22" s="1"/>
  <c r="V49" i="25"/>
  <c r="L12" i="25" l="1"/>
  <c r="M12" i="25" s="1"/>
  <c r="L12" i="24"/>
  <c r="M12" i="24" s="1"/>
  <c r="L12" i="22"/>
  <c r="M12" i="22" s="1"/>
  <c r="S29" i="22"/>
  <c r="R38" i="23" l="1"/>
  <c r="E33" i="1" l="1"/>
  <c r="F28" i="27"/>
  <c r="X10" i="8"/>
  <c r="F19" i="29"/>
  <c r="G19" i="29" s="1"/>
  <c r="F13" i="29"/>
  <c r="G13" i="29" s="1"/>
  <c r="F12" i="29"/>
  <c r="G12" i="29" s="1"/>
  <c r="F20" i="28"/>
  <c r="G20" i="28" s="1"/>
  <c r="F17" i="28"/>
  <c r="G17" i="28" s="1"/>
  <c r="F22" i="27"/>
  <c r="G22" i="27" s="1"/>
  <c r="F17" i="27"/>
  <c r="G17" i="27" s="1"/>
  <c r="W23" i="25"/>
  <c r="L21" i="25"/>
  <c r="M21" i="25" s="1"/>
  <c r="R19" i="25"/>
  <c r="S19" i="25" s="1"/>
  <c r="W14" i="25"/>
  <c r="R13" i="25"/>
  <c r="S13" i="25" s="1"/>
  <c r="W12" i="25"/>
  <c r="F20" i="26"/>
  <c r="G20" i="26" s="1"/>
  <c r="F14" i="26"/>
  <c r="G14" i="26" s="1"/>
  <c r="AD17" i="8"/>
  <c r="AE17" i="8" s="1"/>
  <c r="R23" i="24"/>
  <c r="S23" i="24" s="1"/>
  <c r="F21" i="24"/>
  <c r="G21" i="24" s="1"/>
  <c r="AP19" i="24"/>
  <c r="AQ19" i="24" s="1"/>
  <c r="AD13" i="24"/>
  <c r="AE13" i="24" s="1"/>
  <c r="AD12" i="24"/>
  <c r="AE12" i="24" s="1"/>
  <c r="F19" i="23"/>
  <c r="G19" i="23" s="1"/>
  <c r="F16" i="23"/>
  <c r="G16" i="23" s="1"/>
  <c r="F12" i="23"/>
  <c r="AD19" i="22"/>
  <c r="AE19" i="22" s="1"/>
  <c r="AD18" i="22"/>
  <c r="AE18" i="22" s="1"/>
  <c r="AD12" i="22"/>
  <c r="H91" i="1"/>
  <c r="C81" i="1" s="1"/>
  <c r="D81" i="1" s="1"/>
  <c r="F81" i="1" s="1"/>
  <c r="E24" i="23"/>
  <c r="C13" i="20" s="1"/>
  <c r="F13" i="20" s="1"/>
  <c r="R12" i="25"/>
  <c r="S12" i="25" s="1"/>
  <c r="W24" i="8"/>
  <c r="AC24" i="22"/>
  <c r="I39" i="23"/>
  <c r="C55" i="20"/>
  <c r="B21" i="30"/>
  <c r="B22" i="30"/>
  <c r="B48" i="4" s="1"/>
  <c r="F14" i="29"/>
  <c r="G14" i="29" s="1"/>
  <c r="F23" i="27"/>
  <c r="G23" i="27" s="1"/>
  <c r="W15" i="25"/>
  <c r="L17" i="24"/>
  <c r="M17" i="24" s="1"/>
  <c r="J73" i="20"/>
  <c r="I73" i="20"/>
  <c r="AI32" i="8"/>
  <c r="C24" i="20"/>
  <c r="F21" i="25"/>
  <c r="G21" i="25" s="1"/>
  <c r="AP21" i="24"/>
  <c r="AQ21" i="24" s="1"/>
  <c r="AP16" i="24"/>
  <c r="AQ16" i="24" s="1"/>
  <c r="F16" i="28"/>
  <c r="G16" i="28" s="1"/>
  <c r="U28" i="27"/>
  <c r="L43" i="4"/>
  <c r="F10" i="23"/>
  <c r="C12" i="23"/>
  <c r="C13" i="23"/>
  <c r="C14" i="23"/>
  <c r="F14" i="23"/>
  <c r="G14" i="23" s="1"/>
  <c r="C15" i="23"/>
  <c r="F15" i="23"/>
  <c r="G15" i="23" s="1"/>
  <c r="C16" i="23"/>
  <c r="C17" i="23"/>
  <c r="F17" i="23"/>
  <c r="G17" i="23" s="1"/>
  <c r="C18" i="23"/>
  <c r="F18" i="23"/>
  <c r="G18" i="23" s="1"/>
  <c r="C19" i="23"/>
  <c r="C20" i="23"/>
  <c r="F20" i="23"/>
  <c r="G20" i="23" s="1"/>
  <c r="C21" i="23"/>
  <c r="F21" i="23"/>
  <c r="G21" i="23" s="1"/>
  <c r="C22" i="23"/>
  <c r="F22" i="23"/>
  <c r="G22" i="23" s="1"/>
  <c r="C23" i="23"/>
  <c r="F23" i="23"/>
  <c r="G23" i="23" s="1"/>
  <c r="F28" i="23"/>
  <c r="S28" i="23" s="1"/>
  <c r="F30" i="23"/>
  <c r="S30" i="23"/>
  <c r="M31" i="23"/>
  <c r="F10" i="25"/>
  <c r="L10" i="25"/>
  <c r="R10" i="25"/>
  <c r="C12" i="25"/>
  <c r="C13" i="25"/>
  <c r="C14" i="25"/>
  <c r="L14" i="25"/>
  <c r="M14" i="25" s="1"/>
  <c r="C15" i="25"/>
  <c r="C16" i="25"/>
  <c r="C17" i="25"/>
  <c r="F17" i="25"/>
  <c r="G17" i="25" s="1"/>
  <c r="C18" i="25"/>
  <c r="F18" i="25"/>
  <c r="G18" i="25" s="1"/>
  <c r="C19" i="25"/>
  <c r="C20" i="25"/>
  <c r="W20" i="25"/>
  <c r="C21" i="25"/>
  <c r="C22" i="25"/>
  <c r="L22" i="25"/>
  <c r="M22" i="25" s="1"/>
  <c r="C23" i="25"/>
  <c r="E24" i="25"/>
  <c r="K24" i="25"/>
  <c r="Q24" i="25"/>
  <c r="F29" i="25"/>
  <c r="S29" i="25" s="1"/>
  <c r="F31" i="25"/>
  <c r="S31" i="25" s="1"/>
  <c r="M32" i="25"/>
  <c r="P32" i="25"/>
  <c r="R39" i="25"/>
  <c r="I40" i="25" s="1"/>
  <c r="I45" i="25" s="1"/>
  <c r="I46" i="25" s="1"/>
  <c r="B15" i="25" s="1"/>
  <c r="C31" i="20"/>
  <c r="E9" i="20"/>
  <c r="F9" i="20" s="1"/>
  <c r="E14" i="20"/>
  <c r="F14" i="20" s="1"/>
  <c r="E19" i="20"/>
  <c r="F19" i="20" s="1"/>
  <c r="E24" i="20"/>
  <c r="E36" i="20"/>
  <c r="F36" i="20" s="1"/>
  <c r="E41" i="20"/>
  <c r="F47" i="20"/>
  <c r="F54" i="20"/>
  <c r="E55" i="20"/>
  <c r="D65" i="20"/>
  <c r="E65" i="20"/>
  <c r="F65" i="20"/>
  <c r="I65" i="20"/>
  <c r="J65" i="20"/>
  <c r="D66" i="20"/>
  <c r="E66" i="20"/>
  <c r="F66" i="20"/>
  <c r="D67" i="20"/>
  <c r="E67" i="20"/>
  <c r="F67" i="20"/>
  <c r="I67" i="20"/>
  <c r="J67" i="20"/>
  <c r="D68" i="20"/>
  <c r="E68" i="20"/>
  <c r="F68" i="20"/>
  <c r="I68" i="20"/>
  <c r="J68" i="20"/>
  <c r="D69" i="20"/>
  <c r="E69" i="20"/>
  <c r="F69" i="20"/>
  <c r="I69" i="20"/>
  <c r="J69" i="20"/>
  <c r="D70" i="20"/>
  <c r="E70" i="20"/>
  <c r="F70" i="20"/>
  <c r="I70" i="20"/>
  <c r="J70" i="20"/>
  <c r="D71" i="20"/>
  <c r="E71" i="20"/>
  <c r="F71" i="20"/>
  <c r="I71" i="20"/>
  <c r="J71" i="20"/>
  <c r="I72" i="20"/>
  <c r="J72" i="20"/>
  <c r="AJ10" i="8"/>
  <c r="L10" i="8"/>
  <c r="R10" i="8"/>
  <c r="AD10" i="8"/>
  <c r="C12" i="8"/>
  <c r="L12" i="8" s="1"/>
  <c r="M12" i="8" s="1"/>
  <c r="C13" i="8"/>
  <c r="AJ13" i="8" s="1"/>
  <c r="AK13" i="8" s="1"/>
  <c r="C14" i="8"/>
  <c r="AJ14" i="8" s="1"/>
  <c r="AK14" i="8" s="1"/>
  <c r="C15" i="8"/>
  <c r="L15" i="8" s="1"/>
  <c r="M15" i="8" s="1"/>
  <c r="C16" i="8"/>
  <c r="AJ16" i="8" s="1"/>
  <c r="AK16" i="8" s="1"/>
  <c r="C17" i="8"/>
  <c r="C18" i="8"/>
  <c r="AJ18" i="8"/>
  <c r="AK18" i="8" s="1"/>
  <c r="C19" i="8"/>
  <c r="AJ19" i="8" s="1"/>
  <c r="AK19" i="8" s="1"/>
  <c r="L19" i="8"/>
  <c r="M19" i="8" s="1"/>
  <c r="C20" i="8"/>
  <c r="X20" i="8" s="1"/>
  <c r="Y20" i="8" s="1"/>
  <c r="C21" i="8"/>
  <c r="C22" i="8"/>
  <c r="X22" i="8"/>
  <c r="Y22" i="8" s="1"/>
  <c r="C23" i="8"/>
  <c r="L23" i="8" s="1"/>
  <c r="M23" i="8" s="1"/>
  <c r="X23" i="8"/>
  <c r="Y23" i="8" s="1"/>
  <c r="K24" i="8"/>
  <c r="Q24" i="8"/>
  <c r="AC24" i="8"/>
  <c r="AI24" i="8"/>
  <c r="M32" i="8"/>
  <c r="P32" i="8"/>
  <c r="R39" i="8"/>
  <c r="I40" i="8" s="1"/>
  <c r="F10" i="22"/>
  <c r="L10" i="22"/>
  <c r="R10" i="22"/>
  <c r="X10" i="22"/>
  <c r="AD10" i="22"/>
  <c r="C12" i="22"/>
  <c r="C13" i="22"/>
  <c r="AD13" i="22" s="1"/>
  <c r="AE13" i="22" s="1"/>
  <c r="C14" i="22"/>
  <c r="L14" i="22"/>
  <c r="M14" i="22" s="1"/>
  <c r="C15" i="22"/>
  <c r="L15" i="22"/>
  <c r="M15" i="22" s="1"/>
  <c r="C16" i="22"/>
  <c r="F16" i="22" s="1"/>
  <c r="G16" i="22" s="1"/>
  <c r="C17" i="22"/>
  <c r="R17" i="22" s="1"/>
  <c r="S17" i="22" s="1"/>
  <c r="L17" i="22"/>
  <c r="M17" i="22" s="1"/>
  <c r="C18" i="22"/>
  <c r="R18" i="22" s="1"/>
  <c r="S18" i="22" s="1"/>
  <c r="C19" i="22"/>
  <c r="C20" i="22"/>
  <c r="F20" i="22" s="1"/>
  <c r="G20" i="22" s="1"/>
  <c r="C21" i="22"/>
  <c r="AD21" i="22" s="1"/>
  <c r="AE21" i="22" s="1"/>
  <c r="C22" i="22"/>
  <c r="R22" i="22" s="1"/>
  <c r="S22" i="22" s="1"/>
  <c r="C23" i="22"/>
  <c r="L23" i="22"/>
  <c r="M23" i="22" s="1"/>
  <c r="E24" i="22"/>
  <c r="K24" i="22"/>
  <c r="Q24" i="22"/>
  <c r="W24" i="22"/>
  <c r="S31" i="22"/>
  <c r="M32" i="22"/>
  <c r="P32" i="22"/>
  <c r="R39" i="22"/>
  <c r="H40" i="22" s="1"/>
  <c r="H45" i="22" s="1"/>
  <c r="H46" i="22" s="1"/>
  <c r="B14" i="22" s="1"/>
  <c r="B17" i="16"/>
  <c r="D17" i="16" s="1"/>
  <c r="E17" i="16"/>
  <c r="F17" i="16" s="1"/>
  <c r="G17" i="16"/>
  <c r="H17" i="16" s="1"/>
  <c r="B18" i="16"/>
  <c r="C18" i="16"/>
  <c r="E18" i="16"/>
  <c r="F18" i="16" s="1"/>
  <c r="G18" i="16"/>
  <c r="H18" i="16" s="1"/>
  <c r="F10" i="27"/>
  <c r="C12" i="27"/>
  <c r="C13" i="27"/>
  <c r="C24" i="27"/>
  <c r="C14" i="27"/>
  <c r="F14" i="27"/>
  <c r="G14" i="27" s="1"/>
  <c r="C15" i="27"/>
  <c r="F15" i="27"/>
  <c r="G15" i="27" s="1"/>
  <c r="C16" i="27"/>
  <c r="F16" i="27"/>
  <c r="C17" i="27"/>
  <c r="C18" i="27"/>
  <c r="F18" i="27"/>
  <c r="G18" i="27" s="1"/>
  <c r="C19" i="27"/>
  <c r="F19" i="27"/>
  <c r="G19" i="27" s="1"/>
  <c r="C20" i="27"/>
  <c r="F20" i="27"/>
  <c r="G20" i="27" s="1"/>
  <c r="C21" i="27"/>
  <c r="F21" i="27"/>
  <c r="G21" i="27" s="1"/>
  <c r="C22" i="27"/>
  <c r="C23" i="27"/>
  <c r="E24" i="27"/>
  <c r="C40" i="20" s="1"/>
  <c r="F40" i="20" s="1"/>
  <c r="F30" i="27"/>
  <c r="V30" i="27"/>
  <c r="S30" i="27"/>
  <c r="S31" i="27"/>
  <c r="T30" i="27"/>
  <c r="T31" i="27"/>
  <c r="L31" i="27"/>
  <c r="O31" i="27"/>
  <c r="Q31" i="27"/>
  <c r="R38" i="27"/>
  <c r="K39" i="27" s="1"/>
  <c r="K44" i="27" s="1"/>
  <c r="K45" i="27" s="1"/>
  <c r="B17" i="27" s="1"/>
  <c r="H17" i="27" s="1"/>
  <c r="W42" i="27"/>
  <c r="C41" i="20"/>
  <c r="F41" i="20" s="1"/>
  <c r="F10" i="24"/>
  <c r="L10" i="24"/>
  <c r="R10" i="24"/>
  <c r="X10" i="24"/>
  <c r="AD10" i="24"/>
  <c r="AJ10" i="24"/>
  <c r="AP10" i="24"/>
  <c r="C12" i="24"/>
  <c r="C13" i="24"/>
  <c r="AP13" i="24"/>
  <c r="AQ13" i="24" s="1"/>
  <c r="C14" i="24"/>
  <c r="X14" i="24"/>
  <c r="Y14" i="24" s="1"/>
  <c r="C15" i="24"/>
  <c r="C16" i="24"/>
  <c r="C17" i="24"/>
  <c r="C18" i="24"/>
  <c r="C19" i="24"/>
  <c r="C20" i="24"/>
  <c r="AJ20" i="24"/>
  <c r="AK20" i="24" s="1"/>
  <c r="C21" i="24"/>
  <c r="C22" i="24"/>
  <c r="AJ22" i="24"/>
  <c r="AK22" i="24" s="1"/>
  <c r="C23" i="24"/>
  <c r="E24" i="24"/>
  <c r="K24" i="24"/>
  <c r="Q24" i="24"/>
  <c r="W24" i="24"/>
  <c r="AC24" i="24"/>
  <c r="AI24" i="24"/>
  <c r="AO24" i="24"/>
  <c r="F29" i="24"/>
  <c r="S29" i="24" s="1"/>
  <c r="F31" i="24"/>
  <c r="S31" i="24" s="1"/>
  <c r="M32" i="24"/>
  <c r="P32" i="24"/>
  <c r="R39" i="24"/>
  <c r="H40" i="24" s="1"/>
  <c r="H45" i="24" s="1"/>
  <c r="H46" i="24" s="1"/>
  <c r="B14" i="24" s="1"/>
  <c r="F9" i="29"/>
  <c r="C11" i="29"/>
  <c r="C12" i="29"/>
  <c r="C13" i="29"/>
  <c r="C14" i="29"/>
  <c r="C15" i="29"/>
  <c r="F15" i="29"/>
  <c r="G15" i="29" s="1"/>
  <c r="C16" i="29"/>
  <c r="F16" i="29"/>
  <c r="G16" i="29" s="1"/>
  <c r="C17" i="29"/>
  <c r="F17" i="29"/>
  <c r="G17" i="29" s="1"/>
  <c r="C18" i="29"/>
  <c r="F18" i="29"/>
  <c r="G18" i="29" s="1"/>
  <c r="C19" i="29"/>
  <c r="C20" i="29"/>
  <c r="F20" i="29"/>
  <c r="G20" i="29" s="1"/>
  <c r="C21" i="29"/>
  <c r="F21" i="29"/>
  <c r="G21" i="29" s="1"/>
  <c r="C22" i="29"/>
  <c r="F22" i="29"/>
  <c r="G22" i="29" s="1"/>
  <c r="E23" i="29"/>
  <c r="I28" i="29"/>
  <c r="S28" i="29"/>
  <c r="F30" i="29"/>
  <c r="L31" i="29"/>
  <c r="O31" i="29"/>
  <c r="R38" i="29"/>
  <c r="K39" i="29" s="1"/>
  <c r="K44" i="29" s="1"/>
  <c r="K45" i="29" s="1"/>
  <c r="B16" i="29" s="1"/>
  <c r="H16" i="29" s="1"/>
  <c r="F10" i="1"/>
  <c r="E11" i="1"/>
  <c r="E12" i="1"/>
  <c r="B43" i="1" s="1"/>
  <c r="E26" i="1"/>
  <c r="E32" i="1"/>
  <c r="E34" i="1" s="1"/>
  <c r="D43" i="4" s="1"/>
  <c r="E37" i="1"/>
  <c r="E39" i="1" s="1"/>
  <c r="D46" i="4" s="1"/>
  <c r="B38" i="1"/>
  <c r="E38" i="1"/>
  <c r="B51" i="1"/>
  <c r="E51" i="1" s="1"/>
  <c r="D57" i="1"/>
  <c r="D58" i="1"/>
  <c r="D59" i="1"/>
  <c r="D60" i="1"/>
  <c r="D65" i="1"/>
  <c r="D68" i="1"/>
  <c r="E46" i="4" s="1"/>
  <c r="E48" i="20"/>
  <c r="D70" i="1"/>
  <c r="E43" i="4" s="1"/>
  <c r="E115" i="1"/>
  <c r="E116" i="1"/>
  <c r="E117" i="1"/>
  <c r="E118" i="1"/>
  <c r="G119" i="1"/>
  <c r="E130" i="1"/>
  <c r="E131" i="1"/>
  <c r="G132" i="1"/>
  <c r="E142" i="1"/>
  <c r="E146" i="1"/>
  <c r="B8" i="4"/>
  <c r="B15" i="4"/>
  <c r="H46" i="4"/>
  <c r="I46" i="4"/>
  <c r="F10" i="26"/>
  <c r="C12" i="26"/>
  <c r="C13" i="26"/>
  <c r="F13" i="26"/>
  <c r="G13" i="26" s="1"/>
  <c r="C14" i="26"/>
  <c r="C15" i="26"/>
  <c r="F15" i="26"/>
  <c r="G15" i="26" s="1"/>
  <c r="C16" i="26"/>
  <c r="C24" i="26"/>
  <c r="B107" i="1"/>
  <c r="C17" i="26"/>
  <c r="F17" i="26"/>
  <c r="G17" i="26" s="1"/>
  <c r="C18" i="26"/>
  <c r="F18" i="26"/>
  <c r="G18" i="26" s="1"/>
  <c r="C19" i="26"/>
  <c r="F19" i="26"/>
  <c r="G19" i="26" s="1"/>
  <c r="C20" i="26"/>
  <c r="C21" i="26"/>
  <c r="F21" i="26"/>
  <c r="C22" i="26"/>
  <c r="F22" i="26"/>
  <c r="G22" i="26" s="1"/>
  <c r="C23" i="26"/>
  <c r="F23" i="26"/>
  <c r="G23" i="26" s="1"/>
  <c r="E24" i="26"/>
  <c r="C35" i="20" s="1"/>
  <c r="F35" i="20" s="1"/>
  <c r="F28" i="26"/>
  <c r="S28" i="26" s="1"/>
  <c r="F30" i="26"/>
  <c r="S30" i="26"/>
  <c r="M31" i="26"/>
  <c r="P31" i="26"/>
  <c r="R38" i="26"/>
  <c r="F39" i="26" s="1"/>
  <c r="F9" i="28"/>
  <c r="C11" i="28"/>
  <c r="C12" i="28"/>
  <c r="C13" i="28"/>
  <c r="F13" i="28"/>
  <c r="G13" i="28" s="1"/>
  <c r="C14" i="28"/>
  <c r="F14" i="28"/>
  <c r="G14" i="28" s="1"/>
  <c r="C15" i="28"/>
  <c r="F15" i="28"/>
  <c r="G15" i="28" s="1"/>
  <c r="C16" i="28"/>
  <c r="C17" i="28"/>
  <c r="C18" i="28"/>
  <c r="F18" i="28"/>
  <c r="C19" i="28"/>
  <c r="F19" i="28"/>
  <c r="G19" i="28" s="1"/>
  <c r="C20" i="28"/>
  <c r="C21" i="28"/>
  <c r="F21" i="28"/>
  <c r="G21" i="28" s="1"/>
  <c r="C22" i="28"/>
  <c r="F22" i="28"/>
  <c r="G22" i="28" s="1"/>
  <c r="E23" i="28"/>
  <c r="F28" i="28"/>
  <c r="S28" i="28" s="1"/>
  <c r="S31" i="28" s="1"/>
  <c r="F30" i="28"/>
  <c r="M31" i="28"/>
  <c r="P31" i="28"/>
  <c r="R38" i="28"/>
  <c r="I39" i="28" s="1"/>
  <c r="I44" i="28" s="1"/>
  <c r="I45" i="28" s="1"/>
  <c r="V42" i="28"/>
  <c r="C48" i="20" s="1"/>
  <c r="I31" i="29"/>
  <c r="AJ17" i="24"/>
  <c r="AK17" i="24" s="1"/>
  <c r="F19" i="24"/>
  <c r="G19" i="24" s="1"/>
  <c r="R16" i="24"/>
  <c r="S16" i="24" s="1"/>
  <c r="P31" i="23"/>
  <c r="B109" i="1"/>
  <c r="AP14" i="24"/>
  <c r="AQ14" i="24" s="1"/>
  <c r="U31" i="27"/>
  <c r="AP17" i="24"/>
  <c r="AQ17" i="24" s="1"/>
  <c r="F31" i="23"/>
  <c r="L15" i="25"/>
  <c r="M15" i="25" s="1"/>
  <c r="AD16" i="24"/>
  <c r="AE16" i="24" s="1"/>
  <c r="AJ12" i="24"/>
  <c r="AK12" i="24" s="1"/>
  <c r="L21" i="22"/>
  <c r="M21" i="22" s="1"/>
  <c r="X21" i="22"/>
  <c r="Y21" i="22" s="1"/>
  <c r="W22" i="25"/>
  <c r="F22" i="25"/>
  <c r="G22" i="25" s="1"/>
  <c r="X22" i="24"/>
  <c r="Y22" i="24" s="1"/>
  <c r="L22" i="24"/>
  <c r="M22" i="24" s="1"/>
  <c r="AP22" i="24"/>
  <c r="AQ22" i="24" s="1"/>
  <c r="R22" i="24"/>
  <c r="S22" i="24" s="1"/>
  <c r="AD21" i="24"/>
  <c r="AE21" i="24" s="1"/>
  <c r="X21" i="24"/>
  <c r="Y21" i="24" s="1"/>
  <c r="F20" i="24"/>
  <c r="G20" i="24" s="1"/>
  <c r="F16" i="24"/>
  <c r="G16" i="24" s="1"/>
  <c r="L16" i="24"/>
  <c r="M16" i="24" s="1"/>
  <c r="X16" i="24"/>
  <c r="Y16" i="24" s="1"/>
  <c r="AJ16" i="24"/>
  <c r="AK16" i="24" s="1"/>
  <c r="AP12" i="24"/>
  <c r="R12" i="24"/>
  <c r="F13" i="22"/>
  <c r="G13" i="22" s="1"/>
  <c r="L23" i="25"/>
  <c r="M23" i="25" s="1"/>
  <c r="R21" i="25"/>
  <c r="S21" i="25" s="1"/>
  <c r="W21" i="25"/>
  <c r="L19" i="25"/>
  <c r="M19" i="25" s="1"/>
  <c r="L18" i="25"/>
  <c r="M18" i="25" s="1"/>
  <c r="R18" i="25"/>
  <c r="S18" i="25" s="1"/>
  <c r="R16" i="25"/>
  <c r="S16" i="25" s="1"/>
  <c r="R15" i="25"/>
  <c r="S15" i="25" s="1"/>
  <c r="F15" i="25"/>
  <c r="G15" i="25" s="1"/>
  <c r="F16" i="26"/>
  <c r="G16" i="26" s="1"/>
  <c r="F15" i="24"/>
  <c r="G15" i="24" s="1"/>
  <c r="AP15" i="24"/>
  <c r="AQ15" i="24" s="1"/>
  <c r="L15" i="24"/>
  <c r="X15" i="24"/>
  <c r="Y15" i="24" s="1"/>
  <c r="AD15" i="24"/>
  <c r="AE15" i="24" s="1"/>
  <c r="R15" i="24"/>
  <c r="S15" i="24" s="1"/>
  <c r="AJ15" i="24"/>
  <c r="AK15" i="24" s="1"/>
  <c r="AJ19" i="24"/>
  <c r="AK19" i="24" s="1"/>
  <c r="AP23" i="24"/>
  <c r="AQ23" i="24" s="1"/>
  <c r="AJ23" i="24"/>
  <c r="AK23" i="24" s="1"/>
  <c r="AD23" i="24"/>
  <c r="AE23" i="24" s="1"/>
  <c r="F23" i="24"/>
  <c r="G23" i="24" s="1"/>
  <c r="L23" i="24"/>
  <c r="M23" i="24" s="1"/>
  <c r="X18" i="24"/>
  <c r="Y18" i="24" s="1"/>
  <c r="L14" i="24"/>
  <c r="M14" i="24" s="1"/>
  <c r="R14" i="24"/>
  <c r="S14" i="24" s="1"/>
  <c r="AJ14" i="24"/>
  <c r="AK14" i="24" s="1"/>
  <c r="F14" i="24"/>
  <c r="G14" i="24" s="1"/>
  <c r="AD14" i="24"/>
  <c r="AE14" i="24" s="1"/>
  <c r="AD18" i="24"/>
  <c r="AE18" i="24" s="1"/>
  <c r="L18" i="24"/>
  <c r="M18" i="24" s="1"/>
  <c r="AJ21" i="24"/>
  <c r="AK21" i="24" s="1"/>
  <c r="R21" i="24"/>
  <c r="S21" i="24" s="1"/>
  <c r="F22" i="24"/>
  <c r="G22" i="24" s="1"/>
  <c r="AJ15" i="8"/>
  <c r="AK15" i="8" s="1"/>
  <c r="R23" i="22"/>
  <c r="S23" i="22" s="1"/>
  <c r="F23" i="22"/>
  <c r="G23" i="22" s="1"/>
  <c r="X23" i="22"/>
  <c r="Y23" i="22" s="1"/>
  <c r="AD23" i="22"/>
  <c r="AE23" i="22" s="1"/>
  <c r="R16" i="22"/>
  <c r="S16" i="22" s="1"/>
  <c r="R15" i="22"/>
  <c r="S15" i="22" s="1"/>
  <c r="F15" i="22"/>
  <c r="G15" i="22" s="1"/>
  <c r="AD15" i="22"/>
  <c r="AE15" i="22" s="1"/>
  <c r="X15" i="22"/>
  <c r="Y15" i="22" s="1"/>
  <c r="X13" i="22"/>
  <c r="Y13" i="22" s="1"/>
  <c r="L39" i="28"/>
  <c r="L44" i="28" s="1"/>
  <c r="L45" i="28" s="1"/>
  <c r="B17" i="28" s="1"/>
  <c r="H17" i="28" s="1"/>
  <c r="F13" i="27"/>
  <c r="G13" i="27" s="1"/>
  <c r="R20" i="25"/>
  <c r="S20" i="25" s="1"/>
  <c r="F20" i="25"/>
  <c r="G20" i="25" s="1"/>
  <c r="W19" i="25"/>
  <c r="F19" i="25"/>
  <c r="G19" i="25" s="1"/>
  <c r="W17" i="25"/>
  <c r="L17" i="25"/>
  <c r="M17" i="25" s="1"/>
  <c r="R17" i="25"/>
  <c r="S17" i="25" s="1"/>
  <c r="L13" i="25"/>
  <c r="M13" i="25" s="1"/>
  <c r="D24" i="26"/>
  <c r="C107" i="1" s="1"/>
  <c r="AP20" i="24"/>
  <c r="AQ20" i="24" s="1"/>
  <c r="R20" i="24"/>
  <c r="S20" i="24" s="1"/>
  <c r="AD20" i="24"/>
  <c r="AE20" i="24" s="1"/>
  <c r="L20" i="24"/>
  <c r="M20" i="24" s="1"/>
  <c r="X20" i="24"/>
  <c r="Y20" i="24" s="1"/>
  <c r="L19" i="24"/>
  <c r="M19" i="24" s="1"/>
  <c r="R19" i="24"/>
  <c r="S19" i="24" s="1"/>
  <c r="F17" i="24"/>
  <c r="G17" i="24" s="1"/>
  <c r="R17" i="24"/>
  <c r="S17" i="24" s="1"/>
  <c r="X17" i="24"/>
  <c r="Y17" i="24" s="1"/>
  <c r="AD17" i="24"/>
  <c r="AE17" i="24" s="1"/>
  <c r="L13" i="24"/>
  <c r="M13" i="24" s="1"/>
  <c r="R13" i="24"/>
  <c r="S13" i="24" s="1"/>
  <c r="F13" i="24"/>
  <c r="G13" i="24" s="1"/>
  <c r="AJ22" i="8"/>
  <c r="AK22" i="8" s="1"/>
  <c r="L16" i="8"/>
  <c r="M16" i="8" s="1"/>
  <c r="R22" i="8"/>
  <c r="S22" i="8" s="1"/>
  <c r="X16" i="8"/>
  <c r="Y16" i="8" s="1"/>
  <c r="AD18" i="8"/>
  <c r="AE18" i="8" s="1"/>
  <c r="AD16" i="8"/>
  <c r="AE16" i="8" s="1"/>
  <c r="R16" i="8"/>
  <c r="S16" i="8" s="1"/>
  <c r="R18" i="8"/>
  <c r="R14" i="8"/>
  <c r="S14" i="8" s="1"/>
  <c r="AD23" i="8"/>
  <c r="AE23" i="8" s="1"/>
  <c r="R23" i="8"/>
  <c r="S23" i="8" s="1"/>
  <c r="L22" i="8"/>
  <c r="M22" i="8" s="1"/>
  <c r="AD22" i="8"/>
  <c r="AE22" i="8" s="1"/>
  <c r="AJ21" i="8"/>
  <c r="AK21" i="8" s="1"/>
  <c r="AD21" i="8"/>
  <c r="AE21" i="8" s="1"/>
  <c r="X21" i="8"/>
  <c r="Y21" i="8" s="1"/>
  <c r="L18" i="8"/>
  <c r="M18" i="8" s="1"/>
  <c r="X18" i="8"/>
  <c r="Y18" i="8" s="1"/>
  <c r="L17" i="8"/>
  <c r="M17" i="8" s="1"/>
  <c r="R17" i="8"/>
  <c r="X15" i="8"/>
  <c r="Y15" i="8" s="1"/>
  <c r="AD15" i="8"/>
  <c r="AE15" i="8" s="1"/>
  <c r="R15" i="8"/>
  <c r="S15" i="8" s="1"/>
  <c r="X13" i="8"/>
  <c r="Y13" i="8" s="1"/>
  <c r="R13" i="8"/>
  <c r="S13" i="8" s="1"/>
  <c r="X17" i="22"/>
  <c r="Y17" i="22" s="1"/>
  <c r="AD17" i="22"/>
  <c r="AE17" i="22" s="1"/>
  <c r="L16" i="22"/>
  <c r="M16" i="22" s="1"/>
  <c r="AD16" i="22"/>
  <c r="AE16" i="22" s="1"/>
  <c r="AD14" i="22"/>
  <c r="AE14" i="22" s="1"/>
  <c r="F14" i="22"/>
  <c r="G14" i="22" s="1"/>
  <c r="L13" i="22"/>
  <c r="M13" i="22" s="1"/>
  <c r="R13" i="22"/>
  <c r="S13" i="22" s="1"/>
  <c r="W18" i="25"/>
  <c r="R14" i="25"/>
  <c r="S14" i="25" s="1"/>
  <c r="F14" i="25"/>
  <c r="G14" i="25" s="1"/>
  <c r="L20" i="25"/>
  <c r="M20" i="25" s="1"/>
  <c r="M39" i="28"/>
  <c r="M44" i="28"/>
  <c r="M45" i="28" s="1"/>
  <c r="B18" i="28" s="1"/>
  <c r="H18" i="28" s="1"/>
  <c r="C24" i="25"/>
  <c r="X22" i="22"/>
  <c r="Y22" i="22" s="1"/>
  <c r="B136" i="1"/>
  <c r="B123" i="1"/>
  <c r="B130" i="1"/>
  <c r="L21" i="8"/>
  <c r="M21" i="8" s="1"/>
  <c r="R21" i="8"/>
  <c r="S21" i="8" s="1"/>
  <c r="C24" i="24"/>
  <c r="R18" i="24"/>
  <c r="S18" i="24" s="1"/>
  <c r="AJ18" i="24"/>
  <c r="AK18" i="24" s="1"/>
  <c r="AP18" i="24"/>
  <c r="AQ18" i="24" s="1"/>
  <c r="F18" i="24"/>
  <c r="G18" i="24" s="1"/>
  <c r="F23" i="25"/>
  <c r="G23" i="25" s="1"/>
  <c r="R23" i="25"/>
  <c r="S23" i="25" s="1"/>
  <c r="W16" i="25"/>
  <c r="F16" i="25"/>
  <c r="G16" i="25" s="1"/>
  <c r="L16" i="25"/>
  <c r="M16" i="25" s="1"/>
  <c r="F12" i="28"/>
  <c r="G12" i="28" s="1"/>
  <c r="C23" i="28"/>
  <c r="C23" i="29"/>
  <c r="S30" i="29"/>
  <c r="F31" i="29"/>
  <c r="C24" i="23"/>
  <c r="F13" i="23"/>
  <c r="G13" i="23" s="1"/>
  <c r="L22" i="22"/>
  <c r="M22" i="22" s="1"/>
  <c r="S30" i="28"/>
  <c r="F31" i="28"/>
  <c r="F21" i="22"/>
  <c r="G21" i="22" s="1"/>
  <c r="R22" i="25"/>
  <c r="S22" i="25" s="1"/>
  <c r="AD22" i="24"/>
  <c r="AE22" i="24" s="1"/>
  <c r="L21" i="24"/>
  <c r="M21" i="24" s="1"/>
  <c r="B111" i="1"/>
  <c r="B146" i="1"/>
  <c r="B110" i="1"/>
  <c r="B104" i="1"/>
  <c r="B116" i="1"/>
  <c r="B105" i="1"/>
  <c r="B117" i="1"/>
  <c r="B108" i="1"/>
  <c r="F17" i="22"/>
  <c r="G17" i="22" s="1"/>
  <c r="AD22" i="22"/>
  <c r="AE22" i="22" s="1"/>
  <c r="F22" i="22"/>
  <c r="G22" i="22" s="1"/>
  <c r="G16" i="27"/>
  <c r="L39" i="27"/>
  <c r="L44" i="27" s="1"/>
  <c r="L45" i="27" s="1"/>
  <c r="B18" i="27" s="1"/>
  <c r="H18" i="27" s="1"/>
  <c r="P39" i="27"/>
  <c r="P44" i="27" s="1"/>
  <c r="P45" i="27" s="1"/>
  <c r="B22" i="27" s="1"/>
  <c r="H22" i="27" s="1"/>
  <c r="F39" i="27"/>
  <c r="F44" i="27" s="1"/>
  <c r="F45" i="27" s="1"/>
  <c r="J39" i="27"/>
  <c r="J44" i="27" s="1"/>
  <c r="J45" i="27" s="1"/>
  <c r="B16" i="27" s="1"/>
  <c r="H16" i="27" s="1"/>
  <c r="G39" i="27"/>
  <c r="G44" i="27" s="1"/>
  <c r="G45" i="27" s="1"/>
  <c r="B13" i="27" s="1"/>
  <c r="H13" i="27" s="1"/>
  <c r="L40" i="25"/>
  <c r="L45" i="25" s="1"/>
  <c r="L46" i="25" s="1"/>
  <c r="B18" i="25" s="1"/>
  <c r="N40" i="25"/>
  <c r="N45" i="25" s="1"/>
  <c r="N46" i="25" s="1"/>
  <c r="B20" i="25" s="1"/>
  <c r="F40" i="25"/>
  <c r="F45" i="25" s="1"/>
  <c r="F46" i="25" s="1"/>
  <c r="M40" i="25"/>
  <c r="M45" i="25" s="1"/>
  <c r="M46" i="25" s="1"/>
  <c r="B19" i="25" s="1"/>
  <c r="F39" i="23"/>
  <c r="F44" i="23" s="1"/>
  <c r="J39" i="23"/>
  <c r="Q39" i="23"/>
  <c r="G40" i="22"/>
  <c r="G45" i="22" s="1"/>
  <c r="G46" i="22" s="1"/>
  <c r="B13" i="22" s="1"/>
  <c r="F40" i="22"/>
  <c r="F45" i="22" s="1"/>
  <c r="F46" i="22" s="1"/>
  <c r="B12" i="22" s="1"/>
  <c r="N40" i="22"/>
  <c r="N45" i="22" s="1"/>
  <c r="N46" i="22" s="1"/>
  <c r="B20" i="22" s="1"/>
  <c r="D23" i="29"/>
  <c r="C73" i="20" s="1"/>
  <c r="D23" i="28"/>
  <c r="G30" i="28" s="1"/>
  <c r="D24" i="27"/>
  <c r="C71" i="20" s="1"/>
  <c r="D24" i="25"/>
  <c r="N31" i="25" s="1"/>
  <c r="W13" i="25"/>
  <c r="F13" i="25"/>
  <c r="G13" i="25" s="1"/>
  <c r="AJ17" i="8"/>
  <c r="AK17" i="8" s="1"/>
  <c r="X17" i="8"/>
  <c r="Y17" i="8" s="1"/>
  <c r="D24" i="8"/>
  <c r="AD14" i="8"/>
  <c r="AE14" i="8" s="1"/>
  <c r="L13" i="8"/>
  <c r="M13" i="8" s="1"/>
  <c r="S18" i="8"/>
  <c r="X23" i="24"/>
  <c r="Y23" i="24" s="1"/>
  <c r="AD19" i="24"/>
  <c r="AE19" i="24" s="1"/>
  <c r="X19" i="24"/>
  <c r="Y19" i="24" s="1"/>
  <c r="X13" i="24"/>
  <c r="Y13" i="24" s="1"/>
  <c r="D24" i="24"/>
  <c r="C105" i="1" s="1"/>
  <c r="AJ13" i="24"/>
  <c r="X12" i="24"/>
  <c r="D24" i="23"/>
  <c r="Q30" i="23" s="1"/>
  <c r="F18" i="22"/>
  <c r="G18" i="22" s="1"/>
  <c r="D18" i="16"/>
  <c r="B131" i="1"/>
  <c r="B142" i="1"/>
  <c r="F48" i="20" l="1"/>
  <c r="V28" i="27"/>
  <c r="V31" i="27" s="1"/>
  <c r="C14" i="4" s="1"/>
  <c r="F31" i="26"/>
  <c r="X12" i="8"/>
  <c r="Y12" i="8" s="1"/>
  <c r="R19" i="8"/>
  <c r="S19" i="8" s="1"/>
  <c r="R20" i="8"/>
  <c r="S20" i="8" s="1"/>
  <c r="AJ23" i="8"/>
  <c r="AK23" i="8" s="1"/>
  <c r="R12" i="8"/>
  <c r="S12" i="8" s="1"/>
  <c r="X14" i="8"/>
  <c r="Y14" i="8" s="1"/>
  <c r="AD19" i="8"/>
  <c r="AE19" i="8" s="1"/>
  <c r="AJ20" i="8"/>
  <c r="AK20" i="8" s="1"/>
  <c r="AD20" i="8"/>
  <c r="AE20" i="8" s="1"/>
  <c r="L14" i="8"/>
  <c r="M14" i="8" s="1"/>
  <c r="AJ12" i="8"/>
  <c r="AK12" i="8" s="1"/>
  <c r="AK24" i="8" s="1"/>
  <c r="L20" i="8"/>
  <c r="M20" i="8" s="1"/>
  <c r="X19" i="8"/>
  <c r="Y19" i="8" s="1"/>
  <c r="AD13" i="8"/>
  <c r="AE13" i="8" s="1"/>
  <c r="Q31" i="8"/>
  <c r="C24" i="8"/>
  <c r="B106" i="1" s="1"/>
  <c r="B118" i="1" s="1"/>
  <c r="AD12" i="8"/>
  <c r="S31" i="23"/>
  <c r="M39" i="29"/>
  <c r="M44" i="29" s="1"/>
  <c r="M45" i="29" s="1"/>
  <c r="B18" i="29" s="1"/>
  <c r="H18" i="29" s="1"/>
  <c r="I18" i="29" s="1"/>
  <c r="J18" i="29" s="1"/>
  <c r="J39" i="29"/>
  <c r="J44" i="29" s="1"/>
  <c r="J45" i="29" s="1"/>
  <c r="B15" i="29" s="1"/>
  <c r="H15" i="29" s="1"/>
  <c r="I15" i="29" s="1"/>
  <c r="J15" i="29" s="1"/>
  <c r="J39" i="28"/>
  <c r="J44" i="28" s="1"/>
  <c r="J45" i="28" s="1"/>
  <c r="B15" i="28" s="1"/>
  <c r="H15" i="28" s="1"/>
  <c r="F39" i="28"/>
  <c r="F44" i="28" s="1"/>
  <c r="F45" i="28" s="1"/>
  <c r="B11" i="28" s="1"/>
  <c r="H11" i="28" s="1"/>
  <c r="I11" i="28" s="1"/>
  <c r="J11" i="28" s="1"/>
  <c r="H39" i="28"/>
  <c r="H44" i="28" s="1"/>
  <c r="H45" i="28" s="1"/>
  <c r="B13" i="28" s="1"/>
  <c r="H13" i="28" s="1"/>
  <c r="G39" i="28"/>
  <c r="G44" i="28" s="1"/>
  <c r="G45" i="28" s="1"/>
  <c r="B12" i="28" s="1"/>
  <c r="I39" i="27"/>
  <c r="I44" i="27" s="1"/>
  <c r="I45" i="27" s="1"/>
  <c r="B15" i="27" s="1"/>
  <c r="H15" i="27" s="1"/>
  <c r="K39" i="26"/>
  <c r="K44" i="26" s="1"/>
  <c r="K45" i="26" s="1"/>
  <c r="B17" i="26" s="1"/>
  <c r="H17" i="26" s="1"/>
  <c r="P39" i="26"/>
  <c r="P44" i="26" s="1"/>
  <c r="P45" i="26" s="1"/>
  <c r="B22" i="26" s="1"/>
  <c r="H22" i="26" s="1"/>
  <c r="H39" i="26"/>
  <c r="H44" i="26" s="1"/>
  <c r="H45" i="26" s="1"/>
  <c r="B14" i="26" s="1"/>
  <c r="H14" i="26" s="1"/>
  <c r="I14" i="26" s="1"/>
  <c r="J14" i="26" s="1"/>
  <c r="G40" i="24"/>
  <c r="G45" i="24" s="1"/>
  <c r="G46" i="24" s="1"/>
  <c r="L40" i="24"/>
  <c r="L45" i="24" s="1"/>
  <c r="L46" i="24" s="1"/>
  <c r="B18" i="24" s="1"/>
  <c r="Z18" i="24" s="1"/>
  <c r="AA18" i="24" s="1"/>
  <c r="AB18" i="24" s="1"/>
  <c r="X24" i="8"/>
  <c r="C68" i="20"/>
  <c r="F24" i="23"/>
  <c r="G30" i="23"/>
  <c r="C66" i="20"/>
  <c r="C17" i="16"/>
  <c r="F55" i="20"/>
  <c r="F24" i="20"/>
  <c r="D61" i="1"/>
  <c r="E33" i="4" s="1"/>
  <c r="S31" i="29"/>
  <c r="C21" i="4" s="1"/>
  <c r="R24" i="8"/>
  <c r="S32" i="8"/>
  <c r="F32" i="4" s="1"/>
  <c r="F32" i="22"/>
  <c r="C66" i="1"/>
  <c r="E31" i="20"/>
  <c r="F31" i="20" s="1"/>
  <c r="B24" i="1"/>
  <c r="E25" i="1" s="1"/>
  <c r="E27" i="1" s="1"/>
  <c r="E44" i="1"/>
  <c r="B49" i="1"/>
  <c r="E50" i="1" s="1"/>
  <c r="F11" i="1"/>
  <c r="F12" i="1"/>
  <c r="C82" i="1"/>
  <c r="D82" i="1" s="1"/>
  <c r="F82" i="1" s="1"/>
  <c r="F83" i="1" s="1"/>
  <c r="F91" i="1" s="1"/>
  <c r="J40" i="4" s="1"/>
  <c r="F23" i="29"/>
  <c r="C111" i="1"/>
  <c r="C146" i="1" s="1"/>
  <c r="D146" i="1" s="1"/>
  <c r="F146" i="1" s="1"/>
  <c r="H146" i="1" s="1"/>
  <c r="H147" i="1" s="1"/>
  <c r="C46" i="4" s="1"/>
  <c r="G23" i="29"/>
  <c r="G30" i="29" s="1"/>
  <c r="G31" i="29" s="1"/>
  <c r="I16" i="29"/>
  <c r="J16" i="29" s="1"/>
  <c r="P30" i="29"/>
  <c r="P28" i="29" s="1"/>
  <c r="P31" i="29" s="1"/>
  <c r="M30" i="29"/>
  <c r="N30" i="29" s="1"/>
  <c r="N39" i="28"/>
  <c r="N44" i="28" s="1"/>
  <c r="N45" i="28" s="1"/>
  <c r="B19" i="28" s="1"/>
  <c r="H19" i="28" s="1"/>
  <c r="I19" i="28" s="1"/>
  <c r="J19" i="28" s="1"/>
  <c r="F23" i="28"/>
  <c r="G18" i="28"/>
  <c r="G23" i="28" s="1"/>
  <c r="H30" i="28" s="1"/>
  <c r="I13" i="28"/>
  <c r="J13" i="28" s="1"/>
  <c r="I17" i="28"/>
  <c r="J17" i="28" s="1"/>
  <c r="I15" i="28"/>
  <c r="J15" i="28" s="1"/>
  <c r="C72" i="20"/>
  <c r="C110" i="1"/>
  <c r="C142" i="1" s="1"/>
  <c r="D142" i="1" s="1"/>
  <c r="F142" i="1" s="1"/>
  <c r="H142" i="1" s="1"/>
  <c r="H143" i="1" s="1"/>
  <c r="C43" i="4" s="1"/>
  <c r="K30" i="28"/>
  <c r="Q30" i="28"/>
  <c r="N30" i="28"/>
  <c r="O30" i="28" s="1"/>
  <c r="F31" i="27"/>
  <c r="I17" i="27"/>
  <c r="J17" i="27" s="1"/>
  <c r="G24" i="27"/>
  <c r="H30" i="27" s="1"/>
  <c r="I22" i="27"/>
  <c r="J22" i="27" s="1"/>
  <c r="I18" i="27"/>
  <c r="J18" i="27" s="1"/>
  <c r="F24" i="27"/>
  <c r="I15" i="27"/>
  <c r="J15" i="27" s="1"/>
  <c r="I13" i="27"/>
  <c r="I16" i="27"/>
  <c r="J16" i="27" s="1"/>
  <c r="M30" i="27"/>
  <c r="P30" i="27"/>
  <c r="G30" i="27"/>
  <c r="C109" i="1"/>
  <c r="D109" i="1" s="1"/>
  <c r="F109" i="1" s="1"/>
  <c r="R30" i="27"/>
  <c r="C108" i="1"/>
  <c r="C69" i="20"/>
  <c r="Q31" i="25"/>
  <c r="R24" i="25"/>
  <c r="W24" i="25"/>
  <c r="S24" i="25"/>
  <c r="F24" i="25"/>
  <c r="C30" i="20"/>
  <c r="F30" i="20" s="1"/>
  <c r="J40" i="25"/>
  <c r="J45" i="25" s="1"/>
  <c r="J46" i="25" s="1"/>
  <c r="B16" i="25" s="1"/>
  <c r="T16" i="25" s="1"/>
  <c r="U16" i="25" s="1"/>
  <c r="V16" i="25" s="1"/>
  <c r="P40" i="25"/>
  <c r="P45" i="25" s="1"/>
  <c r="P46" i="25" s="1"/>
  <c r="B22" i="25" s="1"/>
  <c r="T22" i="25" s="1"/>
  <c r="U22" i="25" s="1"/>
  <c r="V22" i="25" s="1"/>
  <c r="Q40" i="25"/>
  <c r="Q45" i="25" s="1"/>
  <c r="Q46" i="25" s="1"/>
  <c r="B23" i="25" s="1"/>
  <c r="N23" i="25" s="1"/>
  <c r="O23" i="25" s="1"/>
  <c r="G40" i="25"/>
  <c r="G45" i="25" s="1"/>
  <c r="G46" i="25" s="1"/>
  <c r="B13" i="25" s="1"/>
  <c r="N13" i="25" s="1"/>
  <c r="O13" i="25" s="1"/>
  <c r="H40" i="25"/>
  <c r="H45" i="25" s="1"/>
  <c r="H46" i="25" s="1"/>
  <c r="B14" i="25" s="1"/>
  <c r="O40" i="25"/>
  <c r="O45" i="25" s="1"/>
  <c r="O46" i="25" s="1"/>
  <c r="B21" i="25" s="1"/>
  <c r="T21" i="25" s="1"/>
  <c r="U21" i="25" s="1"/>
  <c r="V21" i="25" s="1"/>
  <c r="K40" i="25"/>
  <c r="K45" i="25" s="1"/>
  <c r="K46" i="25" s="1"/>
  <c r="B17" i="25" s="1"/>
  <c r="H17" i="25" s="1"/>
  <c r="I17" i="25" s="1"/>
  <c r="J17" i="25" s="1"/>
  <c r="J39" i="26"/>
  <c r="J44" i="26" s="1"/>
  <c r="J45" i="26" s="1"/>
  <c r="B16" i="26" s="1"/>
  <c r="H16" i="26" s="1"/>
  <c r="I16" i="26" s="1"/>
  <c r="J16" i="26" s="1"/>
  <c r="N39" i="26"/>
  <c r="N44" i="26" s="1"/>
  <c r="N45" i="26" s="1"/>
  <c r="B20" i="26" s="1"/>
  <c r="H20" i="26" s="1"/>
  <c r="I20" i="26" s="1"/>
  <c r="J20" i="26" s="1"/>
  <c r="O39" i="26"/>
  <c r="O44" i="26" s="1"/>
  <c r="O45" i="26" s="1"/>
  <c r="B21" i="26" s="1"/>
  <c r="H21" i="26" s="1"/>
  <c r="N30" i="26"/>
  <c r="I17" i="26"/>
  <c r="J17" i="26" s="1"/>
  <c r="F24" i="26"/>
  <c r="I22" i="26"/>
  <c r="J22" i="26" s="1"/>
  <c r="G21" i="26"/>
  <c r="G24" i="26" s="1"/>
  <c r="H30" i="26" s="1"/>
  <c r="Q30" i="26"/>
  <c r="C70" i="20"/>
  <c r="G30" i="26"/>
  <c r="D107" i="1"/>
  <c r="C123" i="1"/>
  <c r="D123" i="1" s="1"/>
  <c r="C130" i="1"/>
  <c r="D130" i="1" s="1"/>
  <c r="F130" i="1" s="1"/>
  <c r="H130" i="1" s="1"/>
  <c r="C136" i="1"/>
  <c r="D136" i="1" s="1"/>
  <c r="F136" i="1" s="1"/>
  <c r="H136" i="1" s="1"/>
  <c r="H137" i="1" s="1"/>
  <c r="C23" i="20"/>
  <c r="F23" i="20" s="1"/>
  <c r="M24" i="8"/>
  <c r="S17" i="8"/>
  <c r="S24" i="8" s="1"/>
  <c r="Y24" i="8"/>
  <c r="N31" i="8"/>
  <c r="C106" i="1"/>
  <c r="K40" i="24"/>
  <c r="K45" i="24" s="1"/>
  <c r="K46" i="24" s="1"/>
  <c r="B17" i="24" s="1"/>
  <c r="AR17" i="24" s="1"/>
  <c r="AS17" i="24" s="1"/>
  <c r="AT17" i="24" s="1"/>
  <c r="F40" i="24"/>
  <c r="F45" i="24" s="1"/>
  <c r="X24" i="24"/>
  <c r="L24" i="24"/>
  <c r="Y12" i="24"/>
  <c r="Y24" i="24" s="1"/>
  <c r="G24" i="24"/>
  <c r="AD24" i="24"/>
  <c r="AE24" i="24"/>
  <c r="M15" i="24"/>
  <c r="M24" i="24" s="1"/>
  <c r="R24" i="24"/>
  <c r="AP24" i="24"/>
  <c r="F24" i="24"/>
  <c r="S12" i="24"/>
  <c r="S24" i="24" s="1"/>
  <c r="AQ12" i="24"/>
  <c r="AQ24" i="24" s="1"/>
  <c r="C117" i="1"/>
  <c r="D117" i="1" s="1"/>
  <c r="F117" i="1" s="1"/>
  <c r="H117" i="1" s="1"/>
  <c r="D105" i="1"/>
  <c r="AJ24" i="24"/>
  <c r="Q31" i="24"/>
  <c r="G31" i="24"/>
  <c r="N31" i="24"/>
  <c r="C67" i="20"/>
  <c r="C18" i="20"/>
  <c r="F18" i="20" s="1"/>
  <c r="G12" i="23"/>
  <c r="G24" i="23" s="1"/>
  <c r="H30" i="23" s="1"/>
  <c r="N30" i="23"/>
  <c r="T30" i="23" s="1"/>
  <c r="C104" i="1"/>
  <c r="I44" i="23"/>
  <c r="I45" i="23" s="1"/>
  <c r="B15" i="23" s="1"/>
  <c r="H15" i="23" s="1"/>
  <c r="I15" i="23" s="1"/>
  <c r="J15" i="23" s="1"/>
  <c r="Q44" i="23"/>
  <c r="Q45" i="23" s="1"/>
  <c r="B23" i="23" s="1"/>
  <c r="H23" i="23" s="1"/>
  <c r="I23" i="23" s="1"/>
  <c r="J23" i="23" s="1"/>
  <c r="J44" i="23"/>
  <c r="J45" i="23" s="1"/>
  <c r="B16" i="23" s="1"/>
  <c r="H16" i="23" s="1"/>
  <c r="I16" i="23" s="1"/>
  <c r="J16" i="23" s="1"/>
  <c r="O40" i="22"/>
  <c r="O45" i="22" s="1"/>
  <c r="O46" i="22" s="1"/>
  <c r="B21" i="22" s="1"/>
  <c r="H21" i="22" s="1"/>
  <c r="I21" i="22" s="1"/>
  <c r="J21" i="22" s="1"/>
  <c r="L40" i="22"/>
  <c r="L45" i="22" s="1"/>
  <c r="L46" i="22" s="1"/>
  <c r="B18" i="22" s="1"/>
  <c r="T18" i="22" s="1"/>
  <c r="U18" i="22" s="1"/>
  <c r="V18" i="22" s="1"/>
  <c r="M40" i="22"/>
  <c r="M45" i="22" s="1"/>
  <c r="M46" i="22" s="1"/>
  <c r="B19" i="22" s="1"/>
  <c r="Z19" i="22" s="1"/>
  <c r="I40" i="22"/>
  <c r="I45" i="22" s="1"/>
  <c r="I46" i="22" s="1"/>
  <c r="B15" i="22" s="1"/>
  <c r="T15" i="22" s="1"/>
  <c r="U15" i="22" s="1"/>
  <c r="V15" i="22" s="1"/>
  <c r="K40" i="22"/>
  <c r="K45" i="22" s="1"/>
  <c r="K46" i="22" s="1"/>
  <c r="B17" i="22" s="1"/>
  <c r="H17" i="22" s="1"/>
  <c r="I17" i="22" s="1"/>
  <c r="J17" i="22" s="1"/>
  <c r="Q40" i="22"/>
  <c r="Q45" i="22" s="1"/>
  <c r="Q46" i="22" s="1"/>
  <c r="B23" i="22" s="1"/>
  <c r="AF23" i="22" s="1"/>
  <c r="AG23" i="22" s="1"/>
  <c r="AH23" i="22" s="1"/>
  <c r="P40" i="22"/>
  <c r="P45" i="22" s="1"/>
  <c r="P46" i="22" s="1"/>
  <c r="B22" i="22" s="1"/>
  <c r="Z22" i="22" s="1"/>
  <c r="AA22" i="22" s="1"/>
  <c r="AB22" i="22" s="1"/>
  <c r="J40" i="22"/>
  <c r="J45" i="22" s="1"/>
  <c r="J46" i="22" s="1"/>
  <c r="B16" i="22" s="1"/>
  <c r="T16" i="22" s="1"/>
  <c r="U16" i="22" s="1"/>
  <c r="V16" i="22" s="1"/>
  <c r="N12" i="22"/>
  <c r="O12" i="22" s="1"/>
  <c r="H12" i="22"/>
  <c r="I12" i="22" s="1"/>
  <c r="C8" i="20"/>
  <c r="F8" i="20" s="1"/>
  <c r="F43" i="4"/>
  <c r="C18" i="4"/>
  <c r="S31" i="26"/>
  <c r="F37" i="4" s="1"/>
  <c r="S32" i="24"/>
  <c r="F31" i="4" s="1"/>
  <c r="AK13" i="24"/>
  <c r="AK24" i="24" s="1"/>
  <c r="F32" i="24"/>
  <c r="F30" i="4"/>
  <c r="C5" i="4"/>
  <c r="G31" i="25"/>
  <c r="L24" i="25"/>
  <c r="M24" i="25"/>
  <c r="F32" i="25"/>
  <c r="S32" i="25"/>
  <c r="F38" i="4" s="1"/>
  <c r="G24" i="25"/>
  <c r="F32" i="8"/>
  <c r="AD24" i="8"/>
  <c r="AE12" i="8"/>
  <c r="P39" i="29"/>
  <c r="P44" i="29" s="1"/>
  <c r="P45" i="29" s="1"/>
  <c r="B21" i="29" s="1"/>
  <c r="H21" i="29" s="1"/>
  <c r="I21" i="29" s="1"/>
  <c r="J21" i="29" s="1"/>
  <c r="Q39" i="29"/>
  <c r="Q44" i="29" s="1"/>
  <c r="Q45" i="29" s="1"/>
  <c r="B22" i="29" s="1"/>
  <c r="H22" i="29" s="1"/>
  <c r="I22" i="29" s="1"/>
  <c r="J22" i="29" s="1"/>
  <c r="L39" i="29"/>
  <c r="L44" i="29" s="1"/>
  <c r="L45" i="29" s="1"/>
  <c r="B17" i="29" s="1"/>
  <c r="H17" i="29" s="1"/>
  <c r="I17" i="29" s="1"/>
  <c r="J17" i="29" s="1"/>
  <c r="F39" i="29"/>
  <c r="I39" i="29"/>
  <c r="I44" i="29" s="1"/>
  <c r="I45" i="29" s="1"/>
  <c r="B14" i="29" s="1"/>
  <c r="H14" i="29" s="1"/>
  <c r="I14" i="29" s="1"/>
  <c r="J14" i="29" s="1"/>
  <c r="G39" i="29"/>
  <c r="G44" i="29" s="1"/>
  <c r="G45" i="29" s="1"/>
  <c r="B12" i="29" s="1"/>
  <c r="H12" i="29" s="1"/>
  <c r="I12" i="29" s="1"/>
  <c r="J12" i="29" s="1"/>
  <c r="O39" i="29"/>
  <c r="O44" i="29" s="1"/>
  <c r="O45" i="29" s="1"/>
  <c r="B20" i="29" s="1"/>
  <c r="H20" i="29" s="1"/>
  <c r="I20" i="29" s="1"/>
  <c r="J20" i="29" s="1"/>
  <c r="H39" i="29"/>
  <c r="H44" i="29" s="1"/>
  <c r="H45" i="29" s="1"/>
  <c r="B13" i="29" s="1"/>
  <c r="H13" i="29" s="1"/>
  <c r="I13" i="29" s="1"/>
  <c r="J13" i="29" s="1"/>
  <c r="N39" i="29"/>
  <c r="N44" i="29" s="1"/>
  <c r="N45" i="29" s="1"/>
  <c r="B19" i="29" s="1"/>
  <c r="H19" i="29" s="1"/>
  <c r="I19" i="29" s="1"/>
  <c r="J19" i="29" s="1"/>
  <c r="K39" i="28"/>
  <c r="K44" i="28" s="1"/>
  <c r="K45" i="28" s="1"/>
  <c r="B16" i="28" s="1"/>
  <c r="H16" i="28" s="1"/>
  <c r="I16" i="28" s="1"/>
  <c r="J16" i="28" s="1"/>
  <c r="P39" i="28"/>
  <c r="P44" i="28" s="1"/>
  <c r="P45" i="28" s="1"/>
  <c r="B21" i="28" s="1"/>
  <c r="H21" i="28" s="1"/>
  <c r="I21" i="28" s="1"/>
  <c r="J21" i="28" s="1"/>
  <c r="O39" i="28"/>
  <c r="O44" i="28" s="1"/>
  <c r="O45" i="28" s="1"/>
  <c r="B20" i="28" s="1"/>
  <c r="H20" i="28" s="1"/>
  <c r="I20" i="28" s="1"/>
  <c r="J20" i="28" s="1"/>
  <c r="Q39" i="28"/>
  <c r="Q44" i="28" s="1"/>
  <c r="Q45" i="28" s="1"/>
  <c r="B22" i="28" s="1"/>
  <c r="H22" i="28" s="1"/>
  <c r="I22" i="28" s="1"/>
  <c r="J22" i="28" s="1"/>
  <c r="H12" i="28"/>
  <c r="I12" i="28" s="1"/>
  <c r="J12" i="28" s="1"/>
  <c r="B14" i="28"/>
  <c r="H14" i="28" s="1"/>
  <c r="I14" i="28" s="1"/>
  <c r="J14" i="28" s="1"/>
  <c r="Q39" i="27"/>
  <c r="Q44" i="27" s="1"/>
  <c r="Q45" i="27" s="1"/>
  <c r="B23" i="27" s="1"/>
  <c r="H23" i="27" s="1"/>
  <c r="I23" i="27" s="1"/>
  <c r="H39" i="27"/>
  <c r="N39" i="27"/>
  <c r="N44" i="27" s="1"/>
  <c r="N45" i="27" s="1"/>
  <c r="B20" i="27" s="1"/>
  <c r="H20" i="27" s="1"/>
  <c r="I20" i="27" s="1"/>
  <c r="J20" i="27" s="1"/>
  <c r="M39" i="27"/>
  <c r="M44" i="27" s="1"/>
  <c r="M45" i="27" s="1"/>
  <c r="B19" i="27" s="1"/>
  <c r="H19" i="27" s="1"/>
  <c r="I19" i="27" s="1"/>
  <c r="J19" i="27" s="1"/>
  <c r="O39" i="27"/>
  <c r="O44" i="27" s="1"/>
  <c r="O45" i="27" s="1"/>
  <c r="B21" i="27" s="1"/>
  <c r="H21" i="27" s="1"/>
  <c r="I21" i="27" s="1"/>
  <c r="J21" i="27" s="1"/>
  <c r="B12" i="27"/>
  <c r="H12" i="27" s="1"/>
  <c r="I12" i="27" s="1"/>
  <c r="N18" i="25"/>
  <c r="O18" i="25" s="1"/>
  <c r="P18" i="25" s="1"/>
  <c r="T18" i="25"/>
  <c r="U18" i="25" s="1"/>
  <c r="V18" i="25" s="1"/>
  <c r="H18" i="25"/>
  <c r="I18" i="25" s="1"/>
  <c r="J18" i="25" s="1"/>
  <c r="T20" i="25"/>
  <c r="U20" i="25" s="1"/>
  <c r="V20" i="25" s="1"/>
  <c r="N20" i="25"/>
  <c r="O20" i="25" s="1"/>
  <c r="P20" i="25" s="1"/>
  <c r="H20" i="25"/>
  <c r="I20" i="25" s="1"/>
  <c r="J20" i="25" s="1"/>
  <c r="H23" i="25"/>
  <c r="I23" i="25" s="1"/>
  <c r="N15" i="25"/>
  <c r="O15" i="25" s="1"/>
  <c r="P15" i="25" s="1"/>
  <c r="H15" i="25"/>
  <c r="I15" i="25" s="1"/>
  <c r="J15" i="25" s="1"/>
  <c r="T15" i="25"/>
  <c r="U15" i="25" s="1"/>
  <c r="V15" i="25" s="1"/>
  <c r="H14" i="25"/>
  <c r="I14" i="25" s="1"/>
  <c r="J14" i="25" s="1"/>
  <c r="T14" i="25"/>
  <c r="U14" i="25" s="1"/>
  <c r="V14" i="25" s="1"/>
  <c r="N14" i="25"/>
  <c r="O14" i="25" s="1"/>
  <c r="P14" i="25" s="1"/>
  <c r="H19" i="25"/>
  <c r="I19" i="25" s="1"/>
  <c r="J19" i="25" s="1"/>
  <c r="N19" i="25"/>
  <c r="O19" i="25" s="1"/>
  <c r="P19" i="25" s="1"/>
  <c r="T19" i="25"/>
  <c r="U19" i="25" s="1"/>
  <c r="V19" i="25" s="1"/>
  <c r="T17" i="25"/>
  <c r="U17" i="25" s="1"/>
  <c r="V17" i="25" s="1"/>
  <c r="B12" i="25"/>
  <c r="F44" i="26"/>
  <c r="M39" i="26"/>
  <c r="M44" i="26" s="1"/>
  <c r="M45" i="26" s="1"/>
  <c r="B19" i="26" s="1"/>
  <c r="H19" i="26" s="1"/>
  <c r="I19" i="26" s="1"/>
  <c r="J19" i="26" s="1"/>
  <c r="G39" i="26"/>
  <c r="G44" i="26" s="1"/>
  <c r="G45" i="26" s="1"/>
  <c r="B13" i="26" s="1"/>
  <c r="H13" i="26" s="1"/>
  <c r="I13" i="26" s="1"/>
  <c r="L39" i="26"/>
  <c r="L44" i="26" s="1"/>
  <c r="L45" i="26" s="1"/>
  <c r="B18" i="26" s="1"/>
  <c r="H18" i="26" s="1"/>
  <c r="I18" i="26" s="1"/>
  <c r="J18" i="26" s="1"/>
  <c r="Q39" i="26"/>
  <c r="Q44" i="26" s="1"/>
  <c r="Q45" i="26" s="1"/>
  <c r="B23" i="26" s="1"/>
  <c r="H23" i="26" s="1"/>
  <c r="I23" i="26" s="1"/>
  <c r="I39" i="26"/>
  <c r="I44" i="26" s="1"/>
  <c r="I45" i="26" s="1"/>
  <c r="B15" i="26" s="1"/>
  <c r="H15" i="26" s="1"/>
  <c r="I15" i="26" s="1"/>
  <c r="J15" i="26" s="1"/>
  <c r="J40" i="24"/>
  <c r="J45" i="24" s="1"/>
  <c r="J46" i="24" s="1"/>
  <c r="B16" i="24" s="1"/>
  <c r="AF16" i="24" s="1"/>
  <c r="AG16" i="24" s="1"/>
  <c r="AH16" i="24" s="1"/>
  <c r="P40" i="24"/>
  <c r="P45" i="24" s="1"/>
  <c r="P46" i="24" s="1"/>
  <c r="B22" i="24" s="1"/>
  <c r="N22" i="24" s="1"/>
  <c r="O22" i="24" s="1"/>
  <c r="P22" i="24" s="1"/>
  <c r="I40" i="24"/>
  <c r="M40" i="24"/>
  <c r="M45" i="24" s="1"/>
  <c r="M46" i="24" s="1"/>
  <c r="B19" i="24" s="1"/>
  <c r="Z19" i="24" s="1"/>
  <c r="AA19" i="24" s="1"/>
  <c r="AB19" i="24" s="1"/>
  <c r="Q40" i="24"/>
  <c r="Q45" i="24" s="1"/>
  <c r="Q46" i="24" s="1"/>
  <c r="B23" i="24" s="1"/>
  <c r="H23" i="24" s="1"/>
  <c r="I23" i="24" s="1"/>
  <c r="J23" i="24" s="1"/>
  <c r="O40" i="24"/>
  <c r="O45" i="24" s="1"/>
  <c r="O46" i="24" s="1"/>
  <c r="B21" i="24" s="1"/>
  <c r="H21" i="24" s="1"/>
  <c r="I21" i="24" s="1"/>
  <c r="J21" i="24" s="1"/>
  <c r="N40" i="24"/>
  <c r="N45" i="24" s="1"/>
  <c r="N46" i="24" s="1"/>
  <c r="B20" i="24" s="1"/>
  <c r="AF20" i="24" s="1"/>
  <c r="AG20" i="24" s="1"/>
  <c r="AH20" i="24" s="1"/>
  <c r="AL18" i="24"/>
  <c r="AM18" i="24" s="1"/>
  <c r="AN18" i="24" s="1"/>
  <c r="N18" i="24"/>
  <c r="O18" i="24" s="1"/>
  <c r="P18" i="24" s="1"/>
  <c r="AR18" i="24"/>
  <c r="AS18" i="24" s="1"/>
  <c r="AT18" i="24" s="1"/>
  <c r="T16" i="24"/>
  <c r="U16" i="24" s="1"/>
  <c r="V16" i="24" s="1"/>
  <c r="AR23" i="24"/>
  <c r="AS23" i="24" s="1"/>
  <c r="AT23" i="24" s="1"/>
  <c r="N23" i="24"/>
  <c r="O23" i="24" s="1"/>
  <c r="P23" i="24" s="1"/>
  <c r="Z23" i="24"/>
  <c r="AA23" i="24" s="1"/>
  <c r="AF23" i="24"/>
  <c r="AG23" i="24" s="1"/>
  <c r="AH23" i="24" s="1"/>
  <c r="T23" i="24"/>
  <c r="U23" i="24" s="1"/>
  <c r="V23" i="24" s="1"/>
  <c r="T20" i="24"/>
  <c r="U20" i="24" s="1"/>
  <c r="V20" i="24" s="1"/>
  <c r="T14" i="24"/>
  <c r="U14" i="24" s="1"/>
  <c r="V14" i="24" s="1"/>
  <c r="N14" i="24"/>
  <c r="O14" i="24" s="1"/>
  <c r="P14" i="24" s="1"/>
  <c r="AR14" i="24"/>
  <c r="AS14" i="24" s="1"/>
  <c r="AT14" i="24" s="1"/>
  <c r="Z14" i="24"/>
  <c r="AA14" i="24" s="1"/>
  <c r="AB14" i="24" s="1"/>
  <c r="AF14" i="24"/>
  <c r="AG14" i="24" s="1"/>
  <c r="AH14" i="24" s="1"/>
  <c r="H14" i="24"/>
  <c r="I14" i="24" s="1"/>
  <c r="J14" i="24" s="1"/>
  <c r="AL14" i="24"/>
  <c r="AM14" i="24" s="1"/>
  <c r="AN14" i="24" s="1"/>
  <c r="B13" i="24"/>
  <c r="N17" i="24"/>
  <c r="O17" i="24" s="1"/>
  <c r="P17" i="24" s="1"/>
  <c r="H17" i="24"/>
  <c r="I17" i="24" s="1"/>
  <c r="J17" i="24" s="1"/>
  <c r="T17" i="24"/>
  <c r="U17" i="24" s="1"/>
  <c r="V17" i="24" s="1"/>
  <c r="AF17" i="24"/>
  <c r="AG17" i="24" s="1"/>
  <c r="AH17" i="24" s="1"/>
  <c r="AL17" i="24"/>
  <c r="AM17" i="24" s="1"/>
  <c r="AN17" i="24" s="1"/>
  <c r="Z17" i="24"/>
  <c r="AA17" i="24" s="1"/>
  <c r="AB17" i="24" s="1"/>
  <c r="N40" i="8"/>
  <c r="N45" i="8" s="1"/>
  <c r="N46" i="8" s="1"/>
  <c r="B20" i="8" s="1"/>
  <c r="T20" i="8" s="1"/>
  <c r="U20" i="8" s="1"/>
  <c r="V20" i="8" s="1"/>
  <c r="O40" i="8"/>
  <c r="O45" i="8" s="1"/>
  <c r="O46" i="8" s="1"/>
  <c r="B21" i="8" s="1"/>
  <c r="T21" i="8" s="1"/>
  <c r="U21" i="8" s="1"/>
  <c r="V21" i="8" s="1"/>
  <c r="J40" i="8"/>
  <c r="J45" i="8" s="1"/>
  <c r="J46" i="8" s="1"/>
  <c r="B16" i="8" s="1"/>
  <c r="AF16" i="8" s="1"/>
  <c r="AG16" i="8" s="1"/>
  <c r="AH16" i="8" s="1"/>
  <c r="G40" i="8"/>
  <c r="G45" i="8" s="1"/>
  <c r="G46" i="8" s="1"/>
  <c r="B13" i="8" s="1"/>
  <c r="N13" i="8" s="1"/>
  <c r="O13" i="8" s="1"/>
  <c r="P40" i="8"/>
  <c r="P45" i="8" s="1"/>
  <c r="P46" i="8" s="1"/>
  <c r="B22" i="8" s="1"/>
  <c r="Z22" i="8" s="1"/>
  <c r="AA22" i="8" s="1"/>
  <c r="AB22" i="8" s="1"/>
  <c r="L40" i="8"/>
  <c r="L45" i="8" s="1"/>
  <c r="L46" i="8" s="1"/>
  <c r="B18" i="8" s="1"/>
  <c r="N18" i="8" s="1"/>
  <c r="O18" i="8" s="1"/>
  <c r="P18" i="8" s="1"/>
  <c r="F40" i="8"/>
  <c r="F45" i="8" s="1"/>
  <c r="F46" i="8" s="1"/>
  <c r="K40" i="8"/>
  <c r="K45" i="8" s="1"/>
  <c r="K46" i="8" s="1"/>
  <c r="B17" i="8" s="1"/>
  <c r="N17" i="8" s="1"/>
  <c r="O17" i="8" s="1"/>
  <c r="P17" i="8" s="1"/>
  <c r="M40" i="8"/>
  <c r="M45" i="8" s="1"/>
  <c r="M46" i="8" s="1"/>
  <c r="B19" i="8" s="1"/>
  <c r="AF19" i="8" s="1"/>
  <c r="AG19" i="8" s="1"/>
  <c r="AH19" i="8" s="1"/>
  <c r="Q40" i="8"/>
  <c r="Q45" i="8" s="1"/>
  <c r="Q46" i="8" s="1"/>
  <c r="B23" i="8" s="1"/>
  <c r="N23" i="8" s="1"/>
  <c r="O23" i="8" s="1"/>
  <c r="H40" i="8"/>
  <c r="I45" i="8"/>
  <c r="I46" i="8" s="1"/>
  <c r="B15" i="8" s="1"/>
  <c r="T15" i="8" s="1"/>
  <c r="AE12" i="22"/>
  <c r="X18" i="22"/>
  <c r="Y18" i="22" s="1"/>
  <c r="L19" i="22"/>
  <c r="M19" i="22" s="1"/>
  <c r="X16" i="22"/>
  <c r="Y16" i="22" s="1"/>
  <c r="D24" i="22"/>
  <c r="C103" i="1" s="1"/>
  <c r="R12" i="22"/>
  <c r="L18" i="22"/>
  <c r="M18" i="22" s="1"/>
  <c r="X20" i="22"/>
  <c r="Y20" i="22" s="1"/>
  <c r="X12" i="22"/>
  <c r="R19" i="22"/>
  <c r="S19" i="22" s="1"/>
  <c r="L20" i="22"/>
  <c r="M20" i="22" s="1"/>
  <c r="F19" i="22"/>
  <c r="G19" i="22" s="1"/>
  <c r="R21" i="22"/>
  <c r="S21" i="22" s="1"/>
  <c r="AD20" i="22"/>
  <c r="AE20" i="22" s="1"/>
  <c r="R20" i="22"/>
  <c r="S20" i="22" s="1"/>
  <c r="X19" i="22"/>
  <c r="Y19" i="22" s="1"/>
  <c r="S32" i="22"/>
  <c r="C4" i="4" s="1"/>
  <c r="N13" i="22"/>
  <c r="O13" i="22" s="1"/>
  <c r="H13" i="22"/>
  <c r="I13" i="22" s="1"/>
  <c r="AF13" i="22"/>
  <c r="AG13" i="22" s="1"/>
  <c r="AH13" i="22" s="1"/>
  <c r="T13" i="22"/>
  <c r="U13" i="22" s="1"/>
  <c r="V13" i="22" s="1"/>
  <c r="Z13" i="22"/>
  <c r="AA13" i="22" s="1"/>
  <c r="Z20" i="22"/>
  <c r="AF20" i="22"/>
  <c r="T20" i="22"/>
  <c r="H20" i="22"/>
  <c r="I20" i="22" s="1"/>
  <c r="J20" i="22" s="1"/>
  <c r="N20" i="22"/>
  <c r="AF14" i="22"/>
  <c r="AG14" i="22" s="1"/>
  <c r="AH14" i="22" s="1"/>
  <c r="H14" i="22"/>
  <c r="I14" i="22" s="1"/>
  <c r="J14" i="22" s="1"/>
  <c r="Z14" i="22"/>
  <c r="AA14" i="22" s="1"/>
  <c r="AB14" i="22" s="1"/>
  <c r="N14" i="22"/>
  <c r="O14" i="22" s="1"/>
  <c r="P14" i="22" s="1"/>
  <c r="P39" i="23"/>
  <c r="O39" i="23"/>
  <c r="L39" i="23"/>
  <c r="M39" i="23"/>
  <c r="H39" i="23"/>
  <c r="N39" i="23"/>
  <c r="K39" i="23"/>
  <c r="G39" i="23"/>
  <c r="F45" i="23"/>
  <c r="F24" i="22"/>
  <c r="C115" i="1" l="1"/>
  <c r="D103" i="1"/>
  <c r="F39" i="4"/>
  <c r="F40" i="4" s="1"/>
  <c r="H45" i="8"/>
  <c r="H46" i="8" s="1"/>
  <c r="AE24" i="8"/>
  <c r="L24" i="8"/>
  <c r="G31" i="8"/>
  <c r="AJ24" i="8"/>
  <c r="N17" i="25"/>
  <c r="O17" i="25" s="1"/>
  <c r="P17" i="25" s="1"/>
  <c r="N12" i="25"/>
  <c r="O12" i="25" s="1"/>
  <c r="H12" i="25"/>
  <c r="I12" i="25" s="1"/>
  <c r="N16" i="25"/>
  <c r="O16" i="25" s="1"/>
  <c r="P16" i="25" s="1"/>
  <c r="H16" i="25"/>
  <c r="I16" i="25" s="1"/>
  <c r="J16" i="25" s="1"/>
  <c r="T23" i="8"/>
  <c r="U23" i="8" s="1"/>
  <c r="AF23" i="8"/>
  <c r="AG23" i="8" s="1"/>
  <c r="AL17" i="8"/>
  <c r="AM17" i="8" s="1"/>
  <c r="AN17" i="8" s="1"/>
  <c r="T17" i="8"/>
  <c r="U17" i="8" s="1"/>
  <c r="V17" i="8" s="1"/>
  <c r="T18" i="24"/>
  <c r="U18" i="24" s="1"/>
  <c r="V18" i="24" s="1"/>
  <c r="AL23" i="24"/>
  <c r="AM23" i="24" s="1"/>
  <c r="N21" i="24"/>
  <c r="O21" i="24" s="1"/>
  <c r="P21" i="24" s="1"/>
  <c r="T21" i="24"/>
  <c r="U21" i="24" s="1"/>
  <c r="V21" i="24" s="1"/>
  <c r="Z21" i="24"/>
  <c r="AA21" i="24" s="1"/>
  <c r="AB21" i="24" s="1"/>
  <c r="AL21" i="24"/>
  <c r="AM21" i="24" s="1"/>
  <c r="AN21" i="24" s="1"/>
  <c r="AF18" i="24"/>
  <c r="AG18" i="24" s="1"/>
  <c r="AH18" i="24" s="1"/>
  <c r="AR21" i="24"/>
  <c r="AS21" i="24" s="1"/>
  <c r="AT21" i="24" s="1"/>
  <c r="H18" i="24"/>
  <c r="I18" i="24" s="1"/>
  <c r="J18" i="24" s="1"/>
  <c r="Z20" i="24"/>
  <c r="AA20" i="24" s="1"/>
  <c r="AB20" i="24" s="1"/>
  <c r="AF21" i="24"/>
  <c r="AG21" i="24" s="1"/>
  <c r="AH21" i="24" s="1"/>
  <c r="T22" i="22"/>
  <c r="U22" i="22" s="1"/>
  <c r="V22" i="22" s="1"/>
  <c r="H18" i="22"/>
  <c r="I18" i="22" s="1"/>
  <c r="J18" i="22" s="1"/>
  <c r="N23" i="22"/>
  <c r="O23" i="22" s="1"/>
  <c r="Z23" i="22"/>
  <c r="AA23" i="22" s="1"/>
  <c r="AF18" i="22"/>
  <c r="AG18" i="22" s="1"/>
  <c r="AH18" i="22" s="1"/>
  <c r="T23" i="22"/>
  <c r="U23" i="22" s="1"/>
  <c r="V23" i="22" s="1"/>
  <c r="H23" i="22"/>
  <c r="I23" i="22" s="1"/>
  <c r="D111" i="1"/>
  <c r="F111" i="1" s="1"/>
  <c r="D110" i="1"/>
  <c r="F110" i="1" s="1"/>
  <c r="D66" i="1"/>
  <c r="E40" i="4" s="1"/>
  <c r="AA20" i="22"/>
  <c r="AB20" i="22" s="1"/>
  <c r="I21" i="26"/>
  <c r="J21" i="26" s="1"/>
  <c r="E28" i="1"/>
  <c r="D40" i="4" s="1"/>
  <c r="F46" i="4"/>
  <c r="T31" i="8"/>
  <c r="C7" i="4"/>
  <c r="E52" i="1"/>
  <c r="D33" i="4" s="1"/>
  <c r="T30" i="29"/>
  <c r="V30" i="29" s="1"/>
  <c r="U30" i="28"/>
  <c r="I18" i="28"/>
  <c r="J18" i="28" s="1"/>
  <c r="J23" i="28" s="1"/>
  <c r="I31" i="28" s="1"/>
  <c r="T30" i="28"/>
  <c r="C131" i="1"/>
  <c r="D131" i="1" s="1"/>
  <c r="F131" i="1" s="1"/>
  <c r="H131" i="1" s="1"/>
  <c r="H132" i="1" s="1"/>
  <c r="H133" i="1" s="1"/>
  <c r="H139" i="1" s="1"/>
  <c r="C40" i="4" s="1"/>
  <c r="W30" i="27"/>
  <c r="T31" i="25"/>
  <c r="D108" i="1"/>
  <c r="F108" i="1" s="1"/>
  <c r="T23" i="25"/>
  <c r="U23" i="25" s="1"/>
  <c r="T13" i="25"/>
  <c r="U13" i="25" s="1"/>
  <c r="H22" i="25"/>
  <c r="I22" i="25" s="1"/>
  <c r="J22" i="25" s="1"/>
  <c r="R40" i="25"/>
  <c r="R45" i="25"/>
  <c r="N21" i="25"/>
  <c r="O21" i="25" s="1"/>
  <c r="P21" i="25" s="1"/>
  <c r="H21" i="25"/>
  <c r="I21" i="25" s="1"/>
  <c r="J21" i="25" s="1"/>
  <c r="N22" i="25"/>
  <c r="O22" i="25" s="1"/>
  <c r="P22" i="25" s="1"/>
  <c r="H13" i="25"/>
  <c r="I13" i="25" s="1"/>
  <c r="R46" i="25"/>
  <c r="R39" i="26"/>
  <c r="C12" i="4"/>
  <c r="T30" i="26"/>
  <c r="F123" i="1"/>
  <c r="H123" i="1" s="1"/>
  <c r="H124" i="1" s="1"/>
  <c r="B43" i="16"/>
  <c r="D43" i="16" s="1"/>
  <c r="F107" i="1"/>
  <c r="B39" i="16"/>
  <c r="D39" i="16" s="1"/>
  <c r="H31" i="8"/>
  <c r="C118" i="1"/>
  <c r="D118" i="1" s="1"/>
  <c r="F118" i="1" s="1"/>
  <c r="H118" i="1" s="1"/>
  <c r="D106" i="1"/>
  <c r="AF17" i="8"/>
  <c r="AG17" i="8" s="1"/>
  <c r="AH17" i="8" s="1"/>
  <c r="Z16" i="8"/>
  <c r="AA16" i="8" s="1"/>
  <c r="AB16" i="8" s="1"/>
  <c r="N16" i="8"/>
  <c r="O16" i="8" s="1"/>
  <c r="P16" i="8" s="1"/>
  <c r="Z19" i="8"/>
  <c r="AA19" i="8" s="1"/>
  <c r="AB19" i="8" s="1"/>
  <c r="T19" i="8"/>
  <c r="U19" i="8" s="1"/>
  <c r="V19" i="8" s="1"/>
  <c r="N19" i="8"/>
  <c r="O19" i="8" s="1"/>
  <c r="P19" i="8" s="1"/>
  <c r="AF22" i="8"/>
  <c r="AG22" i="8" s="1"/>
  <c r="AH22" i="8" s="1"/>
  <c r="Z18" i="8"/>
  <c r="AA18" i="8" s="1"/>
  <c r="AB18" i="8" s="1"/>
  <c r="AF20" i="8"/>
  <c r="AG20" i="8" s="1"/>
  <c r="AH20" i="8" s="1"/>
  <c r="T22" i="8"/>
  <c r="U22" i="8" s="1"/>
  <c r="V22" i="8" s="1"/>
  <c r="AF18" i="8"/>
  <c r="AG18" i="8" s="1"/>
  <c r="AH18" i="8" s="1"/>
  <c r="AL18" i="8"/>
  <c r="AM18" i="8" s="1"/>
  <c r="AN18" i="8" s="1"/>
  <c r="AF21" i="8"/>
  <c r="AG21" i="8" s="1"/>
  <c r="AH21" i="8" s="1"/>
  <c r="N20" i="8"/>
  <c r="O20" i="8" s="1"/>
  <c r="P20" i="8" s="1"/>
  <c r="N22" i="8"/>
  <c r="O22" i="8" s="1"/>
  <c r="P22" i="8" s="1"/>
  <c r="AL22" i="8"/>
  <c r="AM22" i="8" s="1"/>
  <c r="AN22" i="8" s="1"/>
  <c r="T13" i="8"/>
  <c r="U13" i="8" s="1"/>
  <c r="T18" i="8"/>
  <c r="U18" i="8" s="1"/>
  <c r="V18" i="8" s="1"/>
  <c r="R40" i="8"/>
  <c r="Z20" i="8"/>
  <c r="AA20" i="8" s="1"/>
  <c r="AB20" i="8" s="1"/>
  <c r="F46" i="24"/>
  <c r="B12" i="24" s="1"/>
  <c r="AL12" i="24" s="1"/>
  <c r="AM12" i="24" s="1"/>
  <c r="I45" i="24"/>
  <c r="I46" i="24" s="1"/>
  <c r="B15" i="24" s="1"/>
  <c r="AF19" i="24"/>
  <c r="AG19" i="24" s="1"/>
  <c r="AH19" i="24" s="1"/>
  <c r="N19" i="24"/>
  <c r="O19" i="24" s="1"/>
  <c r="P19" i="24" s="1"/>
  <c r="H19" i="24"/>
  <c r="I19" i="24" s="1"/>
  <c r="J19" i="24" s="1"/>
  <c r="N20" i="24"/>
  <c r="O20" i="24" s="1"/>
  <c r="P20" i="24" s="1"/>
  <c r="H20" i="24"/>
  <c r="I20" i="24" s="1"/>
  <c r="J20" i="24" s="1"/>
  <c r="AR19" i="24"/>
  <c r="AS19" i="24" s="1"/>
  <c r="AT19" i="24" s="1"/>
  <c r="AL19" i="24"/>
  <c r="AM19" i="24" s="1"/>
  <c r="AN19" i="24" s="1"/>
  <c r="T19" i="24"/>
  <c r="U19" i="24" s="1"/>
  <c r="V19" i="24" s="1"/>
  <c r="N16" i="24"/>
  <c r="O16" i="24" s="1"/>
  <c r="P16" i="24" s="1"/>
  <c r="H31" i="24"/>
  <c r="T31" i="24"/>
  <c r="B37" i="16"/>
  <c r="D37" i="16" s="1"/>
  <c r="F105" i="1"/>
  <c r="C116" i="1"/>
  <c r="D116" i="1" s="1"/>
  <c r="F116" i="1" s="1"/>
  <c r="H116" i="1" s="1"/>
  <c r="D104" i="1"/>
  <c r="P44" i="23"/>
  <c r="P45" i="23" s="1"/>
  <c r="B22" i="23" s="1"/>
  <c r="H22" i="23" s="1"/>
  <c r="I22" i="23" s="1"/>
  <c r="J22" i="23" s="1"/>
  <c r="O44" i="23"/>
  <c r="O45" i="23" s="1"/>
  <c r="B21" i="23" s="1"/>
  <c r="H21" i="23" s="1"/>
  <c r="I21" i="23" s="1"/>
  <c r="J21" i="23" s="1"/>
  <c r="N44" i="23"/>
  <c r="N45" i="23" s="1"/>
  <c r="B20" i="23" s="1"/>
  <c r="H20" i="23" s="1"/>
  <c r="I20" i="23" s="1"/>
  <c r="J20" i="23" s="1"/>
  <c r="H44" i="23"/>
  <c r="H45" i="23" s="1"/>
  <c r="B14" i="23" s="1"/>
  <c r="H14" i="23" s="1"/>
  <c r="I14" i="23" s="1"/>
  <c r="J14" i="23" s="1"/>
  <c r="G44" i="23"/>
  <c r="G45" i="23" s="1"/>
  <c r="K44" i="23"/>
  <c r="K45" i="23" s="1"/>
  <c r="B17" i="23" s="1"/>
  <c r="H17" i="23" s="1"/>
  <c r="I17" i="23" s="1"/>
  <c r="J17" i="23" s="1"/>
  <c r="M44" i="23"/>
  <c r="M45" i="23" s="1"/>
  <c r="B19" i="23" s="1"/>
  <c r="H19" i="23" s="1"/>
  <c r="I19" i="23" s="1"/>
  <c r="J19" i="23" s="1"/>
  <c r="L44" i="23"/>
  <c r="L45" i="23" s="1"/>
  <c r="B18" i="23" s="1"/>
  <c r="H18" i="23" s="1"/>
  <c r="I18" i="23" s="1"/>
  <c r="J18" i="23" s="1"/>
  <c r="Z21" i="22"/>
  <c r="AA21" i="22" s="1"/>
  <c r="AB21" i="22" s="1"/>
  <c r="AF21" i="22"/>
  <c r="AG21" i="22" s="1"/>
  <c r="AH21" i="22" s="1"/>
  <c r="Z15" i="22"/>
  <c r="AA15" i="22" s="1"/>
  <c r="AB15" i="22" s="1"/>
  <c r="H15" i="22"/>
  <c r="I15" i="22" s="1"/>
  <c r="J15" i="22" s="1"/>
  <c r="N21" i="22"/>
  <c r="O21" i="22" s="1"/>
  <c r="P21" i="22" s="1"/>
  <c r="T21" i="22"/>
  <c r="H22" i="22"/>
  <c r="I22" i="22" s="1"/>
  <c r="J22" i="22" s="1"/>
  <c r="N18" i="22"/>
  <c r="O18" i="22" s="1"/>
  <c r="P18" i="22" s="1"/>
  <c r="Z18" i="22"/>
  <c r="Z17" i="22"/>
  <c r="AA17" i="22" s="1"/>
  <c r="AB17" i="22" s="1"/>
  <c r="N17" i="22"/>
  <c r="O17" i="22" s="1"/>
  <c r="P17" i="22" s="1"/>
  <c r="T17" i="22"/>
  <c r="U17" i="22" s="1"/>
  <c r="V17" i="22" s="1"/>
  <c r="AF17" i="22"/>
  <c r="AG17" i="22" s="1"/>
  <c r="AH17" i="22" s="1"/>
  <c r="AF15" i="22"/>
  <c r="AG15" i="22" s="1"/>
  <c r="AH15" i="22" s="1"/>
  <c r="N19" i="22"/>
  <c r="O19" i="22" s="1"/>
  <c r="P19" i="22" s="1"/>
  <c r="H19" i="22"/>
  <c r="I19" i="22" s="1"/>
  <c r="J19" i="22" s="1"/>
  <c r="T19" i="22"/>
  <c r="U19" i="22" s="1"/>
  <c r="V19" i="22" s="1"/>
  <c r="N15" i="22"/>
  <c r="O15" i="22" s="1"/>
  <c r="P15" i="22" s="1"/>
  <c r="AF19" i="22"/>
  <c r="AG19" i="22" s="1"/>
  <c r="AH19" i="22" s="1"/>
  <c r="Z16" i="22"/>
  <c r="AA16" i="22" s="1"/>
  <c r="AB16" i="22" s="1"/>
  <c r="AF22" i="22"/>
  <c r="AG22" i="22" s="1"/>
  <c r="AH22" i="22" s="1"/>
  <c r="N16" i="22"/>
  <c r="O16" i="22" s="1"/>
  <c r="P16" i="22" s="1"/>
  <c r="R40" i="22"/>
  <c r="I16" i="22"/>
  <c r="J16" i="22" s="1"/>
  <c r="R45" i="22"/>
  <c r="R46" i="22"/>
  <c r="AF16" i="22"/>
  <c r="AG16" i="22" s="1"/>
  <c r="AH16" i="22" s="1"/>
  <c r="N22" i="22"/>
  <c r="O22" i="22" s="1"/>
  <c r="P22" i="22" s="1"/>
  <c r="AG20" i="22"/>
  <c r="AH20" i="22" s="1"/>
  <c r="U21" i="22"/>
  <c r="V21" i="22" s="1"/>
  <c r="U20" i="22"/>
  <c r="V20" i="22" s="1"/>
  <c r="AA19" i="22"/>
  <c r="AB19" i="22" s="1"/>
  <c r="AA18" i="22"/>
  <c r="AB18" i="22" s="1"/>
  <c r="O20" i="22"/>
  <c r="P20" i="22" s="1"/>
  <c r="G31" i="22"/>
  <c r="C6" i="4"/>
  <c r="F29" i="4"/>
  <c r="F33" i="4" s="1"/>
  <c r="C13" i="4"/>
  <c r="H31" i="25"/>
  <c r="J24" i="26"/>
  <c r="I31" i="26" s="1"/>
  <c r="R39" i="29"/>
  <c r="F44" i="29"/>
  <c r="F45" i="29" s="1"/>
  <c r="B11" i="29" s="1"/>
  <c r="R44" i="28"/>
  <c r="R45" i="28"/>
  <c r="B23" i="28"/>
  <c r="C28" i="28" s="1"/>
  <c r="Q28" i="28" s="1"/>
  <c r="Q31" i="28" s="1"/>
  <c r="R39" i="28"/>
  <c r="H23" i="28"/>
  <c r="H28" i="28" s="1"/>
  <c r="H31" i="28" s="1"/>
  <c r="R39" i="27"/>
  <c r="H44" i="27"/>
  <c r="B24" i="25"/>
  <c r="C29" i="25" s="1"/>
  <c r="T12" i="25"/>
  <c r="V24" i="25"/>
  <c r="F45" i="26"/>
  <c r="R44" i="26"/>
  <c r="R40" i="24"/>
  <c r="AR22" i="24"/>
  <c r="AS22" i="24" s="1"/>
  <c r="AT22" i="24" s="1"/>
  <c r="AR20" i="24"/>
  <c r="AS20" i="24" s="1"/>
  <c r="AT20" i="24" s="1"/>
  <c r="T22" i="24"/>
  <c r="U22" i="24" s="1"/>
  <c r="V22" i="24" s="1"/>
  <c r="H22" i="24"/>
  <c r="I22" i="24" s="1"/>
  <c r="J22" i="24" s="1"/>
  <c r="AL20" i="24"/>
  <c r="AM20" i="24" s="1"/>
  <c r="AN20" i="24" s="1"/>
  <c r="AL22" i="24"/>
  <c r="AM22" i="24" s="1"/>
  <c r="AN22" i="24" s="1"/>
  <c r="Z16" i="24"/>
  <c r="AA16" i="24" s="1"/>
  <c r="AB16" i="24" s="1"/>
  <c r="H16" i="24"/>
  <c r="I16" i="24" s="1"/>
  <c r="J16" i="24" s="1"/>
  <c r="Z22" i="24"/>
  <c r="AA22" i="24" s="1"/>
  <c r="AB22" i="24" s="1"/>
  <c r="AR16" i="24"/>
  <c r="AS16" i="24" s="1"/>
  <c r="AT16" i="24" s="1"/>
  <c r="AF22" i="24"/>
  <c r="AG22" i="24" s="1"/>
  <c r="AH22" i="24" s="1"/>
  <c r="AL16" i="24"/>
  <c r="AM16" i="24" s="1"/>
  <c r="AN16" i="24" s="1"/>
  <c r="H13" i="24"/>
  <c r="N13" i="24"/>
  <c r="Z13" i="24"/>
  <c r="T13" i="24"/>
  <c r="U13" i="24" s="1"/>
  <c r="V13" i="24" s="1"/>
  <c r="AF13" i="24"/>
  <c r="AL13" i="24"/>
  <c r="AR13" i="24"/>
  <c r="AL13" i="8"/>
  <c r="AM13" i="8" s="1"/>
  <c r="AL19" i="8"/>
  <c r="AM19" i="8" s="1"/>
  <c r="AN19" i="8" s="1"/>
  <c r="AF13" i="8"/>
  <c r="AG13" i="8" s="1"/>
  <c r="Z23" i="8"/>
  <c r="AA23" i="8" s="1"/>
  <c r="Z13" i="8"/>
  <c r="AA13" i="8" s="1"/>
  <c r="AL20" i="8"/>
  <c r="AM20" i="8" s="1"/>
  <c r="AN20" i="8" s="1"/>
  <c r="AL23" i="8"/>
  <c r="AM23" i="8" s="1"/>
  <c r="Z17" i="8"/>
  <c r="AA17" i="8" s="1"/>
  <c r="AB17" i="8" s="1"/>
  <c r="AL21" i="8"/>
  <c r="AM21" i="8" s="1"/>
  <c r="AN21" i="8" s="1"/>
  <c r="AL16" i="8"/>
  <c r="AM16" i="8" s="1"/>
  <c r="AN16" i="8" s="1"/>
  <c r="Z21" i="8"/>
  <c r="AA21" i="8" s="1"/>
  <c r="AB21" i="8" s="1"/>
  <c r="N21" i="8"/>
  <c r="O21" i="8" s="1"/>
  <c r="P21" i="8" s="1"/>
  <c r="T16" i="8"/>
  <c r="U16" i="8" s="1"/>
  <c r="V16" i="8" s="1"/>
  <c r="R45" i="8"/>
  <c r="B12" i="8"/>
  <c r="N12" i="8" s="1"/>
  <c r="O12" i="8" s="1"/>
  <c r="N15" i="8"/>
  <c r="O15" i="8" s="1"/>
  <c r="P15" i="8" s="1"/>
  <c r="Z15" i="8"/>
  <c r="AA15" i="8" s="1"/>
  <c r="AB15" i="8" s="1"/>
  <c r="AL15" i="8"/>
  <c r="AM15" i="8" s="1"/>
  <c r="AN15" i="8" s="1"/>
  <c r="AF15" i="8"/>
  <c r="AG15" i="8" s="1"/>
  <c r="AH15" i="8" s="1"/>
  <c r="U15" i="8"/>
  <c r="V15" i="8" s="1"/>
  <c r="R24" i="22"/>
  <c r="S12" i="22"/>
  <c r="S24" i="22" s="1"/>
  <c r="AE24" i="22"/>
  <c r="AD24" i="22"/>
  <c r="Y12" i="22"/>
  <c r="Y24" i="22" s="1"/>
  <c r="X24" i="22"/>
  <c r="L24" i="22"/>
  <c r="Q31" i="22"/>
  <c r="N31" i="22"/>
  <c r="C65" i="20"/>
  <c r="M24" i="22"/>
  <c r="Z12" i="22"/>
  <c r="AF12" i="22"/>
  <c r="B24" i="22"/>
  <c r="C29" i="22" s="1"/>
  <c r="T12" i="22"/>
  <c r="R39" i="23"/>
  <c r="R44" i="23" s="1"/>
  <c r="B12" i="23"/>
  <c r="G24" i="22"/>
  <c r="B14" i="8" l="1"/>
  <c r="R46" i="8"/>
  <c r="C8" i="4"/>
  <c r="AF12" i="24"/>
  <c r="AG12" i="24" s="1"/>
  <c r="AH12" i="24" s="1"/>
  <c r="AR12" i="24"/>
  <c r="AS12" i="24" s="1"/>
  <c r="AT12" i="24" s="1"/>
  <c r="N12" i="24"/>
  <c r="O12" i="24" s="1"/>
  <c r="P12" i="24" s="1"/>
  <c r="B42" i="16"/>
  <c r="D42" i="16" s="1"/>
  <c r="B41" i="16"/>
  <c r="D41" i="16" s="1"/>
  <c r="P24" i="25"/>
  <c r="C15" i="4"/>
  <c r="T31" i="22"/>
  <c r="B23" i="29"/>
  <c r="C28" i="29" s="1"/>
  <c r="B73" i="20" s="1"/>
  <c r="L73" i="20" s="1"/>
  <c r="M73" i="20" s="1"/>
  <c r="D56" i="20" s="1"/>
  <c r="F56" i="20" s="1"/>
  <c r="F57" i="20" s="1"/>
  <c r="F58" i="20" s="1"/>
  <c r="B77" i="4" s="1"/>
  <c r="H11" i="29"/>
  <c r="I11" i="29" s="1"/>
  <c r="J11" i="29" s="1"/>
  <c r="I23" i="28"/>
  <c r="V30" i="28"/>
  <c r="B40" i="16"/>
  <c r="D40" i="16" s="1"/>
  <c r="J24" i="25"/>
  <c r="F106" i="1"/>
  <c r="B38" i="16"/>
  <c r="D38" i="16" s="1"/>
  <c r="H15" i="24"/>
  <c r="I15" i="24" s="1"/>
  <c r="J15" i="24" s="1"/>
  <c r="N15" i="24"/>
  <c r="O15" i="24" s="1"/>
  <c r="P15" i="24" s="1"/>
  <c r="B24" i="24"/>
  <c r="C29" i="24" s="1"/>
  <c r="G29" i="24" s="1"/>
  <c r="G32" i="24" s="1"/>
  <c r="AL15" i="24"/>
  <c r="AM15" i="24" s="1"/>
  <c r="AN15" i="24" s="1"/>
  <c r="AN24" i="24" s="1"/>
  <c r="AF15" i="24"/>
  <c r="AG15" i="24" s="1"/>
  <c r="AH15" i="24" s="1"/>
  <c r="T15" i="24"/>
  <c r="U15" i="24" s="1"/>
  <c r="V15" i="24" s="1"/>
  <c r="AR15" i="24"/>
  <c r="AS15" i="24" s="1"/>
  <c r="AT15" i="24" s="1"/>
  <c r="Z15" i="24"/>
  <c r="AA15" i="24" s="1"/>
  <c r="AB15" i="24" s="1"/>
  <c r="AB24" i="24" s="1"/>
  <c r="R45" i="24"/>
  <c r="H12" i="24"/>
  <c r="I12" i="24" s="1"/>
  <c r="J12" i="24" s="1"/>
  <c r="R46" i="24"/>
  <c r="T12" i="24"/>
  <c r="Z12" i="24"/>
  <c r="AA12" i="24" s="1"/>
  <c r="U12" i="24"/>
  <c r="B36" i="16"/>
  <c r="D36" i="16" s="1"/>
  <c r="F104" i="1"/>
  <c r="B13" i="23"/>
  <c r="H13" i="23" s="1"/>
  <c r="I13" i="23" s="1"/>
  <c r="J13" i="23" s="1"/>
  <c r="R45" i="23"/>
  <c r="H24" i="22"/>
  <c r="J24" i="22"/>
  <c r="P24" i="22"/>
  <c r="AB24" i="22"/>
  <c r="R44" i="29"/>
  <c r="R45" i="29"/>
  <c r="N28" i="28"/>
  <c r="O28" i="28" s="1"/>
  <c r="G28" i="28"/>
  <c r="G31" i="28" s="1"/>
  <c r="K31" i="28" s="1"/>
  <c r="B72" i="20"/>
  <c r="L72" i="20" s="1"/>
  <c r="M72" i="20" s="1"/>
  <c r="D49" i="20" s="1"/>
  <c r="F49" i="20" s="1"/>
  <c r="F50" i="20" s="1"/>
  <c r="F52" i="20" s="1"/>
  <c r="B76" i="4" s="1"/>
  <c r="B11" i="16"/>
  <c r="H45" i="27"/>
  <c r="R44" i="27"/>
  <c r="O24" i="25"/>
  <c r="N24" i="25"/>
  <c r="N29" i="25"/>
  <c r="N32" i="25" s="1"/>
  <c r="B9" i="16"/>
  <c r="B69" i="20"/>
  <c r="Q29" i="25"/>
  <c r="Q32" i="25" s="1"/>
  <c r="G29" i="25"/>
  <c r="T24" i="25"/>
  <c r="U12" i="25"/>
  <c r="U24" i="25" s="1"/>
  <c r="H24" i="25"/>
  <c r="I24" i="25"/>
  <c r="B12" i="26"/>
  <c r="H12" i="26" s="1"/>
  <c r="I12" i="26" s="1"/>
  <c r="R45" i="26"/>
  <c r="O13" i="24"/>
  <c r="I13" i="24"/>
  <c r="AS13" i="24"/>
  <c r="AM13" i="24"/>
  <c r="AG13" i="24"/>
  <c r="AA13" i="24"/>
  <c r="AL12" i="8"/>
  <c r="B24" i="8"/>
  <c r="C29" i="8" s="1"/>
  <c r="Z12" i="8"/>
  <c r="T12" i="8"/>
  <c r="AF12" i="8"/>
  <c r="I24" i="22"/>
  <c r="H31" i="22"/>
  <c r="B115" i="1"/>
  <c r="D115" i="1" s="1"/>
  <c r="F115" i="1" s="1"/>
  <c r="H115" i="1" s="1"/>
  <c r="H119" i="1" s="1"/>
  <c r="H120" i="1" s="1"/>
  <c r="Z24" i="22"/>
  <c r="AA12" i="22"/>
  <c r="AA24" i="22" s="1"/>
  <c r="N24" i="22"/>
  <c r="O24" i="22"/>
  <c r="N29" i="22"/>
  <c r="N32" i="22" s="1"/>
  <c r="G29" i="22"/>
  <c r="B65" i="20"/>
  <c r="L65" i="20" s="1"/>
  <c r="B4" i="16"/>
  <c r="Q29" i="22"/>
  <c r="Q32" i="22" s="1"/>
  <c r="U12" i="22"/>
  <c r="T24" i="22"/>
  <c r="AF24" i="22"/>
  <c r="AG12" i="22"/>
  <c r="H12" i="23"/>
  <c r="N14" i="8" l="1"/>
  <c r="O14" i="8" s="1"/>
  <c r="P14" i="8" s="1"/>
  <c r="P24" i="8" s="1"/>
  <c r="AL14" i="8"/>
  <c r="AM14" i="8" s="1"/>
  <c r="AN14" i="8" s="1"/>
  <c r="AN24" i="8" s="1"/>
  <c r="Z14" i="8"/>
  <c r="AA14" i="8" s="1"/>
  <c r="AB14" i="8" s="1"/>
  <c r="AB24" i="8" s="1"/>
  <c r="AF14" i="8"/>
  <c r="AG14" i="8" s="1"/>
  <c r="AH14" i="8" s="1"/>
  <c r="AH24" i="8" s="1"/>
  <c r="T14" i="8"/>
  <c r="U14" i="8" s="1"/>
  <c r="V14" i="8" s="1"/>
  <c r="V24" i="8" s="1"/>
  <c r="H23" i="29"/>
  <c r="B12" i="16"/>
  <c r="I32" i="25"/>
  <c r="AF24" i="24"/>
  <c r="B67" i="20"/>
  <c r="L67" i="20" s="1"/>
  <c r="T24" i="24"/>
  <c r="U24" i="24"/>
  <c r="AR24" i="24"/>
  <c r="AM24" i="24"/>
  <c r="M28" i="29"/>
  <c r="N28" i="29" s="1"/>
  <c r="N31" i="29" s="1"/>
  <c r="H24" i="24"/>
  <c r="N24" i="24"/>
  <c r="Z24" i="24"/>
  <c r="AA24" i="24"/>
  <c r="N29" i="24"/>
  <c r="N32" i="24" s="1"/>
  <c r="Q29" i="24"/>
  <c r="Q32" i="24" s="1"/>
  <c r="B6" i="16"/>
  <c r="AL24" i="24"/>
  <c r="V12" i="24"/>
  <c r="V24" i="24" s="1"/>
  <c r="B24" i="23"/>
  <c r="C28" i="23" s="1"/>
  <c r="B66" i="20" s="1"/>
  <c r="J23" i="29"/>
  <c r="I23" i="29"/>
  <c r="N31" i="28"/>
  <c r="T28" i="28"/>
  <c r="T31" i="28" s="1"/>
  <c r="G43" i="4" s="1"/>
  <c r="K28" i="28"/>
  <c r="U28" i="28" s="1"/>
  <c r="U31" i="28" s="1"/>
  <c r="H43" i="4" s="1"/>
  <c r="O31" i="28"/>
  <c r="B14" i="27"/>
  <c r="R45" i="27"/>
  <c r="G32" i="25"/>
  <c r="T29" i="25"/>
  <c r="H29" i="25"/>
  <c r="H32" i="25" s="1"/>
  <c r="L69" i="20"/>
  <c r="B24" i="26"/>
  <c r="C28" i="26" s="1"/>
  <c r="AH13" i="24"/>
  <c r="AH24" i="24" s="1"/>
  <c r="AG24" i="24"/>
  <c r="J13" i="24"/>
  <c r="J24" i="24" s="1"/>
  <c r="I24" i="24"/>
  <c r="P13" i="24"/>
  <c r="P24" i="24" s="1"/>
  <c r="O24" i="24"/>
  <c r="AT13" i="24"/>
  <c r="AT24" i="24" s="1"/>
  <c r="AS24" i="24"/>
  <c r="AG12" i="8"/>
  <c r="AG24" i="8" s="1"/>
  <c r="U12" i="8"/>
  <c r="U24" i="8" s="1"/>
  <c r="Z24" i="8"/>
  <c r="AA12" i="8"/>
  <c r="AA24" i="8" s="1"/>
  <c r="O24" i="8"/>
  <c r="N24" i="8"/>
  <c r="B68" i="20"/>
  <c r="B7" i="16"/>
  <c r="N29" i="8"/>
  <c r="N32" i="8" s="1"/>
  <c r="Q29" i="8"/>
  <c r="Q32" i="8" s="1"/>
  <c r="AL24" i="8"/>
  <c r="AM12" i="8"/>
  <c r="AM24" i="8" s="1"/>
  <c r="H126" i="1"/>
  <c r="B35" i="16"/>
  <c r="D35" i="16" s="1"/>
  <c r="F103" i="1"/>
  <c r="H29" i="22"/>
  <c r="H32" i="22" s="1"/>
  <c r="U24" i="22"/>
  <c r="V12" i="22"/>
  <c r="V24" i="22" s="1"/>
  <c r="AH12" i="22"/>
  <c r="AH24" i="22" s="1"/>
  <c r="AG24" i="22"/>
  <c r="T32" i="22"/>
  <c r="G29" i="4" s="1"/>
  <c r="G32" i="22"/>
  <c r="H24" i="23"/>
  <c r="H28" i="23" s="1"/>
  <c r="H31" i="23" s="1"/>
  <c r="I12" i="23"/>
  <c r="I32" i="8" l="1"/>
  <c r="T24" i="8"/>
  <c r="AF24" i="8"/>
  <c r="H29" i="8" s="1"/>
  <c r="J32" i="25"/>
  <c r="O29" i="25" s="1"/>
  <c r="H29" i="24"/>
  <c r="H32" i="24" s="1"/>
  <c r="M31" i="29"/>
  <c r="T28" i="29"/>
  <c r="T31" i="29" s="1"/>
  <c r="G46" i="4" s="1"/>
  <c r="B46" i="4" s="1"/>
  <c r="K46" i="4" s="1"/>
  <c r="D64" i="4" s="1"/>
  <c r="D66" i="4" s="1"/>
  <c r="T29" i="24"/>
  <c r="T32" i="24" s="1"/>
  <c r="G31" i="4" s="1"/>
  <c r="N28" i="23"/>
  <c r="N31" i="23" s="1"/>
  <c r="G28" i="23"/>
  <c r="Q28" i="23"/>
  <c r="Q31" i="23" s="1"/>
  <c r="B5" i="16"/>
  <c r="V28" i="28"/>
  <c r="V31" i="28" s="1"/>
  <c r="W31" i="28" s="1"/>
  <c r="H14" i="27"/>
  <c r="B24" i="27"/>
  <c r="C28" i="27" s="1"/>
  <c r="K31" i="25"/>
  <c r="T32" i="25"/>
  <c r="G38" i="4" s="1"/>
  <c r="K29" i="25"/>
  <c r="N28" i="26"/>
  <c r="N31" i="26" s="1"/>
  <c r="G28" i="26"/>
  <c r="B70" i="20"/>
  <c r="B8" i="16"/>
  <c r="Q28" i="26"/>
  <c r="Q31" i="26" s="1"/>
  <c r="I24" i="26"/>
  <c r="H24" i="26"/>
  <c r="H28" i="26" s="1"/>
  <c r="H31" i="26" s="1"/>
  <c r="J31" i="26" s="1"/>
  <c r="I32" i="24"/>
  <c r="H32" i="8"/>
  <c r="K29" i="8" s="1"/>
  <c r="L68" i="20"/>
  <c r="T29" i="8"/>
  <c r="G32" i="8"/>
  <c r="I32" i="22"/>
  <c r="J32" i="22" s="1"/>
  <c r="I24" i="23"/>
  <c r="J12" i="23"/>
  <c r="J24" i="23" s="1"/>
  <c r="I31" i="23" s="1"/>
  <c r="J31" i="23" s="1"/>
  <c r="G31" i="23"/>
  <c r="L66" i="20"/>
  <c r="H66" i="20"/>
  <c r="T28" i="23" l="1"/>
  <c r="T31" i="23" s="1"/>
  <c r="G30" i="4" s="1"/>
  <c r="G69" i="20"/>
  <c r="H69" i="20" s="1"/>
  <c r="M69" i="20" s="1"/>
  <c r="D32" i="20" s="1"/>
  <c r="F32" i="20" s="1"/>
  <c r="F33" i="20" s="1"/>
  <c r="O31" i="25"/>
  <c r="O32" i="25" s="1"/>
  <c r="K32" i="25"/>
  <c r="J32" i="24"/>
  <c r="K32" i="24" s="1"/>
  <c r="V28" i="29"/>
  <c r="V31" i="29" s="1"/>
  <c r="X31" i="29" s="1"/>
  <c r="U31" i="25"/>
  <c r="V31" i="25" s="1"/>
  <c r="I43" i="4"/>
  <c r="B43" i="4" s="1"/>
  <c r="K43" i="4" s="1"/>
  <c r="X31" i="28"/>
  <c r="R28" i="27"/>
  <c r="R31" i="27" s="1"/>
  <c r="B10" i="16"/>
  <c r="B71" i="20"/>
  <c r="L71" i="20" s="1"/>
  <c r="P28" i="27"/>
  <c r="P31" i="27" s="1"/>
  <c r="G28" i="27"/>
  <c r="M28" i="27"/>
  <c r="M31" i="27" s="1"/>
  <c r="I14" i="27"/>
  <c r="H24" i="27"/>
  <c r="H28" i="27" s="1"/>
  <c r="H31" i="27" s="1"/>
  <c r="U29" i="25"/>
  <c r="K30" i="26"/>
  <c r="O28" i="26"/>
  <c r="G70" i="20"/>
  <c r="H70" i="20" s="1"/>
  <c r="O30" i="26"/>
  <c r="K28" i="26"/>
  <c r="T28" i="26"/>
  <c r="G31" i="26"/>
  <c r="K31" i="26" s="1"/>
  <c r="L70" i="20"/>
  <c r="K31" i="8"/>
  <c r="K32" i="8"/>
  <c r="O29" i="8"/>
  <c r="U29" i="8" s="1"/>
  <c r="V29" i="8" s="1"/>
  <c r="G68" i="20"/>
  <c r="H68" i="20" s="1"/>
  <c r="M68" i="20" s="1"/>
  <c r="D25" i="20" s="1"/>
  <c r="F25" i="20" s="1"/>
  <c r="F26" i="20" s="1"/>
  <c r="O31" i="8"/>
  <c r="T32" i="8"/>
  <c r="G32" i="4" s="1"/>
  <c r="K31" i="22"/>
  <c r="O29" i="22"/>
  <c r="O31" i="22"/>
  <c r="G65" i="20"/>
  <c r="H65" i="20" s="1"/>
  <c r="M65" i="20" s="1"/>
  <c r="D10" i="20" s="1"/>
  <c r="F10" i="20" s="1"/>
  <c r="F11" i="20" s="1"/>
  <c r="K29" i="22"/>
  <c r="K32" i="22"/>
  <c r="M66" i="20"/>
  <c r="D15" i="20" s="1"/>
  <c r="F15" i="20" s="1"/>
  <c r="F16" i="20" s="1"/>
  <c r="K31" i="23"/>
  <c r="K30" i="23"/>
  <c r="O30" i="23"/>
  <c r="O28" i="23"/>
  <c r="K28" i="23"/>
  <c r="O31" i="24" l="1"/>
  <c r="K29" i="24"/>
  <c r="K31" i="24"/>
  <c r="G67" i="20"/>
  <c r="H67" i="20" s="1"/>
  <c r="M67" i="20" s="1"/>
  <c r="D20" i="20" s="1"/>
  <c r="F20" i="20" s="1"/>
  <c r="F21" i="20" s="1"/>
  <c r="F28" i="20" s="1"/>
  <c r="B74" i="4" s="1"/>
  <c r="O29" i="24"/>
  <c r="U30" i="26"/>
  <c r="V30" i="26" s="1"/>
  <c r="J14" i="27"/>
  <c r="J24" i="27" s="1"/>
  <c r="I31" i="27" s="1"/>
  <c r="J31" i="27" s="1"/>
  <c r="I24" i="27"/>
  <c r="W28" i="27"/>
  <c r="G31" i="27"/>
  <c r="U32" i="25"/>
  <c r="H38" i="4" s="1"/>
  <c r="V29" i="25"/>
  <c r="V32" i="25" s="1"/>
  <c r="W32" i="25" s="1"/>
  <c r="T31" i="26"/>
  <c r="G37" i="4" s="1"/>
  <c r="M70" i="20"/>
  <c r="D37" i="20" s="1"/>
  <c r="F37" i="20" s="1"/>
  <c r="F38" i="20" s="1"/>
  <c r="U28" i="26"/>
  <c r="O31" i="26"/>
  <c r="O32" i="8"/>
  <c r="U31" i="8"/>
  <c r="V31" i="8" s="1"/>
  <c r="V32" i="8" s="1"/>
  <c r="W32" i="8" s="1"/>
  <c r="X32" i="8" s="1"/>
  <c r="O32" i="22"/>
  <c r="U29" i="22"/>
  <c r="U31" i="22"/>
  <c r="V31" i="22" s="1"/>
  <c r="U30" i="23"/>
  <c r="V30" i="23" s="1"/>
  <c r="G33" i="4"/>
  <c r="U28" i="23"/>
  <c r="O31" i="23"/>
  <c r="U29" i="24" l="1"/>
  <c r="V29" i="24" s="1"/>
  <c r="U31" i="24"/>
  <c r="V31" i="24" s="1"/>
  <c r="O32" i="24"/>
  <c r="U31" i="26"/>
  <c r="H37" i="4" s="1"/>
  <c r="U32" i="8"/>
  <c r="H32" i="4" s="1"/>
  <c r="N28" i="27"/>
  <c r="G71" i="20"/>
  <c r="H71" i="20" s="1"/>
  <c r="M71" i="20" s="1"/>
  <c r="D42" i="20" s="1"/>
  <c r="F42" i="20" s="1"/>
  <c r="F43" i="20" s="1"/>
  <c r="F45" i="20" s="1"/>
  <c r="N30" i="27"/>
  <c r="K30" i="27"/>
  <c r="K28" i="27"/>
  <c r="K31" i="27"/>
  <c r="W31" i="27"/>
  <c r="G39" i="4" s="1"/>
  <c r="G40" i="4" s="1"/>
  <c r="X32" i="25"/>
  <c r="I38" i="4"/>
  <c r="B38" i="4" s="1"/>
  <c r="V28" i="26"/>
  <c r="V31" i="26" s="1"/>
  <c r="W31" i="26" s="1"/>
  <c r="I32" i="4"/>
  <c r="V29" i="22"/>
  <c r="V32" i="22" s="1"/>
  <c r="W32" i="22" s="1"/>
  <c r="U32" i="22"/>
  <c r="H29" i="4" s="1"/>
  <c r="U31" i="23"/>
  <c r="H30" i="4" s="1"/>
  <c r="V28" i="23"/>
  <c r="V31" i="23" s="1"/>
  <c r="W31" i="23" s="1"/>
  <c r="U32" i="24" l="1"/>
  <c r="H31" i="4" s="1"/>
  <c r="H33" i="4" s="1"/>
  <c r="V32" i="24"/>
  <c r="W32" i="24" s="1"/>
  <c r="I31" i="4" s="1"/>
  <c r="B32" i="4"/>
  <c r="X30" i="27"/>
  <c r="Y30" i="27" s="1"/>
  <c r="N31" i="27"/>
  <c r="X28" i="27"/>
  <c r="I37" i="4"/>
  <c r="X31" i="26"/>
  <c r="I29" i="4"/>
  <c r="B29" i="4" s="1"/>
  <c r="X32" i="22"/>
  <c r="I30" i="4"/>
  <c r="X31" i="23"/>
  <c r="B31" i="4" l="1"/>
  <c r="X32" i="24"/>
  <c r="I33" i="4"/>
  <c r="B33" i="4" s="1"/>
  <c r="K33" i="4" s="1"/>
  <c r="B64" i="4" s="1"/>
  <c r="B66" i="4" s="1"/>
  <c r="X31" i="27"/>
  <c r="H39" i="4" s="1"/>
  <c r="H40" i="4" s="1"/>
  <c r="Y28" i="27"/>
  <c r="Y31" i="27" s="1"/>
  <c r="Z31" i="27" s="1"/>
  <c r="B37" i="4"/>
  <c r="B30" i="4"/>
  <c r="I39" i="4" l="1"/>
  <c r="AA31" i="27"/>
  <c r="B39" i="4" l="1"/>
  <c r="I40" i="4"/>
  <c r="B40" i="4" s="1"/>
  <c r="K40" i="4" s="1"/>
  <c r="C64" i="4" s="1"/>
  <c r="C6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Harms</author>
  </authors>
  <commentList>
    <comment ref="D6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=((Upper Gila wells) - (Hot Springs Geothermal well))/2</t>
        </r>
      </text>
    </comment>
    <comment ref="C64" authorId="0" shapeId="0" xr:uid="{00000000-0006-0000-0000-000002000000}">
      <text>
        <r>
          <rPr>
            <sz val="8"/>
            <color indexed="81"/>
            <rFont val="Tahoma"/>
            <family val="2"/>
          </rPr>
          <t>= Freeport total diversion + Silver City diversion from Franks Well Field + diversion for Brushy Mountain Radar Station + total from Cliff-Gila well meter report.</t>
        </r>
      </text>
    </comment>
    <comment ref="D64" authorId="0" shapeId="0" xr:uid="{00000000-0006-0000-0000-000003000000}">
      <text>
        <r>
          <rPr>
            <sz val="8"/>
            <color indexed="81"/>
            <rFont val="Tahoma"/>
            <family val="2"/>
          </rPr>
          <t>= ((Brushy Mountain Radar Station + (Cliff-Gila well meter total - GSF51 Brown Fish Pond diversion)) * 0.5) + Silver City diversion from Franks Well Field + (Freeport total consumptive use) + Brown Fish Pond evap.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L11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O11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R11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U11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X11" authorId="0" shapeId="0" xr:uid="{00000000-0006-0000-0300-000007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A11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AD11" authorId="0" shapeId="0" xr:uid="{00000000-0006-0000-0300-000009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G11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L11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O11" authorId="0" shapeId="0" xr:uid="{00000000-0006-0000-0500-000004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R11" authorId="0" shapeId="0" xr:uid="{00000000-0006-0000-0500-000005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U11" authorId="0" shapeId="0" xr:uid="{00000000-0006-0000-0500-000006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X11" authorId="0" shapeId="0" xr:uid="{00000000-0006-0000-0500-000007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A11" authorId="0" shapeId="0" xr:uid="{00000000-0006-0000-0500-000008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AD11" authorId="0" shapeId="0" xr:uid="{00000000-0006-0000-0500-000009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G11" authorId="0" shapeId="0" xr:uid="{00000000-0006-0000-0500-00000A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AJ11" authorId="0" shapeId="0" xr:uid="{00000000-0006-0000-0500-00000B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M11" authorId="0" shapeId="0" xr:uid="{00000000-0006-0000-0500-00000C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AP11" authorId="0" shapeId="0" xr:uid="{00000000-0006-0000-0500-00000D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S11" authorId="0" shapeId="0" xr:uid="{00000000-0006-0000-0500-00000E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  <author>pturney</author>
  </authors>
  <commentList>
    <comment ref="F11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L11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O11" authorId="0" shapeId="0" xr:uid="{00000000-0006-0000-0600-000004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R11" authorId="0" shapeId="0" xr:uid="{00000000-0006-0000-0600-000005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S11" authorId="1" shapeId="0" xr:uid="{00000000-0006-0000-0600-000006000000}">
      <text>
        <r>
          <rPr>
            <b/>
            <sz val="10"/>
            <color indexed="81"/>
            <rFont val="Tahoma"/>
            <family val="2"/>
          </rPr>
          <t>pturney:</t>
        </r>
        <r>
          <rPr>
            <sz val="10"/>
            <color indexed="81"/>
            <rFont val="Tahoma"/>
            <family val="2"/>
          </rPr>
          <t xml:space="preserve">
=value in left adjacent column / e</t>
        </r>
      </text>
    </comment>
    <comment ref="U11" authorId="0" shapeId="0" xr:uid="{00000000-0006-0000-0600-000007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X11" authorId="0" shapeId="0" xr:uid="{00000000-0006-0000-0600-000008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A11" authorId="0" shapeId="0" xr:uid="{00000000-0006-0000-0600-000009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AD11" authorId="0" shapeId="0" xr:uid="{00000000-0006-0000-0600-00000A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G11" authorId="0" shapeId="0" xr:uid="{00000000-0006-0000-0600-00000B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AJ11" authorId="0" shapeId="0" xr:uid="{00000000-0006-0000-0600-00000C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M11" authorId="0" shapeId="0" xr:uid="{00000000-0006-0000-0600-00000D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1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1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L11" authorId="0" shapeId="0" xr:uid="{00000000-0006-0000-0800-000003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O11" authorId="0" shapeId="0" xr:uid="{00000000-0006-0000-0800-000004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R11" authorId="0" shapeId="0" xr:uid="{00000000-0006-0000-0800-000005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U11" authorId="0" shapeId="0" xr:uid="{00000000-0006-0000-0800-000006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1" authorId="0" shapeId="0" xr:uid="{00000000-0006-0000-09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9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0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0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  <author>Paul Harms</author>
  </authors>
  <commentList>
    <comment ref="F10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0" authorId="1" shapeId="0" xr:uid="{00000000-0006-0000-0B00-000002000000}">
      <text>
        <r>
          <rPr>
            <sz val="8"/>
            <color indexed="81"/>
            <rFont val="Tahoma"/>
            <family val="2"/>
          </rPr>
          <t>mmagnuso:
Total includes crop CU and reservoir CU</t>
        </r>
      </text>
    </comment>
  </commentList>
</comments>
</file>

<file path=xl/sharedStrings.xml><?xml version="1.0" encoding="utf-8"?>
<sst xmlns="http://schemas.openxmlformats.org/spreadsheetml/2006/main" count="1550" uniqueCount="415">
  <si>
    <t>CU Demand/Full Supply</t>
  </si>
  <si>
    <t>Total CU Demand/Full Supply</t>
  </si>
  <si>
    <t>Diversion Required for CU *</t>
  </si>
  <si>
    <t>Diversion Shortage to CU *</t>
  </si>
  <si>
    <t>Total  Shortage to CU Demand</t>
  </si>
  <si>
    <t xml:space="preserve">            W S Ditch (GSF39 supplement)</t>
  </si>
  <si>
    <t>CIR (ft)</t>
  </si>
  <si>
    <t>CIR (in)</t>
  </si>
  <si>
    <t>CIR full season (ft)</t>
  </si>
  <si>
    <t>CIR Jul-Nov (ft)</t>
  </si>
  <si>
    <t>inches DISTRIBUTED USING MODIFIED BLANEY-CRIDDLE MONTHLY DISTRIBUTION RATIOS</t>
  </si>
  <si>
    <t>0.30</t>
  </si>
  <si>
    <t>Total Evap</t>
  </si>
  <si>
    <t>x.70 (in)</t>
  </si>
  <si>
    <t>Additional Measured Discharge (AF)</t>
  </si>
  <si>
    <t>Total GW measured:</t>
  </si>
  <si>
    <t>Cattle</t>
  </si>
  <si>
    <t>Sheep</t>
  </si>
  <si>
    <t>San Francisco</t>
  </si>
  <si>
    <t>Diverted</t>
  </si>
  <si>
    <t>March</t>
  </si>
  <si>
    <t>February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</si>
  <si>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</si>
  <si>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</si>
  <si>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</si>
  <si>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</si>
  <si>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</si>
  <si>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</si>
  <si>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</si>
  <si>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</si>
  <si>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APACHE - ARAGON</t>
  </si>
  <si>
    <t>Tularosa-Cruzville Ditch</t>
  </si>
  <si>
    <t>GLENWOOD - MULE CREEK</t>
  </si>
  <si>
    <t>East Pleasanton Ditch</t>
  </si>
  <si>
    <t>TOTALS</t>
  </si>
  <si>
    <t>Consumptive Use</t>
  </si>
  <si>
    <t>All Cattle*</t>
  </si>
  <si>
    <t>Catron</t>
  </si>
  <si>
    <t>Grant</t>
  </si>
  <si>
    <t>Hidalgo</t>
  </si>
  <si>
    <t>Gila River Basin</t>
  </si>
  <si>
    <t>Drainage Basin is 53% of Grant County</t>
  </si>
  <si>
    <t>Virden Valley</t>
  </si>
  <si>
    <t>Drainage Basin is 6% of Hidalgo County</t>
  </si>
  <si>
    <t>San Simon</t>
  </si>
  <si>
    <t>Drainage Basin is 7% of Hidalgo County</t>
  </si>
  <si>
    <t>San Francisco River Basin</t>
  </si>
  <si>
    <t>Drainage Basin is 41% of Catron County</t>
  </si>
  <si>
    <t>Reservoir</t>
  </si>
  <si>
    <t>Pan Evap</t>
  </si>
  <si>
    <t>Precip</t>
  </si>
  <si>
    <t>Evap</t>
  </si>
  <si>
    <t xml:space="preserve">  (in)</t>
  </si>
  <si>
    <t>(ft)</t>
  </si>
  <si>
    <t xml:space="preserve">  X</t>
  </si>
  <si>
    <t xml:space="preserve">Area </t>
  </si>
  <si>
    <t>(in)</t>
  </si>
  <si>
    <t>Luna</t>
  </si>
  <si>
    <t>Ap-Aragon</t>
  </si>
  <si>
    <t>Reserve</t>
  </si>
  <si>
    <t>Glenwood</t>
  </si>
  <si>
    <t>Upper Gila</t>
  </si>
  <si>
    <t>Cliff Gila</t>
  </si>
  <si>
    <t>Redrock</t>
  </si>
  <si>
    <t>Virden</t>
  </si>
  <si>
    <t>Apache-Aragon</t>
  </si>
  <si>
    <t>Average</t>
  </si>
  <si>
    <t>Surface</t>
  </si>
  <si>
    <t>area (ac)</t>
  </si>
  <si>
    <t xml:space="preserve">    Evap</t>
  </si>
  <si>
    <t xml:space="preserve">(af)  </t>
  </si>
  <si>
    <t>Total</t>
  </si>
  <si>
    <t>af</t>
  </si>
  <si>
    <t>Evap Rate</t>
  </si>
  <si>
    <t>Weighted</t>
  </si>
  <si>
    <t>Area (ac)</t>
  </si>
  <si>
    <t>0.8 (in)</t>
  </si>
  <si>
    <t>(af)</t>
  </si>
  <si>
    <t>Area</t>
  </si>
  <si>
    <t>Groundwater Diversions:</t>
  </si>
  <si>
    <t>GSF-1146:</t>
  </si>
  <si>
    <t>GSF-2443:</t>
  </si>
  <si>
    <t>GSF-19:</t>
  </si>
  <si>
    <t>REDROCK</t>
  </si>
  <si>
    <t>VIRDEN VALLEY</t>
  </si>
  <si>
    <t>SAN SIMON</t>
  </si>
  <si>
    <t>MONTH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</si>
  <si>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</si>
  <si>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</si>
  <si>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</si>
  <si>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</si>
  <si>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</si>
  <si>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</si>
  <si>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</si>
  <si>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</si>
  <si>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</si>
  <si>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</si>
  <si>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</si>
  <si>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Ratio to Annual Total</t>
  </si>
  <si>
    <t>Parsons Ditch</t>
  </si>
  <si>
    <t>SAN FRANCISCO RIVER</t>
  </si>
  <si>
    <t xml:space="preserve">     Luna</t>
  </si>
  <si>
    <t xml:space="preserve">     Apache-Aragon</t>
  </si>
  <si>
    <t xml:space="preserve">     Reserve</t>
  </si>
  <si>
    <t xml:space="preserve">     Glenwood-Mule Creek</t>
  </si>
  <si>
    <t xml:space="preserve">        TOTAL</t>
  </si>
  <si>
    <t>GILA RIVER exclusive</t>
  </si>
  <si>
    <t>of Virden Valley</t>
  </si>
  <si>
    <t xml:space="preserve">     Upper Gila</t>
  </si>
  <si>
    <t xml:space="preserve">     Cliff-Gila</t>
  </si>
  <si>
    <t xml:space="preserve">     Redrock</t>
  </si>
  <si>
    <t>GILA RIVER</t>
  </si>
  <si>
    <t xml:space="preserve">    Virden Valley</t>
  </si>
  <si>
    <t xml:space="preserve">    San Simon</t>
  </si>
  <si>
    <t>Shortage to Full Supply</t>
  </si>
  <si>
    <t xml:space="preserve">Mangas Spgs   </t>
  </si>
  <si>
    <t xml:space="preserve">Sacaton Cr </t>
  </si>
  <si>
    <t>Metered</t>
  </si>
  <si>
    <t xml:space="preserve">Non-Metered </t>
  </si>
  <si>
    <t>Total Acres</t>
  </si>
  <si>
    <t>Incidental Losses</t>
  </si>
  <si>
    <t xml:space="preserve"> * Shortage based on measured surface water diversions; no groundwater supplement</t>
  </si>
  <si>
    <t>Stock Tank Evaporation</t>
  </si>
  <si>
    <t>Irrigated Land Acres</t>
  </si>
  <si>
    <t>Crop Use Full Supply</t>
  </si>
  <si>
    <t>Incidental Use</t>
  </si>
  <si>
    <t>Year</t>
  </si>
  <si>
    <t>Gila - exclusive of Virden Valley</t>
  </si>
  <si>
    <t>Stream System</t>
  </si>
  <si>
    <t xml:space="preserve">     Virden Valley</t>
  </si>
  <si>
    <t xml:space="preserve">     San Simon</t>
  </si>
  <si>
    <t>Hildalgo County Total</t>
  </si>
  <si>
    <t>Gila River</t>
  </si>
  <si>
    <t>Catron County Total</t>
  </si>
  <si>
    <t>San Francisco River</t>
  </si>
  <si>
    <t>Total No. of Adjudicated Tanks</t>
  </si>
  <si>
    <t>Units:  Acre-Feet</t>
  </si>
  <si>
    <t>Measured</t>
  </si>
  <si>
    <t>Estimated</t>
  </si>
  <si>
    <t>Dom &amp; Mun</t>
  </si>
  <si>
    <t>Measuring</t>
  </si>
  <si>
    <t>Irrigation</t>
  </si>
  <si>
    <t>Com &amp; Inds</t>
  </si>
  <si>
    <t>Device</t>
  </si>
  <si>
    <t>Diversions</t>
  </si>
  <si>
    <t>Digital</t>
  </si>
  <si>
    <t>Totalizer</t>
  </si>
  <si>
    <t>Total San Francisco Basin</t>
  </si>
  <si>
    <t>Cliff – Gila</t>
  </si>
  <si>
    <t>Total Gila Basin</t>
  </si>
  <si>
    <t>Total Virden Valley</t>
  </si>
  <si>
    <t>Total San Simon</t>
  </si>
  <si>
    <t>Gila - Virden Valley</t>
  </si>
  <si>
    <t>Stock</t>
  </si>
  <si>
    <t>Reserve area</t>
  </si>
  <si>
    <t>Glenwood area</t>
  </si>
  <si>
    <t>Redrock area</t>
  </si>
  <si>
    <t>San Simon area</t>
  </si>
  <si>
    <t>Virden Valley area</t>
  </si>
  <si>
    <t>Luna area</t>
  </si>
  <si>
    <t>Apache Creek–Aragon area</t>
  </si>
  <si>
    <t xml:space="preserve">  of Virden Valley</t>
  </si>
  <si>
    <t>Within National Forest</t>
  </si>
  <si>
    <t>Grant County Total</t>
  </si>
  <si>
    <t xml:space="preserve"> "e" = efficiency diversion to consumptive use =</t>
  </si>
  <si>
    <t>"e" = efficiency  diversion to consumptive use=</t>
  </si>
  <si>
    <r>
      <t>Farm efficiency (40%)</t>
    </r>
    <r>
      <rPr>
        <vertAlign val="superscript"/>
        <sz val="12"/>
        <rFont val="Arial"/>
        <family val="2"/>
      </rPr>
      <t>a</t>
    </r>
    <r>
      <rPr>
        <sz val="12"/>
        <rFont val="Arial"/>
        <family val="2"/>
      </rPr>
      <t xml:space="preserve"> multiplied by canal efficiency (75%)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= 30%</t>
    </r>
  </si>
  <si>
    <r>
      <t>Farm efficiency (58.8%)</t>
    </r>
    <r>
      <rPr>
        <vertAlign val="superscript"/>
        <sz val="12"/>
        <rFont val="Arial"/>
        <family val="2"/>
      </rPr>
      <t>a</t>
    </r>
    <r>
      <rPr>
        <sz val="12"/>
        <rFont val="Arial"/>
        <family val="2"/>
      </rPr>
      <t xml:space="preserve"> multiplied by canal efficiency (75%)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= 44.1%</t>
    </r>
  </si>
  <si>
    <r>
      <t>Farm efficiency (55%)</t>
    </r>
    <r>
      <rPr>
        <vertAlign val="superscript"/>
        <sz val="12"/>
        <rFont val="Arial"/>
        <family val="2"/>
      </rPr>
      <t>a</t>
    </r>
    <r>
      <rPr>
        <sz val="12"/>
        <rFont val="Arial"/>
        <family val="2"/>
      </rPr>
      <t xml:space="preserve"> multiplied by canal efficiency (75%)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= 41%</t>
    </r>
  </si>
  <si>
    <r>
      <t>Farm efficiency (45%)</t>
    </r>
    <r>
      <rPr>
        <vertAlign val="superscript"/>
        <sz val="12"/>
        <rFont val="Arial"/>
        <family val="2"/>
      </rPr>
      <t>a</t>
    </r>
    <r>
      <rPr>
        <sz val="12"/>
        <rFont val="Arial"/>
        <family val="2"/>
      </rPr>
      <t xml:space="preserve"> multiplied by canal efficiency (75%)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= 33.8%  (Upper Gila, except Bear Creek)</t>
    </r>
  </si>
  <si>
    <r>
      <t>Farm efficiency (50%)</t>
    </r>
    <r>
      <rPr>
        <vertAlign val="superscript"/>
        <sz val="12"/>
        <rFont val="Arial"/>
        <family val="2"/>
      </rPr>
      <t>a</t>
    </r>
    <r>
      <rPr>
        <sz val="12"/>
        <rFont val="Arial"/>
        <family val="2"/>
      </rPr>
      <t xml:space="preserve"> multiplied by canal efficiency (75%)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= 37.5%</t>
    </r>
  </si>
  <si>
    <t>GSF-51S</t>
  </si>
  <si>
    <t>SS-25</t>
  </si>
  <si>
    <t>SS-2</t>
  </si>
  <si>
    <t>Diversions *</t>
  </si>
  <si>
    <t>January</t>
  </si>
  <si>
    <t>Discontinued Gage</t>
  </si>
  <si>
    <t>Sheep**</t>
  </si>
  <si>
    <t>Lake Roberts *</t>
  </si>
  <si>
    <t>Wall &amp; Snow  **</t>
  </si>
  <si>
    <t xml:space="preserve">Acres Irrigated </t>
  </si>
  <si>
    <r>
      <t xml:space="preserve">Farm efficiency 55%; </t>
    </r>
    <r>
      <rPr>
        <u/>
        <sz val="12"/>
        <rFont val="Arial"/>
        <family val="2"/>
      </rPr>
      <t xml:space="preserve">Water Use by Categories in New Mexico Counties and River Basins, and Irrigated Acreage in 1995, </t>
    </r>
    <r>
      <rPr>
        <sz val="12"/>
        <rFont val="Arial"/>
        <family val="2"/>
      </rPr>
      <t>Brian Wilson</t>
    </r>
  </si>
  <si>
    <t>AREA</t>
  </si>
  <si>
    <t>Cliff-Gila</t>
  </si>
  <si>
    <t>Fractional Shortage to CU</t>
  </si>
  <si>
    <t>reservoir  acres</t>
  </si>
  <si>
    <t>Crop Acres Diversion required for CU</t>
  </si>
  <si>
    <t>Total Short to CU</t>
  </si>
  <si>
    <t>Metered Diversions  -- Crop Acres and Reservoir Acres</t>
  </si>
  <si>
    <t>Total Diversion required for CU</t>
  </si>
  <si>
    <t xml:space="preserve">Precipitation (ft) </t>
  </si>
  <si>
    <t>ORIGINAL BLANEY-CRIDDLE ANNUAL WCIR</t>
  </si>
  <si>
    <t>MONTHLY CIR COMPUTED USING THE SCS MODIFIED BLANEY-CRIDDLE METHOD</t>
  </si>
  <si>
    <t>crop acres</t>
  </si>
  <si>
    <t>total acres</t>
  </si>
  <si>
    <t>Deep Creek No. 1 Ditch</t>
  </si>
  <si>
    <t>Spurgeon No. 2 Ditch</t>
  </si>
  <si>
    <t>Thomason Flat Ditch</t>
  </si>
  <si>
    <t>Fish Pond Ditch/Lower Ditch North</t>
  </si>
  <si>
    <t>Average Area Monthly Pan *(0.8) Evaporation (ft)</t>
  </si>
  <si>
    <t xml:space="preserve">Acres Subject to Shortage </t>
  </si>
  <si>
    <t>Acres NOT Subject to Shortage**</t>
  </si>
  <si>
    <t>Acres Subject to Shortage</t>
  </si>
  <si>
    <r>
      <t>a</t>
    </r>
    <r>
      <rPr>
        <sz val="12"/>
        <rFont val="Arial"/>
        <family val="2"/>
      </rPr>
      <t xml:space="preserve"> Gila River Hydrographic Survey Report Volume 5; 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1970 Arizona v. California Report backup computations</t>
    </r>
  </si>
  <si>
    <t>December</t>
  </si>
  <si>
    <t>pre-plant acres</t>
  </si>
  <si>
    <t>Northside Luna Ditch</t>
  </si>
  <si>
    <t>William S. Laney Ditch</t>
  </si>
  <si>
    <t>A. Laney Ditch</t>
  </si>
  <si>
    <t>Leslie Laney Ditch</t>
  </si>
  <si>
    <t>Reservoir Acres Diversion required for CU</t>
  </si>
  <si>
    <t>Middle Frisco Ditch</t>
  </si>
  <si>
    <t>San Francisco Ditch</t>
  </si>
  <si>
    <t>Hightower Ditch</t>
  </si>
  <si>
    <t>Lewis Ditch</t>
  </si>
  <si>
    <t>Cienega Ditch</t>
  </si>
  <si>
    <t>Gila Farms Ditch</t>
  </si>
  <si>
    <t>Fort West/Maldonado Ditch</t>
  </si>
  <si>
    <t>Upper Gila Ditch</t>
  </si>
  <si>
    <t>Gila Hot Springs Ditch</t>
  </si>
  <si>
    <t>Grandpa Harper - Wright Chavez Smith Ditch</t>
  </si>
  <si>
    <r>
      <t>a</t>
    </r>
    <r>
      <rPr>
        <sz val="12"/>
        <rFont val="Arial"/>
        <family val="2"/>
      </rPr>
      <t xml:space="preserve"> Gila River Hydrographic Survey Report Volume 8; 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1970 Arizona v. California Report backup computations</t>
    </r>
  </si>
  <si>
    <t>Net Reservoir Evap (ft)</t>
  </si>
  <si>
    <t>Measured Diversions</t>
  </si>
  <si>
    <t>e1</t>
  </si>
  <si>
    <t>e2</t>
  </si>
  <si>
    <t xml:space="preserve"> e1 = farm efficiency X canal efficiency</t>
  </si>
  <si>
    <t xml:space="preserve"> e2 = farm efficiency (groundwater)</t>
  </si>
  <si>
    <t>Total Estimated Diversion (af)</t>
  </si>
  <si>
    <t>Full Supplied Crop Acres</t>
  </si>
  <si>
    <t>Estimated diversion to full supplied acres (af)</t>
  </si>
  <si>
    <t>Short Supplied Reservoir Acres</t>
  </si>
  <si>
    <t xml:space="preserve">Short Supplied Crop Acres </t>
  </si>
  <si>
    <t>Full Supplied Reservoir Acres</t>
  </si>
  <si>
    <t>Estimated diversion to short supplied acres (af)</t>
  </si>
  <si>
    <t>Full Season</t>
  </si>
  <si>
    <t>Pre-Plant</t>
  </si>
  <si>
    <t>is head-units outside Forest but within Gila Drainage in Grant County year-around</t>
  </si>
  <si>
    <t>Gila River Basin, Virden Valley</t>
  </si>
  <si>
    <t>Total stock use in the San Simon area</t>
  </si>
  <si>
    <t>Total stock use in the San Francisco River Basin</t>
  </si>
  <si>
    <t>Total stock use in the National Forest</t>
  </si>
  <si>
    <t>Total stock use outside the National Forest</t>
  </si>
  <si>
    <t>Total stock use in the Gila River Basin, Virden Valley</t>
  </si>
  <si>
    <t>Total stock use in the Gila River Basin above Virden Valley</t>
  </si>
  <si>
    <t>Diversion</t>
  </si>
  <si>
    <r>
      <t>Upper Gila area</t>
    </r>
    <r>
      <rPr>
        <vertAlign val="superscript"/>
        <sz val="9"/>
        <rFont val="Tahoma"/>
        <family val="2"/>
      </rPr>
      <t>1</t>
    </r>
  </si>
  <si>
    <r>
      <t>Cliff-Gila area</t>
    </r>
    <r>
      <rPr>
        <vertAlign val="superscript"/>
        <sz val="9"/>
        <rFont val="Tahoma"/>
        <family val="2"/>
      </rPr>
      <t>2</t>
    </r>
  </si>
  <si>
    <t>Lake Surface Evaporation</t>
  </si>
  <si>
    <t>Outside National Forest</t>
  </si>
  <si>
    <t xml:space="preserve">     Glenwood</t>
  </si>
  <si>
    <t>Total Consumptive Use</t>
  </si>
  <si>
    <t>Total Diversion</t>
  </si>
  <si>
    <t>GILA – SAN FRANCISCO &amp; SAN SIMON BASIN DIVERSIONS</t>
  </si>
  <si>
    <t>Gila – San Francisco estimated irrigation diversions for acreage served by non-metered diversions</t>
  </si>
  <si>
    <t xml:space="preserve"> </t>
  </si>
  <si>
    <t>CIR (ft)/e</t>
  </si>
  <si>
    <t>Crop acres diversion required for CU = crop acres * CIR / e;  Reservoir acres diversion required for CU = reservoir acres  * ( (monthly pan evap * 0.8) - precip)  /  e</t>
  </si>
  <si>
    <t>RESERVE</t>
  </si>
  <si>
    <t>UPPER GILA</t>
  </si>
  <si>
    <t>CLIFF - GILA</t>
  </si>
  <si>
    <t>LUNA</t>
  </si>
  <si>
    <t xml:space="preserve"> ** Acreage is subject to shortage, but full supply assumed</t>
  </si>
  <si>
    <t>Cliff-Gila-Redrock</t>
  </si>
  <si>
    <t xml:space="preserve"> Gila Hot Springs Station</t>
  </si>
  <si>
    <t>No. of tanks</t>
  </si>
  <si>
    <t>Evap/tank</t>
  </si>
  <si>
    <t>Total consumptive use in the San Francisco Basin:</t>
  </si>
  <si>
    <t>Total consumptive use in the Gila River Basin above Virden Valley:</t>
  </si>
  <si>
    <t>San Simon Creek</t>
  </si>
  <si>
    <t>Inside National Forest</t>
  </si>
  <si>
    <t>Gila River Basin (above Virden Valley)</t>
  </si>
  <si>
    <t>StockTank Evaporation</t>
  </si>
  <si>
    <t>LIVESTOCK POPULATION</t>
  </si>
  <si>
    <t>Subtotal</t>
  </si>
  <si>
    <t xml:space="preserve">    Total evaporation assuming 85% of tanks in service</t>
  </si>
  <si>
    <t>Gila River Basin exclusive of Virden Valley</t>
  </si>
  <si>
    <t>acre-feet/year</t>
  </si>
  <si>
    <t>Total reservoir evaporation exclusive of Virden Valley for the Gila River Basin:</t>
  </si>
  <si>
    <r>
      <t xml:space="preserve">CIR </t>
    </r>
    <r>
      <rPr>
        <sz val="10"/>
        <rFont val="Arial"/>
        <family val="2"/>
      </rPr>
      <t>(</t>
    </r>
    <r>
      <rPr>
        <sz val="8"/>
        <rFont val="Arial"/>
        <family val="2"/>
      </rPr>
      <t>af/acre)</t>
    </r>
  </si>
  <si>
    <t>Census 2000</t>
  </si>
  <si>
    <t>Average Water Surface Area (acres)</t>
  </si>
  <si>
    <t>Stock Tank Evaporation Rate (feet)</t>
  </si>
  <si>
    <t>Evaporation Loss Per Tank        (acre-feet)</t>
  </si>
  <si>
    <t>Gila River - exclusive of Virden Valley</t>
  </si>
  <si>
    <r>
      <t xml:space="preserve">Gila River </t>
    </r>
    <r>
      <rPr>
        <sz val="8"/>
        <rFont val="Arial"/>
        <family val="2"/>
      </rPr>
      <t>upstream of Virden Valley</t>
    </r>
  </si>
  <si>
    <t xml:space="preserve">     Cliff-Gila,Redrock</t>
  </si>
  <si>
    <t>Total Short to Required Diversion</t>
  </si>
  <si>
    <t>Fractional Shortage to Diversion Required</t>
  </si>
  <si>
    <t>Shortage to CU</t>
  </si>
  <si>
    <t>Tota Crop &amp; Pond CU</t>
  </si>
  <si>
    <t>Total Irrigated CU</t>
  </si>
  <si>
    <t>Apache-Aragon*</t>
  </si>
  <si>
    <t>*  Subject to shortage but full supply assumed</t>
  </si>
  <si>
    <t>Additional measured discharge (ac-ft)</t>
  </si>
  <si>
    <t xml:space="preserve">   Total Ground</t>
  </si>
  <si>
    <t>Adair Luna  Ditch</t>
  </si>
  <si>
    <t xml:space="preserve">CRP/natural grassland Acres </t>
  </si>
  <si>
    <t>Metered - CRP *</t>
  </si>
  <si>
    <t xml:space="preserve">Metered Diversion  </t>
  </si>
  <si>
    <t>CU Demand</t>
  </si>
  <si>
    <t>Non-Metered</t>
  </si>
  <si>
    <t>8 Acres               E.T. Brown Fish Ponds (GSF-51)</t>
  </si>
  <si>
    <t>Div/CU in Commercial</t>
  </si>
  <si>
    <t>Head Cattle</t>
  </si>
  <si>
    <t>Head Months</t>
  </si>
  <si>
    <t>51% In the Gila Drainage:</t>
  </si>
  <si>
    <t>49% In the San Francisco Drainage:</t>
  </si>
  <si>
    <t>head in National Forest year-around</t>
  </si>
  <si>
    <t>Fish Pond Reservoir Evap (ac-ft) included in Cliff-Gila M&amp;I CU; GSF-51 diversion included in Cliff-Gila M&amp;I Diversion</t>
  </si>
  <si>
    <t>Municipal, Industrial, Domestic, Commercial</t>
  </si>
  <si>
    <t>Virden Valley **</t>
  </si>
  <si>
    <t>**  Partially metered</t>
  </si>
  <si>
    <t>Metered - CRP ****</t>
  </si>
  <si>
    <t>Metered- Full CIR **</t>
  </si>
  <si>
    <t>Acres NOT Subject to Shortage</t>
  </si>
  <si>
    <t>** Groundwater-supplied  metered diversion equals total depletion.</t>
  </si>
  <si>
    <t>GSF-46:</t>
  </si>
  <si>
    <r>
      <t>Total</t>
    </r>
    <r>
      <rPr>
        <sz val="10"/>
        <rFont val="Arial"/>
        <family val="2"/>
      </rPr>
      <t xml:space="preserve"> 10 Consecutive Years</t>
    </r>
  </si>
  <si>
    <r>
      <t xml:space="preserve">Max Decreed </t>
    </r>
    <r>
      <rPr>
        <sz val="10"/>
        <rFont val="Arial"/>
        <family val="2"/>
      </rPr>
      <t>10 Consecutive Years</t>
    </r>
  </si>
  <si>
    <t>Metered-full CIR</t>
  </si>
  <si>
    <t>Annual Use</t>
  </si>
  <si>
    <t>Decreed Use</t>
  </si>
  <si>
    <r>
      <t xml:space="preserve">        TOTAL</t>
    </r>
    <r>
      <rPr>
        <vertAlign val="superscript"/>
        <sz val="8"/>
        <rFont val="Arial"/>
        <family val="2"/>
      </rPr>
      <t>1</t>
    </r>
  </si>
  <si>
    <r>
      <t>1</t>
    </r>
    <r>
      <rPr>
        <sz val="10"/>
        <rFont val="Arial"/>
        <family val="2"/>
      </rPr>
      <t>Includes</t>
    </r>
  </si>
  <si>
    <t>Note hidden columns F,G,H,I</t>
  </si>
  <si>
    <t>AGRICULTURE</t>
  </si>
  <si>
    <t>Acres NOT Subject to Shortage***</t>
  </si>
  <si>
    <t>Municipal, Industrial &amp; Domestic</t>
  </si>
  <si>
    <t>Weighted CIR - in</t>
  </si>
  <si>
    <t>GSF-10:</t>
  </si>
  <si>
    <t>Estimated from partial data.</t>
  </si>
  <si>
    <t xml:space="preserve"> **** Acreage &amp; associated diversion from GSF-2443 and GSF-46 suggest conservation watering only.  This acreage is assumed to be CRP or like condition and groundwater-supplied metered diversion equals total depletion.</t>
  </si>
  <si>
    <t>reservoir acres</t>
  </si>
  <si>
    <t xml:space="preserve"> * In some years, some well records indicate a minimal amount of irrigation of the associated acreage.  This acreage is assumed to be CRP or like condition and groundwater-supplied metered diversion equals total depletion.</t>
  </si>
  <si>
    <t>GSF-58</t>
  </si>
  <si>
    <t>** Groundwater-supplied not metered; full supply assumed</t>
  </si>
  <si>
    <t>is head-units outside Forest but within San Francisco Drainage in Catron County year-around</t>
  </si>
  <si>
    <t>Reservoirs with small amounts of evaporation exceeding precipitation during winter were assumed to have no shortage in those months, despite the lack of diversion data for that period.</t>
  </si>
  <si>
    <t>Daily diversion records were used to assess whether a shortage condition truly existed in months for which only partial daily data were available, e.g. spring and fall at data logger startup/shutdown.</t>
  </si>
  <si>
    <t>Freeport McMoRan</t>
  </si>
  <si>
    <t>Gila National Forest, Gila/San Francisco watershed only***</t>
  </si>
  <si>
    <r>
      <t>2</t>
    </r>
    <r>
      <rPr>
        <sz val="9"/>
        <rFont val="Tahoma"/>
        <family val="2"/>
      </rPr>
      <t xml:space="preserve">  Cliff-Gila area consumptive use includes Freeport-McMoRan evaporation on Bill Evans Lake.  Remaining Bill Evans Lake evap is charged to NM Game &amp; Fish and is included under Lake Surface Evaporation.  </t>
    </r>
  </si>
  <si>
    <t>**Groundwater supplied</t>
  </si>
  <si>
    <t>** Groundwater supplied</t>
  </si>
  <si>
    <t>*** Groundwater supplied</t>
  </si>
  <si>
    <r>
      <t>1</t>
    </r>
    <r>
      <rPr>
        <i/>
        <sz val="10"/>
        <rFont val="Arial"/>
        <family val="2"/>
      </rPr>
      <t xml:space="preserve"> Freeport-McMoRan provided data</t>
    </r>
  </si>
  <si>
    <t>Reservoir Evap. minus Precip.      (ac-ft)</t>
  </si>
  <si>
    <t>GSF-25, 25-S, 25-S-2</t>
  </si>
  <si>
    <t>The listed irrigation diversion amounts do not include non-consumptive diversions made outside of the irrigation season.</t>
  </si>
  <si>
    <t>VV-4,4-S</t>
  </si>
  <si>
    <t>VV-13-S</t>
  </si>
  <si>
    <t>VV-24-POD3</t>
  </si>
  <si>
    <t>Note:  Virden Valley estimated diversion is reduced by VV-4, VV-4-S, VV-13-S, &amp; VV-24-POD3 totalizer amounts, if any.</t>
  </si>
  <si>
    <t>Measured Discharge (AF)</t>
  </si>
  <si>
    <t>Precipitation (inches) : Gila Hot Springs</t>
  </si>
  <si>
    <t>*  Precipitation values from Gila Hot Springs Weather Station</t>
  </si>
  <si>
    <t>** Precipitation values from Gila Hot Springs Weather Station adjusted up 25%</t>
  </si>
  <si>
    <t>GSF-7</t>
  </si>
  <si>
    <t>Tyrone Wells diversion under 02260</t>
  </si>
  <si>
    <t>Tyrone diversion under GSF-85</t>
  </si>
  <si>
    <t>Seepage credit from Bill Evans Dam</t>
  </si>
  <si>
    <t>Diversion from Evans Reservoir to Mine</t>
  </si>
  <si>
    <t>Diversion for T-irrigation</t>
  </si>
  <si>
    <t>Consumptive Use for T-irrigation</t>
  </si>
  <si>
    <t>T-13/USFS diversion</t>
  </si>
  <si>
    <r>
      <t>Evaporation from Bill Evans Reservoir</t>
    </r>
    <r>
      <rPr>
        <vertAlign val="superscript"/>
        <sz val="10"/>
        <rFont val="Arial"/>
        <family val="2"/>
      </rPr>
      <t>2</t>
    </r>
  </si>
  <si>
    <r>
      <t>2</t>
    </r>
    <r>
      <rPr>
        <i/>
        <sz val="10"/>
        <rFont val="Arial"/>
        <family val="2"/>
      </rPr>
      <t xml:space="preserve"> The first 205.28 af of Evans Reservoir evap is assigned to NM Game &amp; Fish</t>
    </r>
  </si>
  <si>
    <t>Bill Evans Lake (NM Game &amp; Fish evap) ***</t>
  </si>
  <si>
    <t>*** Bill Evans Lake evaporation above 205.28 af is assigned to Freeport-McMoRan</t>
  </si>
  <si>
    <t xml:space="preserve">Freeport-McMoRan </t>
  </si>
  <si>
    <t>Diversion &amp; Consumptive Use Accounting</t>
  </si>
  <si>
    <t>GSF-20:</t>
  </si>
  <si>
    <t xml:space="preserve"> * National Agricultural Statistics Service website www.nass.usda.gov/Statistics_by_State/New_Mexico/index.php.  See New Mexico Publications: Annual Statistical Bulletin.</t>
  </si>
  <si>
    <t>San Simon**</t>
  </si>
  <si>
    <t>GSF-33:</t>
  </si>
  <si>
    <t>GSF-71S</t>
  </si>
  <si>
    <t>* Estimated for non-metered ditches</t>
  </si>
  <si>
    <r>
      <t xml:space="preserve">** Estimated.  National Agricultural Statistics Service reports </t>
    </r>
    <r>
      <rPr>
        <sz val="6"/>
        <color indexed="17"/>
        <rFont val="Tahoma"/>
        <family val="2"/>
      </rPr>
      <t>1200</t>
    </r>
    <r>
      <rPr>
        <sz val="6"/>
        <rFont val="Tahoma"/>
        <family val="2"/>
      </rPr>
      <t xml:space="preserve"> sheep for Grant, Catron, Hidalgo, Luna, Sierra, and Socorro counties combined (District 70).  Most recent estimate: </t>
    </r>
    <r>
      <rPr>
        <sz val="6"/>
        <color indexed="17"/>
        <rFont val="Tahoma"/>
        <family val="2"/>
      </rPr>
      <t>2011.</t>
    </r>
  </si>
  <si>
    <t>*** per Gila National Forest</t>
  </si>
  <si>
    <t>SS-7</t>
  </si>
  <si>
    <t>SS-4</t>
  </si>
  <si>
    <t>SS-6</t>
  </si>
  <si>
    <r>
      <t xml:space="preserve">Decreed Acreage </t>
    </r>
    <r>
      <rPr>
        <i/>
        <sz val="10"/>
        <rFont val="Arial"/>
        <family val="2"/>
      </rPr>
      <t>Arizona  v. California</t>
    </r>
  </si>
  <si>
    <t>Kiehne Ditch</t>
  </si>
  <si>
    <r>
      <t>Consumptive Irrigation Requirements</t>
    </r>
    <r>
      <rPr>
        <b/>
        <sz val="12"/>
        <color rgb="FF00B050"/>
        <rFont val="Arial"/>
        <family val="2"/>
      </rPr>
      <t xml:space="preserve"> 2024</t>
    </r>
  </si>
  <si>
    <r>
      <t xml:space="preserve">Estimated Livestock Population </t>
    </r>
    <r>
      <rPr>
        <b/>
        <sz val="12"/>
        <color rgb="FF00B050"/>
        <rFont val="Arial"/>
        <family val="2"/>
      </rPr>
      <t>2024</t>
    </r>
  </si>
  <si>
    <r>
      <t xml:space="preserve">Estimated Domestic Use Population </t>
    </r>
    <r>
      <rPr>
        <b/>
        <sz val="12"/>
        <color rgb="FF00B050"/>
        <rFont val="Arial"/>
        <family val="2"/>
      </rPr>
      <t>2024</t>
    </r>
  </si>
  <si>
    <r>
      <t>Stock Tank Evaporative Loss Data</t>
    </r>
    <r>
      <rPr>
        <b/>
        <sz val="12"/>
        <color rgb="FF00B050"/>
        <rFont val="Arial"/>
        <family val="2"/>
      </rPr>
      <t xml:space="preserve"> 2024</t>
    </r>
  </si>
  <si>
    <r>
      <t>1</t>
    </r>
    <r>
      <rPr>
        <sz val="9"/>
        <rFont val="Tahoma"/>
        <family val="2"/>
      </rPr>
      <t xml:space="preserve">   Upper Gila diversion includes82.59 af for non-consumptive geothermal use</t>
    </r>
  </si>
  <si>
    <r>
      <t xml:space="preserve">Table III.  Consumptive Use for the Period of Ten Consecutive Years, </t>
    </r>
    <r>
      <rPr>
        <b/>
        <sz val="12"/>
        <color rgb="FF00B050"/>
        <rFont val="Arial"/>
        <family val="2"/>
      </rPr>
      <t>2015-2024</t>
    </r>
    <r>
      <rPr>
        <b/>
        <sz val="12"/>
        <color indexed="10"/>
        <rFont val="Arial"/>
        <family val="2"/>
      </rPr>
      <t xml:space="preserve"> </t>
    </r>
    <r>
      <rPr>
        <b/>
        <sz val="12"/>
        <rFont val="Arial"/>
        <family val="2"/>
      </rPr>
      <t>(Units: Acre-Feet)</t>
    </r>
  </si>
  <si>
    <r>
      <t xml:space="preserve">af of consumptive industrial use by Freeport-McMoRan and </t>
    </r>
    <r>
      <rPr>
        <sz val="10"/>
        <color rgb="FF00B050"/>
        <rFont val="Arial"/>
        <family val="2"/>
      </rPr>
      <t>663.33</t>
    </r>
    <r>
      <rPr>
        <sz val="10"/>
        <rFont val="Arial"/>
        <family val="2"/>
      </rPr>
      <t xml:space="preserve"> af exported to the Mimbres Basin for municipal use by Silver City</t>
    </r>
  </si>
  <si>
    <r>
      <t xml:space="preserve">Table I.  Acreage Survey </t>
    </r>
    <r>
      <rPr>
        <b/>
        <sz val="12"/>
        <color rgb="FF00B050"/>
        <rFont val="Arial"/>
        <family val="2"/>
      </rPr>
      <t>2025</t>
    </r>
  </si>
  <si>
    <r>
      <t xml:space="preserve">Table II.  Annual Consumptive Use </t>
    </r>
    <r>
      <rPr>
        <b/>
        <sz val="12"/>
        <color rgb="FF00B050"/>
        <rFont val="Arial"/>
        <family val="2"/>
      </rPr>
      <t>2025</t>
    </r>
    <r>
      <rPr>
        <b/>
        <sz val="12"/>
        <color indexed="10"/>
        <rFont val="Arial"/>
        <family val="2"/>
      </rPr>
      <t xml:space="preserve"> </t>
    </r>
    <r>
      <rPr>
        <b/>
        <sz val="12"/>
        <rFont val="Arial"/>
        <family val="2"/>
      </rPr>
      <t xml:space="preserve"> (Units: Acre-Feet)</t>
    </r>
  </si>
  <si>
    <r>
      <t xml:space="preserve">Table IV.  Diversions </t>
    </r>
    <r>
      <rPr>
        <b/>
        <sz val="12"/>
        <color rgb="FF00B050"/>
        <rFont val="Arial"/>
        <family val="2"/>
      </rPr>
      <t>2025</t>
    </r>
    <r>
      <rPr>
        <b/>
        <sz val="12"/>
        <rFont val="Arial"/>
        <family val="2"/>
      </rPr>
      <t xml:space="preserve">  (Units: Acre-Feet)</t>
    </r>
  </si>
  <si>
    <t>api key</t>
  </si>
  <si>
    <t>153C1A44-28F2-3EA4-8C9B-2128CBAB7911</t>
  </si>
  <si>
    <t>county ansi</t>
  </si>
  <si>
    <t>‘003</t>
  </si>
  <si>
    <t>‘017</t>
  </si>
  <si>
    <t>‘023</t>
  </si>
  <si>
    <t>quickstats.nass.usda.gov/api/api_GET/?key=153C1A44-28F2-3EA4-8C9B-2128CBAB7911&amp;short_desc=CATTLE, INCL CALVES - INVENTORY&amp;year=2025&amp;state_alpha=NM&amp;county_ansi=003&amp;county_ansi=017&amp;county_ansi=023</t>
  </si>
  <si>
    <t>cattle</t>
  </si>
  <si>
    <t>quickstats.nass.usda.gov/api/api_GET/?key=153C1A44-28F2-3EA4-8C9B-2128CBAB7911&amp;short_desc=sheep, INCL lambs - INVENTORY&amp;year=2025&amp;state_alpha=NM&amp;county_ansi=003&amp;county_ansi=017&amp;county_ansi=023</t>
  </si>
  <si>
    <t>Tao: why divied by 12?</t>
  </si>
  <si>
    <t>aaa</t>
  </si>
  <si>
    <t xml:space="preserve"> head of cattle</t>
  </si>
  <si>
    <t xml:space="preserve">is 53% of </t>
  </si>
  <si>
    <t xml:space="preserve"> head of sheep</t>
  </si>
  <si>
    <t>Tao: 10 gallon per day per cattle</t>
  </si>
  <si>
    <t>Tao: 2.2 gallon per day per sheep</t>
  </si>
  <si>
    <t xml:space="preserve">is 6% of </t>
  </si>
  <si>
    <t xml:space="preserve">is 7% of </t>
  </si>
  <si>
    <t xml:space="preserve">is 41% of </t>
  </si>
  <si>
    <t>Tao: what is the value of 96983? --&gt; Forest Service cattle surveys are conducted on a ‘grazing year’ calendar and will be available after March 1 of the following year.  Enter this value in E10.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</si>
</sst>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"/>
    <numFmt numFmtId="165" formatCode="0.000"/>
    <numFmt numFmtId="166" formatCode="#,##0.0"/>
    <numFmt numFmtId="167" formatCode="_(* #,##0_);_(* \(#,##0\);_(* &quot;-&quot;??_);_(@_)"/>
  </numFmts>
  <fonts count="9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u/>
      <sz val="10"/>
      <color indexed="12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u/>
      <sz val="9"/>
      <name val="Tahoma"/>
      <family val="2"/>
    </font>
    <font>
      <b/>
      <u/>
      <sz val="9"/>
      <name val="Tahoma"/>
      <family val="2"/>
    </font>
    <font>
      <b/>
      <sz val="8"/>
      <name val="Tahoma"/>
      <family val="2"/>
    </font>
    <font>
      <sz val="10"/>
      <name val="Tahoma"/>
      <family val="2"/>
    </font>
    <font>
      <sz val="6"/>
      <name val="Tahoma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vertAlign val="superscript"/>
      <sz val="10"/>
      <name val="Arial"/>
      <family val="2"/>
    </font>
    <font>
      <vertAlign val="superscript"/>
      <sz val="12"/>
      <name val="Arial"/>
      <family val="2"/>
    </font>
    <font>
      <b/>
      <sz val="8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u/>
      <sz val="12"/>
      <name val="Arial"/>
      <family val="2"/>
    </font>
    <font>
      <i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name val="Tahoma"/>
      <family val="2"/>
    </font>
    <font>
      <sz val="10"/>
      <name val="Arial"/>
      <family val="2"/>
    </font>
    <font>
      <vertAlign val="superscript"/>
      <sz val="9"/>
      <name val="Tahoma"/>
      <family val="2"/>
    </font>
    <font>
      <sz val="10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Tahoma"/>
      <family val="2"/>
    </font>
    <font>
      <b/>
      <i/>
      <sz val="12"/>
      <name val="Arial"/>
      <family val="2"/>
    </font>
    <font>
      <sz val="11"/>
      <name val="Arial"/>
      <family val="2"/>
    </font>
    <font>
      <sz val="6"/>
      <name val="Arial"/>
      <family val="2"/>
    </font>
    <font>
      <sz val="8"/>
      <name val="Tahoma"/>
      <family val="2"/>
    </font>
    <font>
      <sz val="7"/>
      <name val="Arial"/>
      <family val="2"/>
    </font>
    <font>
      <sz val="14"/>
      <color indexed="16"/>
      <name val="Arial"/>
      <family val="2"/>
    </font>
    <font>
      <vertAlign val="superscript"/>
      <sz val="8"/>
      <name val="Arial"/>
      <family val="2"/>
    </font>
    <font>
      <sz val="12"/>
      <color indexed="10"/>
      <name val="Arial"/>
      <family val="2"/>
    </font>
    <font>
      <sz val="6"/>
      <color indexed="10"/>
      <name val="Tahoma"/>
      <family val="2"/>
    </font>
    <font>
      <sz val="8"/>
      <name val="Arial"/>
      <family val="2"/>
    </font>
    <font>
      <sz val="12"/>
      <color indexed="57"/>
      <name val="Arial"/>
      <family val="2"/>
    </font>
    <font>
      <sz val="12"/>
      <color indexed="20"/>
      <name val="Arial"/>
      <family val="2"/>
    </font>
    <font>
      <sz val="12"/>
      <color indexed="48"/>
      <name val="Arial"/>
      <family val="2"/>
    </font>
    <font>
      <sz val="9"/>
      <color indexed="17"/>
      <name val="Tahoma"/>
      <family val="2"/>
    </font>
    <font>
      <sz val="6"/>
      <color indexed="17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sz val="11"/>
      <name val="Tahoma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0"/>
      <color rgb="FF00B050"/>
      <name val="Arial"/>
      <family val="2"/>
    </font>
    <font>
      <sz val="11"/>
      <color rgb="FF00B050"/>
      <name val="Calibri"/>
      <family val="2"/>
    </font>
    <font>
      <sz val="12"/>
      <color rgb="FF00B050"/>
      <name val="Arial"/>
      <family val="2"/>
    </font>
    <font>
      <b/>
      <sz val="10"/>
      <color rgb="FFFF0000"/>
      <name val="Arial"/>
      <family val="2"/>
    </font>
    <font>
      <sz val="9"/>
      <color rgb="FF00B050"/>
      <name val="Tahoma"/>
      <family val="2"/>
    </font>
    <font>
      <sz val="9"/>
      <color rgb="FFFF0000"/>
      <name val="Tahoma"/>
      <family val="2"/>
    </font>
    <font>
      <sz val="6"/>
      <color rgb="FFFF0000"/>
      <name val="Arial"/>
      <family val="2"/>
    </font>
    <font>
      <sz val="7"/>
      <color rgb="FFFF0000"/>
      <name val="Arial"/>
      <family val="2"/>
    </font>
    <font>
      <sz val="9"/>
      <color theme="3" tint="0.39997558519241921"/>
      <name val="Tahoma"/>
      <family val="2"/>
    </font>
    <font>
      <sz val="10"/>
      <color theme="3" tint="0.39997558519241921"/>
      <name val="Arial"/>
      <family val="2"/>
    </font>
    <font>
      <b/>
      <sz val="12"/>
      <color rgb="FF00B050"/>
      <name val="Arial"/>
      <family val="2"/>
    </font>
    <font>
      <b/>
      <sz val="10"/>
      <color rgb="FF00B050"/>
      <name val="Arial"/>
      <family val="2"/>
    </font>
    <font>
      <sz val="10"/>
      <color rgb="FF00B050"/>
      <name val="Tahoma"/>
      <family val="2"/>
    </font>
    <font>
      <sz val="7"/>
      <color rgb="FF00B050"/>
      <name val="Tahoma"/>
      <family val="2"/>
    </font>
  </fonts>
  <fills count="42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gray0625">
        <fgColor indexed="31"/>
        <bgColor indexed="4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1">
    <xf numFmtId="0" fontId="0" fillId="0" borderId="0"/>
    <xf numFmtId="0" fontId="60" fillId="11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6" borderId="0" applyNumberFormat="0" applyBorder="0" applyAlignment="0" applyProtection="0"/>
    <xf numFmtId="0" fontId="60" fillId="17" borderId="0" applyNumberFormat="0" applyBorder="0" applyAlignment="0" applyProtection="0"/>
    <xf numFmtId="0" fontId="60" fillId="18" borderId="0" applyNumberFormat="0" applyBorder="0" applyAlignment="0" applyProtection="0"/>
    <xf numFmtId="0" fontId="60" fillId="19" borderId="0" applyNumberFormat="0" applyBorder="0" applyAlignment="0" applyProtection="0"/>
    <xf numFmtId="0" fontId="60" fillId="20" borderId="0" applyNumberFormat="0" applyBorder="0" applyAlignment="0" applyProtection="0"/>
    <xf numFmtId="0" fontId="60" fillId="21" borderId="0" applyNumberFormat="0" applyBorder="0" applyAlignment="0" applyProtection="0"/>
    <xf numFmtId="0" fontId="60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24" borderId="0" applyNumberFormat="0" applyBorder="0" applyAlignment="0" applyProtection="0"/>
    <xf numFmtId="0" fontId="61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61" fillId="28" borderId="0" applyNumberFormat="0" applyBorder="0" applyAlignment="0" applyProtection="0"/>
    <xf numFmtId="0" fontId="61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61" fillId="32" borderId="0" applyNumberFormat="0" applyBorder="0" applyAlignment="0" applyProtection="0"/>
    <xf numFmtId="0" fontId="61" fillId="33" borderId="0" applyNumberFormat="0" applyBorder="0" applyAlignment="0" applyProtection="0"/>
    <xf numFmtId="0" fontId="61" fillId="34" borderId="0" applyNumberFormat="0" applyBorder="0" applyAlignment="0" applyProtection="0"/>
    <xf numFmtId="0" fontId="62" fillId="35" borderId="0" applyNumberFormat="0" applyBorder="0" applyAlignment="0" applyProtection="0"/>
    <xf numFmtId="0" fontId="63" fillId="36" borderId="5" applyNumberFormat="0" applyAlignment="0" applyProtection="0"/>
    <xf numFmtId="0" fontId="64" fillId="37" borderId="6" applyNumberFormat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6" fillId="38" borderId="0" applyNumberFormat="0" applyBorder="0" applyAlignment="0" applyProtection="0"/>
    <xf numFmtId="0" fontId="67" fillId="0" borderId="7" applyNumberFormat="0" applyFill="0" applyAlignment="0" applyProtection="0"/>
    <xf numFmtId="0" fontId="68" fillId="0" borderId="8" applyNumberFormat="0" applyFill="0" applyAlignment="0" applyProtection="0"/>
    <xf numFmtId="0" fontId="69" fillId="0" borderId="9" applyNumberFormat="0" applyFill="0" applyAlignment="0" applyProtection="0"/>
    <xf numFmtId="0" fontId="69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70" fillId="39" borderId="5" applyNumberFormat="0" applyAlignment="0" applyProtection="0"/>
    <xf numFmtId="0" fontId="71" fillId="0" borderId="10" applyNumberFormat="0" applyFill="0" applyAlignment="0" applyProtection="0"/>
    <xf numFmtId="0" fontId="72" fillId="40" borderId="0" applyNumberFormat="0" applyBorder="0" applyAlignment="0" applyProtection="0"/>
    <xf numFmtId="0" fontId="4" fillId="0" borderId="0"/>
    <xf numFmtId="0" fontId="60" fillId="0" borderId="0"/>
    <xf numFmtId="0" fontId="4" fillId="0" borderId="0"/>
    <xf numFmtId="0" fontId="60" fillId="41" borderId="11" applyNumberFormat="0" applyFont="0" applyAlignment="0" applyProtection="0"/>
    <xf numFmtId="0" fontId="73" fillId="36" borderId="12" applyNumberFormat="0" applyAlignment="0" applyProtection="0"/>
    <xf numFmtId="0" fontId="74" fillId="0" borderId="0" applyNumberFormat="0" applyFill="0" applyBorder="0" applyAlignment="0" applyProtection="0"/>
    <xf numFmtId="0" fontId="75" fillId="0" borderId="13" applyNumberFormat="0" applyFill="0" applyAlignment="0" applyProtection="0"/>
    <xf numFmtId="0" fontId="77" fillId="0" borderId="0" applyNumberFormat="0" applyFill="0" applyBorder="0" applyAlignment="0" applyProtection="0"/>
    <xf numFmtId="0" fontId="2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41" borderId="11" applyNumberFormat="0" applyFont="0" applyAlignment="0" applyProtection="0"/>
    <xf numFmtId="43" fontId="2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41" borderId="11" applyNumberFormat="0" applyFont="0" applyAlignment="0" applyProtection="0"/>
    <xf numFmtId="43" fontId="2" fillId="0" borderId="0" applyFont="0" applyFill="0" applyBorder="0" applyAlignment="0" applyProtection="0"/>
  </cellStyleXfs>
  <cellXfs count="343">
    <xf numFmtId="0" fontId="0" fillId="0" borderId="0" xfId="0"/>
    <xf numFmtId="0" fontId="6" fillId="0" borderId="0" xfId="0" applyFont="1" applyAlignment="1">
      <alignment horizontal="center"/>
    </xf>
    <xf numFmtId="0" fontId="4" fillId="0" borderId="0" xfId="0" applyFont="1"/>
    <xf numFmtId="2" fontId="7" fillId="0" borderId="0" xfId="0" applyNumberFormat="1" applyFont="1"/>
    <xf numFmtId="0" fontId="12" fillId="0" borderId="0" xfId="0" applyFont="1" applyAlignment="1">
      <alignment horizontal="center"/>
    </xf>
    <xf numFmtId="0" fontId="13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0" fillId="0" borderId="0" xfId="0" applyFont="1"/>
    <xf numFmtId="0" fontId="13" fillId="0" borderId="0" xfId="0" applyFont="1" applyAlignment="1">
      <alignment horizontal="right"/>
    </xf>
    <xf numFmtId="2" fontId="13" fillId="0" borderId="0" xfId="0" applyNumberFormat="1" applyFont="1" applyAlignment="1">
      <alignment horizontal="right"/>
    </xf>
    <xf numFmtId="49" fontId="13" fillId="0" borderId="0" xfId="0" applyNumberFormat="1" applyFont="1"/>
    <xf numFmtId="0" fontId="17" fillId="0" borderId="0" xfId="0" applyFont="1"/>
    <xf numFmtId="0" fontId="18" fillId="0" borderId="0" xfId="0" applyFont="1" applyAlignment="1">
      <alignment horizontal="center"/>
    </xf>
    <xf numFmtId="0" fontId="15" fillId="0" borderId="0" xfId="0" applyFont="1"/>
    <xf numFmtId="0" fontId="13" fillId="2" borderId="0" xfId="0" applyFont="1" applyFill="1"/>
    <xf numFmtId="0" fontId="13" fillId="0" borderId="0" xfId="0" applyFont="1" applyAlignment="1">
      <alignment horizontal="center"/>
    </xf>
    <xf numFmtId="164" fontId="13" fillId="0" borderId="0" xfId="0" applyNumberFormat="1" applyFont="1"/>
    <xf numFmtId="0" fontId="13" fillId="2" borderId="0" xfId="0" applyFont="1" applyFill="1" applyAlignment="1">
      <alignment horizontal="left"/>
    </xf>
    <xf numFmtId="0" fontId="19" fillId="2" borderId="0" xfId="0" applyFont="1" applyFill="1"/>
    <xf numFmtId="0" fontId="13" fillId="2" borderId="0" xfId="0" applyFont="1" applyFill="1" applyAlignment="1">
      <alignment horizontal="center"/>
    </xf>
    <xf numFmtId="0" fontId="9" fillId="0" borderId="0" xfId="0" applyFont="1"/>
    <xf numFmtId="2" fontId="13" fillId="0" borderId="0" xfId="0" applyNumberFormat="1" applyFont="1" applyAlignment="1">
      <alignment horizontal="center"/>
    </xf>
    <xf numFmtId="0" fontId="3" fillId="0" borderId="0" xfId="0" applyFont="1"/>
    <xf numFmtId="2" fontId="7" fillId="0" borderId="0" xfId="0" applyNumberFormat="1" applyFont="1" applyAlignment="1">
      <alignment horizontal="center"/>
    </xf>
    <xf numFmtId="0" fontId="20" fillId="0" borderId="0" xfId="0" applyFont="1"/>
    <xf numFmtId="2" fontId="20" fillId="0" borderId="0" xfId="0" applyNumberFormat="1" applyFont="1"/>
    <xf numFmtId="0" fontId="7" fillId="0" borderId="0" xfId="0" applyFont="1"/>
    <xf numFmtId="2" fontId="0" fillId="0" borderId="0" xfId="0" applyNumberFormat="1"/>
    <xf numFmtId="2" fontId="20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right"/>
    </xf>
    <xf numFmtId="49" fontId="20" fillId="0" borderId="0" xfId="0" applyNumberFormat="1" applyFont="1"/>
    <xf numFmtId="2" fontId="20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2" fontId="8" fillId="0" borderId="0" xfId="0" applyNumberFormat="1" applyFont="1" applyAlignment="1">
      <alignment horizontal="justify"/>
    </xf>
    <xf numFmtId="2" fontId="8" fillId="0" borderId="0" xfId="0" applyNumberFormat="1" applyFont="1"/>
    <xf numFmtId="165" fontId="7" fillId="0" borderId="0" xfId="0" applyNumberFormat="1" applyFont="1" applyAlignment="1">
      <alignment horizontal="right"/>
    </xf>
    <xf numFmtId="0" fontId="0" fillId="0" borderId="0" xfId="0" applyAlignment="1">
      <alignment horizontal="center" wrapText="1"/>
    </xf>
    <xf numFmtId="1" fontId="0" fillId="0" borderId="0" xfId="0" applyNumberFormat="1"/>
    <xf numFmtId="0" fontId="22" fillId="0" borderId="0" xfId="0" applyFont="1"/>
    <xf numFmtId="1" fontId="22" fillId="0" borderId="0" xfId="0" applyNumberFormat="1" applyFont="1"/>
    <xf numFmtId="0" fontId="3" fillId="0" borderId="0" xfId="0" applyFont="1" applyAlignment="1">
      <alignment horizontal="center" wrapText="1"/>
    </xf>
    <xf numFmtId="164" fontId="0" fillId="0" borderId="0" xfId="0" applyNumberFormat="1"/>
    <xf numFmtId="0" fontId="8" fillId="0" borderId="0" xfId="0" applyFont="1"/>
    <xf numFmtId="0" fontId="21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justify"/>
    </xf>
    <xf numFmtId="0" fontId="7" fillId="0" borderId="0" xfId="0" applyFont="1" applyAlignment="1">
      <alignment horizontal="justify"/>
    </xf>
    <xf numFmtId="41" fontId="0" fillId="0" borderId="0" xfId="0" applyNumberFormat="1"/>
    <xf numFmtId="3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wrapText="1"/>
    </xf>
    <xf numFmtId="2" fontId="4" fillId="0" borderId="0" xfId="0" applyNumberFormat="1" applyFont="1"/>
    <xf numFmtId="0" fontId="9" fillId="0" borderId="0" xfId="0" applyFont="1" applyAlignment="1">
      <alignment horizontal="justify"/>
    </xf>
    <xf numFmtId="164" fontId="17" fillId="0" borderId="0" xfId="0" applyNumberFormat="1" applyFont="1"/>
    <xf numFmtId="164" fontId="12" fillId="0" borderId="0" xfId="0" applyNumberFormat="1" applyFont="1" applyAlignment="1">
      <alignment horizontal="left"/>
    </xf>
    <xf numFmtId="164" fontId="12" fillId="0" borderId="0" xfId="0" applyNumberFormat="1" applyFont="1"/>
    <xf numFmtId="165" fontId="7" fillId="0" borderId="0" xfId="0" applyNumberFormat="1" applyFont="1"/>
    <xf numFmtId="2" fontId="23" fillId="0" borderId="0" xfId="0" applyNumberFormat="1" applyFont="1"/>
    <xf numFmtId="164" fontId="7" fillId="0" borderId="0" xfId="0" applyNumberFormat="1" applyFont="1"/>
    <xf numFmtId="0" fontId="13" fillId="0" borderId="0" xfId="0" quotePrefix="1" applyFont="1" applyAlignment="1">
      <alignment horizontal="left"/>
    </xf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7" fontId="0" fillId="0" borderId="0" xfId="0" applyNumberFormat="1"/>
    <xf numFmtId="0" fontId="28" fillId="0" borderId="0" xfId="0" applyFont="1"/>
    <xf numFmtId="0" fontId="5" fillId="0" borderId="0" xfId="0" quotePrefix="1" applyFont="1"/>
    <xf numFmtId="0" fontId="13" fillId="0" borderId="0" xfId="0" applyFont="1" applyAlignment="1">
      <alignment wrapText="1"/>
    </xf>
    <xf numFmtId="2" fontId="20" fillId="3" borderId="0" xfId="0" applyNumberFormat="1" applyFont="1" applyFill="1"/>
    <xf numFmtId="2" fontId="20" fillId="0" borderId="0" xfId="0" applyNumberFormat="1" applyFont="1" applyAlignment="1">
      <alignment horizontal="left"/>
    </xf>
    <xf numFmtId="2" fontId="3" fillId="0" borderId="0" xfId="0" applyNumberFormat="1" applyFont="1" applyAlignment="1">
      <alignment textRotation="90" wrapText="1"/>
    </xf>
    <xf numFmtId="0" fontId="3" fillId="3" borderId="0" xfId="0" applyFont="1" applyFill="1" applyAlignment="1">
      <alignment horizontal="center"/>
    </xf>
    <xf numFmtId="2" fontId="8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textRotation="90" wrapText="1"/>
    </xf>
    <xf numFmtId="2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 textRotation="90" wrapText="1"/>
    </xf>
    <xf numFmtId="2" fontId="3" fillId="0" borderId="0" xfId="0" applyNumberFormat="1" applyFont="1" applyAlignment="1">
      <alignment wrapText="1"/>
    </xf>
    <xf numFmtId="4" fontId="20" fillId="0" borderId="0" xfId="0" applyNumberFormat="1" applyFont="1"/>
    <xf numFmtId="2" fontId="8" fillId="3" borderId="0" xfId="0" applyNumberFormat="1" applyFont="1" applyFill="1" applyAlignment="1">
      <alignment horizontal="left"/>
    </xf>
    <xf numFmtId="0" fontId="21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2" fontId="7" fillId="4" borderId="0" xfId="0" applyNumberFormat="1" applyFont="1" applyFill="1"/>
    <xf numFmtId="2" fontId="20" fillId="4" borderId="0" xfId="0" applyNumberFormat="1" applyFont="1" applyFill="1"/>
    <xf numFmtId="2" fontId="20" fillId="4" borderId="0" xfId="0" applyNumberFormat="1" applyFont="1" applyFill="1" applyAlignment="1">
      <alignment horizontal="center"/>
    </xf>
    <xf numFmtId="0" fontId="20" fillId="4" borderId="0" xfId="0" applyFont="1" applyFill="1"/>
    <xf numFmtId="2" fontId="8" fillId="4" borderId="1" xfId="0" applyNumberFormat="1" applyFont="1" applyFill="1" applyBorder="1" applyAlignment="1">
      <alignment horizontal="centerContinuous" vertical="center"/>
    </xf>
    <xf numFmtId="2" fontId="8" fillId="4" borderId="2" xfId="0" applyNumberFormat="1" applyFont="1" applyFill="1" applyBorder="1" applyAlignment="1">
      <alignment horizontal="centerContinuous" vertical="center"/>
    </xf>
    <xf numFmtId="2" fontId="7" fillId="4" borderId="0" xfId="0" applyNumberFormat="1" applyFont="1" applyFill="1" applyAlignment="1">
      <alignment horizontal="left"/>
    </xf>
    <xf numFmtId="2" fontId="7" fillId="4" borderId="0" xfId="0" applyNumberFormat="1" applyFont="1" applyFill="1" applyAlignment="1">
      <alignment horizontal="center"/>
    </xf>
    <xf numFmtId="0" fontId="8" fillId="4" borderId="2" xfId="0" applyFont="1" applyFill="1" applyBorder="1" applyAlignment="1">
      <alignment horizontal="right"/>
    </xf>
    <xf numFmtId="2" fontId="8" fillId="4" borderId="2" xfId="0" applyNumberFormat="1" applyFont="1" applyFill="1" applyBorder="1" applyAlignment="1">
      <alignment horizontal="right"/>
    </xf>
    <xf numFmtId="0" fontId="21" fillId="4" borderId="2" xfId="0" applyFont="1" applyFill="1" applyBorder="1"/>
    <xf numFmtId="2" fontId="3" fillId="0" borderId="0" xfId="0" applyNumberFormat="1" applyFont="1" applyAlignment="1">
      <alignment horizontal="center" vertical="center" textRotation="90" wrapText="1"/>
    </xf>
    <xf numFmtId="165" fontId="20" fillId="0" borderId="0" xfId="0" applyNumberFormat="1" applyFont="1"/>
    <xf numFmtId="2" fontId="20" fillId="0" borderId="0" xfId="0" applyNumberFormat="1" applyFont="1" applyAlignment="1">
      <alignment wrapText="1"/>
    </xf>
    <xf numFmtId="2" fontId="20" fillId="0" borderId="0" xfId="0" applyNumberFormat="1" applyFont="1" applyAlignment="1">
      <alignment horizontal="center" vertical="center" wrapText="1"/>
    </xf>
    <xf numFmtId="3" fontId="4" fillId="0" borderId="0" xfId="0" applyNumberFormat="1" applyFont="1"/>
    <xf numFmtId="0" fontId="20" fillId="0" borderId="0" xfId="0" applyFont="1" applyAlignment="1">
      <alignment horizontal="center" vertical="center" wrapText="1"/>
    </xf>
    <xf numFmtId="165" fontId="20" fillId="0" borderId="0" xfId="0" applyNumberFormat="1" applyFont="1" applyAlignment="1">
      <alignment horizontal="right"/>
    </xf>
    <xf numFmtId="1" fontId="20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right"/>
    </xf>
    <xf numFmtId="0" fontId="19" fillId="0" borderId="0" xfId="0" applyFont="1"/>
    <xf numFmtId="0" fontId="19" fillId="0" borderId="0" xfId="0" applyFont="1" applyAlignment="1">
      <alignment horizontal="left"/>
    </xf>
    <xf numFmtId="164" fontId="19" fillId="0" borderId="0" xfId="0" applyNumberFormat="1" applyFont="1"/>
    <xf numFmtId="164" fontId="13" fillId="0" borderId="0" xfId="0" applyNumberFormat="1" applyFont="1" applyAlignment="1">
      <alignment horizontal="right"/>
    </xf>
    <xf numFmtId="0" fontId="32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justify"/>
    </xf>
    <xf numFmtId="0" fontId="34" fillId="0" borderId="0" xfId="0" applyFont="1"/>
    <xf numFmtId="2" fontId="20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1" fontId="4" fillId="0" borderId="0" xfId="0" applyNumberFormat="1" applyFont="1"/>
    <xf numFmtId="2" fontId="19" fillId="0" borderId="0" xfId="0" applyNumberFormat="1" applyFont="1"/>
    <xf numFmtId="0" fontId="36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Continuous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1" fillId="0" borderId="2" xfId="0" applyFont="1" applyBorder="1"/>
    <xf numFmtId="2" fontId="3" fillId="0" borderId="0" xfId="0" applyNumberFormat="1" applyFont="1"/>
    <xf numFmtId="2" fontId="17" fillId="0" borderId="0" xfId="0" applyNumberFormat="1" applyFont="1"/>
    <xf numFmtId="2" fontId="17" fillId="0" borderId="0" xfId="0" applyNumberFormat="1" applyFont="1" applyAlignment="1">
      <alignment horizontal="right"/>
    </xf>
    <xf numFmtId="2" fontId="17" fillId="0" borderId="0" xfId="38" applyNumberFormat="1" applyFont="1" applyAlignment="1" applyProtection="1">
      <alignment horizontal="right"/>
    </xf>
    <xf numFmtId="2" fontId="17" fillId="0" borderId="0" xfId="38" applyNumberFormat="1" applyFont="1" applyFill="1" applyBorder="1" applyAlignment="1" applyProtection="1">
      <alignment horizontal="right"/>
    </xf>
    <xf numFmtId="164" fontId="17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7" fillId="0" borderId="0" xfId="0" applyFont="1"/>
    <xf numFmtId="0" fontId="38" fillId="0" borderId="0" xfId="0" applyFont="1"/>
    <xf numFmtId="0" fontId="31" fillId="0" borderId="0" xfId="0" applyFont="1"/>
    <xf numFmtId="0" fontId="39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164" fontId="19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3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shrinkToFit="1"/>
    </xf>
    <xf numFmtId="2" fontId="8" fillId="0" borderId="1" xfId="0" applyNumberFormat="1" applyFont="1" applyBorder="1" applyAlignment="1">
      <alignment horizontal="center" vertical="center"/>
    </xf>
    <xf numFmtId="0" fontId="21" fillId="0" borderId="3" xfId="0" applyFont="1" applyBorder="1"/>
    <xf numFmtId="2" fontId="21" fillId="0" borderId="0" xfId="0" applyNumberFormat="1" applyFont="1"/>
    <xf numFmtId="2" fontId="21" fillId="0" borderId="2" xfId="0" applyNumberFormat="1" applyFont="1" applyBorder="1"/>
    <xf numFmtId="2" fontId="8" fillId="0" borderId="0" xfId="0" applyNumberFormat="1" applyFont="1" applyAlignment="1">
      <alignment horizontal="center" vertical="center"/>
    </xf>
    <xf numFmtId="0" fontId="21" fillId="4" borderId="0" xfId="0" applyFont="1" applyFill="1"/>
    <xf numFmtId="2" fontId="40" fillId="0" borderId="0" xfId="0" applyNumberFormat="1" applyFont="1"/>
    <xf numFmtId="2" fontId="8" fillId="5" borderId="0" xfId="0" applyNumberFormat="1" applyFont="1" applyFill="1" applyAlignment="1">
      <alignment horizontal="left"/>
    </xf>
    <xf numFmtId="2" fontId="20" fillId="5" borderId="0" xfId="0" applyNumberFormat="1" applyFont="1" applyFill="1"/>
    <xf numFmtId="0" fontId="0" fillId="5" borderId="0" xfId="0" applyFill="1"/>
    <xf numFmtId="0" fontId="21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2" fontId="20" fillId="6" borderId="0" xfId="0" applyNumberFormat="1" applyFont="1" applyFill="1"/>
    <xf numFmtId="2" fontId="41" fillId="0" borderId="0" xfId="0" applyNumberFormat="1" applyFont="1"/>
    <xf numFmtId="0" fontId="43" fillId="0" borderId="0" xfId="0" applyFont="1" applyAlignment="1">
      <alignment horizontal="left"/>
    </xf>
    <xf numFmtId="2" fontId="20" fillId="6" borderId="0" xfId="0" applyNumberFormat="1" applyFont="1" applyFill="1" applyAlignment="1">
      <alignment horizontal="right"/>
    </xf>
    <xf numFmtId="2" fontId="20" fillId="6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textRotation="90" wrapText="1"/>
    </xf>
    <xf numFmtId="2" fontId="3" fillId="4" borderId="0" xfId="0" applyNumberFormat="1" applyFont="1" applyFill="1" applyAlignment="1">
      <alignment horizontal="center" textRotation="90" wrapText="1"/>
    </xf>
    <xf numFmtId="2" fontId="20" fillId="4" borderId="0" xfId="0" applyNumberFormat="1" applyFont="1" applyFill="1" applyAlignment="1">
      <alignment horizontal="right"/>
    </xf>
    <xf numFmtId="2" fontId="3" fillId="7" borderId="0" xfId="0" applyNumberFormat="1" applyFont="1" applyFill="1" applyAlignment="1">
      <alignment textRotation="90" wrapText="1"/>
    </xf>
    <xf numFmtId="2" fontId="3" fillId="7" borderId="0" xfId="0" applyNumberFormat="1" applyFont="1" applyFill="1" applyAlignment="1">
      <alignment horizontal="center" textRotation="90" wrapText="1"/>
    </xf>
    <xf numFmtId="2" fontId="20" fillId="7" borderId="0" xfId="0" applyNumberFormat="1" applyFont="1" applyFill="1"/>
    <xf numFmtId="2" fontId="20" fillId="7" borderId="0" xfId="0" applyNumberFormat="1" applyFont="1" applyFill="1" applyAlignment="1">
      <alignment horizontal="right"/>
    </xf>
    <xf numFmtId="2" fontId="3" fillId="6" borderId="0" xfId="0" applyNumberFormat="1" applyFont="1" applyFill="1" applyAlignment="1">
      <alignment textRotation="90" wrapText="1"/>
    </xf>
    <xf numFmtId="2" fontId="3" fillId="6" borderId="0" xfId="0" applyNumberFormat="1" applyFont="1" applyFill="1" applyAlignment="1">
      <alignment horizontal="center" textRotation="90" wrapText="1"/>
    </xf>
    <xf numFmtId="1" fontId="7" fillId="8" borderId="0" xfId="0" applyNumberFormat="1" applyFont="1" applyFill="1" applyAlignment="1">
      <alignment horizontal="left"/>
    </xf>
    <xf numFmtId="1" fontId="7" fillId="8" borderId="0" xfId="0" applyNumberFormat="1" applyFont="1" applyFill="1" applyAlignment="1">
      <alignment horizontal="center"/>
    </xf>
    <xf numFmtId="1" fontId="0" fillId="8" borderId="0" xfId="0" applyNumberFormat="1" applyFill="1"/>
    <xf numFmtId="0" fontId="7" fillId="8" borderId="0" xfId="0" applyFont="1" applyFill="1" applyAlignment="1">
      <alignment horizontal="left"/>
    </xf>
    <xf numFmtId="0" fontId="7" fillId="8" borderId="0" xfId="0" applyFont="1" applyFill="1" applyAlignment="1">
      <alignment horizontal="center"/>
    </xf>
    <xf numFmtId="0" fontId="0" fillId="8" borderId="0" xfId="0" applyFill="1" applyAlignment="1">
      <alignment horizontal="left"/>
    </xf>
    <xf numFmtId="0" fontId="7" fillId="6" borderId="2" xfId="0" applyFont="1" applyFill="1" applyBorder="1" applyAlignment="1">
      <alignment horizontal="center" vertical="center"/>
    </xf>
    <xf numFmtId="0" fontId="0" fillId="6" borderId="2" xfId="0" applyFill="1" applyBorder="1"/>
    <xf numFmtId="1" fontId="4" fillId="0" borderId="0" xfId="0" applyNumberFormat="1" applyFont="1" applyAlignment="1">
      <alignment horizontal="left"/>
    </xf>
    <xf numFmtId="0" fontId="7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2" fontId="3" fillId="3" borderId="0" xfId="0" applyNumberFormat="1" applyFont="1" applyFill="1" applyAlignment="1">
      <alignment textRotation="90" wrapText="1"/>
    </xf>
    <xf numFmtId="2" fontId="3" fillId="3" borderId="0" xfId="0" applyNumberFormat="1" applyFont="1" applyFill="1" applyAlignment="1">
      <alignment horizontal="center" textRotation="90" wrapText="1"/>
    </xf>
    <xf numFmtId="2" fontId="20" fillId="3" borderId="0" xfId="0" applyNumberFormat="1" applyFont="1" applyFill="1" applyAlignment="1">
      <alignment horizontal="right"/>
    </xf>
    <xf numFmtId="1" fontId="46" fillId="0" borderId="0" xfId="0" applyNumberFormat="1" applyFont="1" applyAlignment="1">
      <alignment horizontal="right"/>
    </xf>
    <xf numFmtId="0" fontId="20" fillId="3" borderId="0" xfId="0" applyFont="1" applyFill="1"/>
    <xf numFmtId="2" fontId="20" fillId="9" borderId="0" xfId="0" applyNumberFormat="1" applyFont="1" applyFill="1"/>
    <xf numFmtId="2" fontId="20" fillId="9" borderId="0" xfId="0" applyNumberFormat="1" applyFont="1" applyFill="1" applyAlignment="1">
      <alignment horizontal="right"/>
    </xf>
    <xf numFmtId="0" fontId="0" fillId="3" borderId="0" xfId="0" applyFill="1"/>
    <xf numFmtId="2" fontId="20" fillId="10" borderId="0" xfId="0" applyNumberFormat="1" applyFont="1" applyFill="1"/>
    <xf numFmtId="2" fontId="47" fillId="0" borderId="0" xfId="0" applyNumberFormat="1" applyFont="1"/>
    <xf numFmtId="0" fontId="18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49" fontId="17" fillId="0" borderId="0" xfId="0" applyNumberFormat="1" applyFont="1" applyAlignment="1">
      <alignment horizontal="center"/>
    </xf>
    <xf numFmtId="2" fontId="50" fillId="0" borderId="0" xfId="0" applyNumberFormat="1" applyFont="1" applyAlignment="1">
      <alignment horizontal="center"/>
    </xf>
    <xf numFmtId="0" fontId="52" fillId="0" borderId="0" xfId="0" applyFont="1"/>
    <xf numFmtId="2" fontId="51" fillId="0" borderId="0" xfId="0" applyNumberFormat="1" applyFont="1"/>
    <xf numFmtId="0" fontId="53" fillId="0" borderId="0" xfId="0" applyFont="1"/>
    <xf numFmtId="0" fontId="43" fillId="0" borderId="0" xfId="0" applyFont="1" applyAlignment="1">
      <alignment horizontal="right"/>
    </xf>
    <xf numFmtId="2" fontId="78" fillId="0" borderId="0" xfId="0" applyNumberFormat="1" applyFont="1"/>
    <xf numFmtId="2" fontId="78" fillId="0" borderId="0" xfId="0" applyNumberFormat="1" applyFont="1" applyAlignment="1">
      <alignment horizontal="right"/>
    </xf>
    <xf numFmtId="164" fontId="79" fillId="0" borderId="0" xfId="0" applyNumberFormat="1" applyFont="1"/>
    <xf numFmtId="2" fontId="79" fillId="0" borderId="0" xfId="0" applyNumberFormat="1" applyFont="1"/>
    <xf numFmtId="0" fontId="44" fillId="0" borderId="0" xfId="0" applyFont="1" applyAlignment="1">
      <alignment wrapText="1"/>
    </xf>
    <xf numFmtId="0" fontId="2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8" fillId="0" borderId="0" xfId="0" applyFont="1"/>
    <xf numFmtId="0" fontId="80" fillId="0" borderId="0" xfId="0" applyFont="1"/>
    <xf numFmtId="3" fontId="76" fillId="0" borderId="0" xfId="0" applyNumberFormat="1" applyFont="1"/>
    <xf numFmtId="2" fontId="81" fillId="0" borderId="0" xfId="0" applyNumberFormat="1" applyFont="1"/>
    <xf numFmtId="0" fontId="44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35" fillId="0" borderId="0" xfId="0" applyFont="1" applyAlignment="1">
      <alignment vertical="center"/>
    </xf>
    <xf numFmtId="0" fontId="82" fillId="0" borderId="0" xfId="0" applyFont="1"/>
    <xf numFmtId="164" fontId="76" fillId="0" borderId="0" xfId="0" applyNumberFormat="1" applyFont="1"/>
    <xf numFmtId="0" fontId="78" fillId="0" borderId="0" xfId="0" applyFont="1" applyAlignment="1">
      <alignment horizontal="center"/>
    </xf>
    <xf numFmtId="2" fontId="78" fillId="0" borderId="0" xfId="0" applyNumberFormat="1" applyFont="1" applyAlignment="1">
      <alignment horizontal="center"/>
    </xf>
    <xf numFmtId="0" fontId="83" fillId="0" borderId="0" xfId="0" applyFont="1" applyAlignment="1">
      <alignment horizontal="left"/>
    </xf>
    <xf numFmtId="0" fontId="84" fillId="0" borderId="0" xfId="0" applyFont="1"/>
    <xf numFmtId="0" fontId="76" fillId="0" borderId="0" xfId="0" applyFont="1"/>
    <xf numFmtId="0" fontId="86" fillId="0" borderId="0" xfId="0" applyFont="1"/>
    <xf numFmtId="0" fontId="86" fillId="0" borderId="0" xfId="0" applyFont="1" applyAlignment="1">
      <alignment horizontal="center"/>
    </xf>
    <xf numFmtId="0" fontId="87" fillId="0" borderId="0" xfId="0" applyFont="1"/>
    <xf numFmtId="2" fontId="76" fillId="0" borderId="0" xfId="0" applyNumberFormat="1" applyFont="1"/>
    <xf numFmtId="0" fontId="42" fillId="0" borderId="0" xfId="0" applyFont="1" applyAlignment="1">
      <alignment horizontal="left"/>
    </xf>
    <xf numFmtId="14" fontId="19" fillId="0" borderId="0" xfId="0" applyNumberFormat="1" applyFont="1"/>
    <xf numFmtId="3" fontId="19" fillId="0" borderId="0" xfId="0" applyNumberFormat="1" applyFont="1"/>
    <xf numFmtId="0" fontId="88" fillId="0" borderId="0" xfId="0" applyFont="1"/>
    <xf numFmtId="0" fontId="79" fillId="0" borderId="0" xfId="0" applyFont="1"/>
    <xf numFmtId="0" fontId="14" fillId="0" borderId="0" xfId="0" applyFont="1"/>
    <xf numFmtId="2" fontId="89" fillId="0" borderId="0" xfId="0" applyNumberFormat="1" applyFont="1" applyAlignment="1">
      <alignment horizontal="center"/>
    </xf>
    <xf numFmtId="2" fontId="81" fillId="0" borderId="0" xfId="0" applyNumberFormat="1" applyFont="1" applyAlignment="1">
      <alignment horizontal="right"/>
    </xf>
    <xf numFmtId="2" fontId="78" fillId="0" borderId="0" xfId="0" applyNumberFormat="1" applyFont="1" applyAlignment="1">
      <alignment vertical="center"/>
    </xf>
    <xf numFmtId="2" fontId="78" fillId="0" borderId="0" xfId="0" applyNumberFormat="1" applyFont="1" applyAlignment="1">
      <alignment wrapText="1"/>
    </xf>
    <xf numFmtId="0" fontId="20" fillId="0" borderId="0" xfId="0" applyFont="1" applyAlignment="1">
      <alignment horizontal="left"/>
    </xf>
    <xf numFmtId="49" fontId="91" fillId="0" borderId="0" xfId="0" applyNumberFormat="1" applyFont="1" applyAlignment="1">
      <alignment horizontal="left"/>
    </xf>
    <xf numFmtId="2" fontId="19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2" fontId="91" fillId="0" borderId="0" xfId="0" applyNumberFormat="1" applyFont="1" applyAlignment="1">
      <alignment horizontal="right"/>
    </xf>
    <xf numFmtId="2" fontId="90" fillId="0" borderId="0" xfId="0" applyNumberFormat="1" applyFont="1" applyAlignment="1">
      <alignment horizontal="right"/>
    </xf>
    <xf numFmtId="2" fontId="41" fillId="0" borderId="0" xfId="0" applyNumberFormat="1" applyFont="1" applyAlignment="1">
      <alignment horizontal="right"/>
    </xf>
    <xf numFmtId="2" fontId="58" fillId="0" borderId="0" xfId="0" applyNumberFormat="1" applyFont="1" applyAlignment="1">
      <alignment horizontal="right"/>
    </xf>
    <xf numFmtId="2" fontId="32" fillId="0" borderId="0" xfId="0" applyNumberFormat="1" applyFont="1"/>
    <xf numFmtId="2" fontId="59" fillId="0" borderId="0" xfId="0" applyNumberFormat="1" applyFont="1" applyAlignment="1">
      <alignment horizontal="right"/>
    </xf>
    <xf numFmtId="2" fontId="59" fillId="0" borderId="0" xfId="0" applyNumberFormat="1" applyFont="1"/>
    <xf numFmtId="0" fontId="81" fillId="0" borderId="0" xfId="0" applyFont="1"/>
    <xf numFmtId="2" fontId="4" fillId="0" borderId="0" xfId="0" applyNumberFormat="1" applyFont="1" applyAlignment="1">
      <alignment horizontal="left"/>
    </xf>
    <xf numFmtId="2" fontId="81" fillId="6" borderId="0" xfId="0" applyNumberFormat="1" applyFont="1" applyFill="1" applyAlignment="1">
      <alignment horizontal="right"/>
    </xf>
    <xf numFmtId="2" fontId="81" fillId="6" borderId="0" xfId="0" applyNumberFormat="1" applyFont="1" applyFill="1"/>
    <xf numFmtId="167" fontId="76" fillId="0" borderId="0" xfId="28" applyNumberFormat="1" applyFont="1"/>
    <xf numFmtId="167" fontId="79" fillId="0" borderId="0" xfId="28" applyNumberFormat="1" applyFont="1"/>
    <xf numFmtId="167" fontId="0" fillId="0" borderId="0" xfId="28" applyNumberFormat="1" applyFont="1"/>
    <xf numFmtId="2" fontId="81" fillId="0" borderId="0" xfId="0" applyNumberFormat="1" applyFont="1" applyAlignment="1">
      <alignment horizontal="center"/>
    </xf>
    <xf numFmtId="1" fontId="79" fillId="0" borderId="0" xfId="0" applyNumberFormat="1" applyFont="1"/>
    <xf numFmtId="2" fontId="3" fillId="0" borderId="0" xfId="0" applyNumberFormat="1" applyFont="1" applyAlignment="1">
      <alignment horizontal="center" wrapText="1"/>
    </xf>
    <xf numFmtId="3" fontId="83" fillId="6" borderId="0" xfId="0" applyNumberFormat="1" applyFont="1" applyFill="1"/>
    <xf numFmtId="0" fontId="83" fillId="6" borderId="0" xfId="0" applyFont="1" applyFill="1"/>
    <xf numFmtId="0" fontId="92" fillId="0" borderId="0" xfId="0" applyFont="1"/>
    <xf numFmtId="0" fontId="2" fillId="0" borderId="0" xfId="0" applyFont="1"/>
    <xf numFmtId="2" fontId="2" fillId="0" borderId="0" xfId="0" applyNumberFormat="1" applyFont="1"/>
    <xf numFmtId="2" fontId="81" fillId="0" borderId="0" xfId="0" applyNumberFormat="1" applyFont="1" applyAlignment="1">
      <alignment horizontal="center" wrapText="1"/>
    </xf>
    <xf numFmtId="2" fontId="81" fillId="0" borderId="0" xfId="42" applyNumberFormat="1" applyFont="1"/>
    <xf numFmtId="2" fontId="81" fillId="0" borderId="0" xfId="42" applyNumberFormat="1" applyFont="1" applyAlignment="1">
      <alignment horizontal="right"/>
    </xf>
    <xf numFmtId="2" fontId="81" fillId="10" borderId="0" xfId="0" applyNumberFormat="1" applyFont="1" applyFill="1"/>
    <xf numFmtId="2" fontId="89" fillId="0" borderId="4" xfId="0" applyNumberFormat="1" applyFont="1" applyBorder="1" applyAlignment="1">
      <alignment horizontal="center"/>
    </xf>
    <xf numFmtId="2" fontId="89" fillId="0" borderId="0" xfId="0" applyNumberFormat="1" applyFont="1" applyAlignment="1">
      <alignment horizontal="right"/>
    </xf>
    <xf numFmtId="2" fontId="81" fillId="0" borderId="0" xfId="43" applyNumberFormat="1" applyFont="1" applyAlignment="1">
      <alignment vertical="center"/>
    </xf>
    <xf numFmtId="2" fontId="81" fillId="0" borderId="0" xfId="43" applyNumberFormat="1" applyFont="1"/>
    <xf numFmtId="2" fontId="81" fillId="3" borderId="0" xfId="0" applyNumberFormat="1" applyFont="1" applyFill="1"/>
    <xf numFmtId="2" fontId="81" fillId="4" borderId="0" xfId="0" applyNumberFormat="1" applyFont="1" applyFill="1" applyAlignment="1">
      <alignment horizontal="right"/>
    </xf>
    <xf numFmtId="2" fontId="81" fillId="7" borderId="0" xfId="0" applyNumberFormat="1" applyFont="1" applyFill="1"/>
    <xf numFmtId="164" fontId="83" fillId="0" borderId="0" xfId="0" applyNumberFormat="1" applyFont="1"/>
    <xf numFmtId="0" fontId="83" fillId="0" borderId="0" xfId="0" applyFont="1"/>
    <xf numFmtId="0" fontId="83" fillId="0" borderId="0" xfId="0" applyFont="1" applyAlignment="1">
      <alignment horizontal="right"/>
    </xf>
    <xf numFmtId="167" fontId="79" fillId="0" borderId="0" xfId="28" applyNumberFormat="1" applyFont="1" applyAlignment="1">
      <alignment horizontal="right"/>
    </xf>
    <xf numFmtId="167" fontId="76" fillId="0" borderId="0" xfId="28" applyNumberFormat="1" applyFont="1" applyAlignment="1">
      <alignment horizontal="right"/>
    </xf>
    <xf numFmtId="3" fontId="76" fillId="0" borderId="0" xfId="50" applyNumberFormat="1" applyFont="1" applyAlignment="1">
      <alignment horizontal="right"/>
    </xf>
    <xf numFmtId="167" fontId="76" fillId="0" borderId="0" xfId="28" applyNumberFormat="1" applyFont="1" applyAlignment="1">
      <alignment horizontal="left"/>
    </xf>
    <xf numFmtId="166" fontId="83" fillId="0" borderId="0" xfId="0" applyNumberFormat="1" applyFont="1"/>
    <xf numFmtId="0" fontId="85" fillId="0" borderId="0" xfId="0" applyFont="1" applyAlignment="1">
      <alignment horizontal="left"/>
    </xf>
    <xf numFmtId="2" fontId="20" fillId="0" borderId="0" xfId="0" applyNumberFormat="1" applyFont="1" applyAlignment="1">
      <alignment horizontal="right" shrinkToFit="1"/>
    </xf>
    <xf numFmtId="0" fontId="4" fillId="0" borderId="0" xfId="0" applyFont="1" applyAlignment="1">
      <alignment horizontal="right" shrinkToFit="1"/>
    </xf>
    <xf numFmtId="0" fontId="20" fillId="5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2" fontId="20" fillId="7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2" fontId="8" fillId="9" borderId="1" xfId="0" applyNumberFormat="1" applyFont="1" applyFill="1" applyBorder="1" applyAlignment="1">
      <alignment horizontal="center" vertical="center"/>
    </xf>
    <xf numFmtId="0" fontId="0" fillId="0" borderId="2" xfId="0" applyBorder="1"/>
    <xf numFmtId="2" fontId="8" fillId="4" borderId="2" xfId="0" applyNumberFormat="1" applyFont="1" applyFill="1" applyBorder="1" applyAlignment="1">
      <alignment horizontal="center" vertical="center"/>
    </xf>
    <xf numFmtId="2" fontId="8" fillId="8" borderId="2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24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3" fillId="0" borderId="0" xfId="0" applyFont="1" applyAlignment="1">
      <alignment horizontal="left" vertical="top" wrapText="1"/>
    </xf>
    <xf numFmtId="0" fontId="49" fillId="0" borderId="0" xfId="0" applyFont="1" applyAlignment="1">
      <alignment horizontal="left" vertical="top" wrapText="1"/>
    </xf>
    <xf numFmtId="0" fontId="1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3" fillId="0" borderId="0" xfId="0" applyFont="1"/>
    <xf numFmtId="0" fontId="13" fillId="0" borderId="0" xfId="0" applyFont="1"/>
    <xf numFmtId="0" fontId="0" fillId="0" borderId="0" xfId="0" applyAlignment="1">
      <alignment wrapText="1"/>
    </xf>
    <xf numFmtId="0" fontId="33" fillId="0" borderId="0" xfId="0" applyFont="1" applyAlignment="1">
      <alignment horizontal="justify" wrapText="1"/>
    </xf>
    <xf numFmtId="0" fontId="0" fillId="0" borderId="0" xfId="0" applyAlignment="1">
      <alignment horizontal="justify" wrapText="1"/>
    </xf>
    <xf numFmtId="0" fontId="3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shrinkToFit="1"/>
    </xf>
    <xf numFmtId="0" fontId="4" fillId="0" borderId="0" xfId="0" applyFont="1" applyAlignment="1">
      <alignment shrinkToFit="1"/>
    </xf>
    <xf numFmtId="2" fontId="20" fillId="0" borderId="0" xfId="0" applyNumberFormat="1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2" fontId="3" fillId="0" borderId="0" xfId="0" applyNumberFormat="1" applyFont="1" applyAlignment="1">
      <alignment horizontal="left" wrapText="1"/>
    </xf>
    <xf numFmtId="2" fontId="20" fillId="6" borderId="0" xfId="0" applyNumberFormat="1" applyFont="1" applyFill="1" applyAlignment="1">
      <alignment wrapText="1"/>
    </xf>
    <xf numFmtId="0" fontId="0" fillId="6" borderId="0" xfId="0" applyFill="1" applyAlignment="1">
      <alignment wrapText="1"/>
    </xf>
    <xf numFmtId="0" fontId="7" fillId="7" borderId="2" xfId="0" applyFont="1" applyFill="1" applyBorder="1" applyAlignment="1">
      <alignment horizontal="center" vertical="center" shrinkToFit="1"/>
    </xf>
    <xf numFmtId="0" fontId="0" fillId="0" borderId="2" xfId="0" applyBorder="1" applyAlignment="1">
      <alignment shrinkToFit="1"/>
    </xf>
    <xf numFmtId="2" fontId="8" fillId="8" borderId="3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2" fillId="0" borderId="0" xfId="0" applyNumberFormat="1" applyFont="1" applyAlignment="1">
      <alignment horizontal="left" wrapText="1"/>
    </xf>
    <xf numFmtId="0" fontId="0" fillId="0" borderId="0" xfId="0" applyAlignment="1">
      <alignment horizontal="left" wrapText="1"/>
    </xf>
    <xf numFmtId="1" fontId="45" fillId="0" borderId="0" xfId="0" applyNumberFormat="1" applyFont="1" applyAlignment="1">
      <alignment horizontal="center" vertical="center" textRotation="180"/>
    </xf>
    <xf numFmtId="0" fontId="2" fillId="0" borderId="0" xfId="0" applyFont="1" applyAlignment="1">
      <alignment horizontal="center" vertical="center" wrapText="1"/>
    </xf>
  </cellXfs>
  <cellStyles count="91">
    <cellStyle name="20% - Accent1 2" xfId="1" xr:uid="{00000000-0005-0000-0000-000000000000}"/>
    <cellStyle name="20% - Accent1 2 2" xfId="71" xr:uid="{68F2B859-8CD3-4BF0-92D4-3034F05555C8}"/>
    <cellStyle name="20% - Accent1 2 3" xfId="51" xr:uid="{EEACE909-F87E-4FA8-BBEE-C83DCA10B0C5}"/>
    <cellStyle name="20% - Accent2 2" xfId="2" xr:uid="{00000000-0005-0000-0000-000001000000}"/>
    <cellStyle name="20% - Accent2 2 2" xfId="72" xr:uid="{D1A0F343-21CF-456E-BBDC-79A7ADB95ED1}"/>
    <cellStyle name="20% - Accent2 2 3" xfId="52" xr:uid="{230CADE9-C8BD-4590-90AC-265FDCE8BB91}"/>
    <cellStyle name="20% - Accent3 2" xfId="3" xr:uid="{00000000-0005-0000-0000-000002000000}"/>
    <cellStyle name="20% - Accent3 2 2" xfId="73" xr:uid="{8414F744-A107-4E13-AE56-0187E1D544EF}"/>
    <cellStyle name="20% - Accent3 2 3" xfId="53" xr:uid="{D61FD987-60D3-4279-BE69-33E4D2377066}"/>
    <cellStyle name="20% - Accent4 2" xfId="4" xr:uid="{00000000-0005-0000-0000-000003000000}"/>
    <cellStyle name="20% - Accent4 2 2" xfId="74" xr:uid="{5A341273-872E-44C9-A40A-1EB80FA4B89F}"/>
    <cellStyle name="20% - Accent4 2 3" xfId="54" xr:uid="{355FA29F-924B-447E-A571-CD774ADF4E33}"/>
    <cellStyle name="20% - Accent5 2" xfId="5" xr:uid="{00000000-0005-0000-0000-000004000000}"/>
    <cellStyle name="20% - Accent5 2 2" xfId="75" xr:uid="{968BB87F-84BF-464B-B2AD-84F1CDAB6010}"/>
    <cellStyle name="20% - Accent5 2 3" xfId="55" xr:uid="{459DF4DC-158D-4CC6-96C9-BAD6CB9F372B}"/>
    <cellStyle name="20% - Accent6 2" xfId="6" xr:uid="{00000000-0005-0000-0000-000005000000}"/>
    <cellStyle name="20% - Accent6 2 2" xfId="76" xr:uid="{08D64186-37F9-486D-9388-465E76FE1B12}"/>
    <cellStyle name="20% - Accent6 2 3" xfId="56" xr:uid="{BF88453A-0CE2-4C79-BF3A-52FC87DF2474}"/>
    <cellStyle name="40% - Accent1 2" xfId="7" xr:uid="{00000000-0005-0000-0000-000006000000}"/>
    <cellStyle name="40% - Accent1 2 2" xfId="77" xr:uid="{AFD50748-434A-402E-A68B-36884E5DA706}"/>
    <cellStyle name="40% - Accent1 2 3" xfId="57" xr:uid="{43887842-78EB-4FD8-81E3-945F33552B90}"/>
    <cellStyle name="40% - Accent2 2" xfId="8" xr:uid="{00000000-0005-0000-0000-000007000000}"/>
    <cellStyle name="40% - Accent2 2 2" xfId="78" xr:uid="{BEE39F99-B05F-4307-AC92-8F8610D85757}"/>
    <cellStyle name="40% - Accent2 2 3" xfId="58" xr:uid="{34C445BD-C3F3-4DDC-9997-2B76DC602310}"/>
    <cellStyle name="40% - Accent3 2" xfId="9" xr:uid="{00000000-0005-0000-0000-000008000000}"/>
    <cellStyle name="40% - Accent3 2 2" xfId="79" xr:uid="{1318D4DA-4CDA-4F52-A65F-4C13CCE9EF25}"/>
    <cellStyle name="40% - Accent3 2 3" xfId="59" xr:uid="{9617C377-0AA5-4703-9F8A-5565AD17D8A4}"/>
    <cellStyle name="40% - Accent4 2" xfId="10" xr:uid="{00000000-0005-0000-0000-000009000000}"/>
    <cellStyle name="40% - Accent4 2 2" xfId="80" xr:uid="{744433E1-A40B-492C-832A-49721AC53034}"/>
    <cellStyle name="40% - Accent4 2 3" xfId="60" xr:uid="{C5D8C131-1C6F-4DCF-BF26-43DDA7EE260A}"/>
    <cellStyle name="40% - Accent5 2" xfId="11" xr:uid="{00000000-0005-0000-0000-00000A000000}"/>
    <cellStyle name="40% - Accent5 2 2" xfId="81" xr:uid="{7AB89694-BD45-4284-94A5-A6EB05A3E221}"/>
    <cellStyle name="40% - Accent5 2 3" xfId="61" xr:uid="{DE3B532E-7DC3-492D-A26E-A2FF7E0F1E33}"/>
    <cellStyle name="40% - Accent6 2" xfId="12" xr:uid="{00000000-0005-0000-0000-00000B000000}"/>
    <cellStyle name="40% - Accent6 2 2" xfId="82" xr:uid="{BADA0562-7EBB-46DE-972F-F85EC672BE84}"/>
    <cellStyle name="40% - Accent6 2 3" xfId="62" xr:uid="{C80DA263-1226-4033-AC76-3017C26DB797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2 2" xfId="30" xr:uid="{00000000-0005-0000-0000-00001D000000}"/>
    <cellStyle name="Comma 2 2 2" xfId="84" xr:uid="{0A987CE4-66B9-4468-9BEC-62EE5197C062}"/>
    <cellStyle name="Comma 2 2 3" xfId="64" xr:uid="{7A9D4A42-3C5A-42FE-BF78-735FA4CD0638}"/>
    <cellStyle name="Comma 2 3" xfId="83" xr:uid="{DF78971C-2449-4237-9EE5-DC36AC854260}"/>
    <cellStyle name="Comma 2 4" xfId="63" xr:uid="{B43E5E55-3CB7-4921-98A3-0BB373FF54E5}"/>
    <cellStyle name="Comma 3" xfId="31" xr:uid="{00000000-0005-0000-0000-00001E000000}"/>
    <cellStyle name="Comma 3 2" xfId="85" xr:uid="{5DBFD627-AC0D-4140-80C1-A4E46CB8A2E1}"/>
    <cellStyle name="Comma 3 3" xfId="65" xr:uid="{0F664183-51EB-433C-A455-2FC8DE28736C}"/>
    <cellStyle name="Comma 4" xfId="70" xr:uid="{920FB36E-E7CB-40FC-8963-506029FD71C9}"/>
    <cellStyle name="Comma 4 2" xfId="90" xr:uid="{2D96ED18-B0AB-4869-907A-E69B91041879}"/>
    <cellStyle name="Explanatory Text 2" xfId="32" xr:uid="{00000000-0005-0000-0000-00001F000000}"/>
    <cellStyle name="Good 2" xfId="33" xr:uid="{00000000-0005-0000-0000-000020000000}"/>
    <cellStyle name="Heading 1 2" xfId="34" xr:uid="{00000000-0005-0000-0000-000021000000}"/>
    <cellStyle name="Heading 2 2" xfId="35" xr:uid="{00000000-0005-0000-0000-000022000000}"/>
    <cellStyle name="Heading 3 2" xfId="36" xr:uid="{00000000-0005-0000-0000-000023000000}"/>
    <cellStyle name="Heading 4 2" xfId="37" xr:uid="{00000000-0005-0000-0000-000024000000}"/>
    <cellStyle name="Hyperlink" xfId="38" builtinId="8"/>
    <cellStyle name="Input 2" xfId="39" xr:uid="{00000000-0005-0000-0000-000026000000}"/>
    <cellStyle name="Linked Cell 2" xfId="40" xr:uid="{00000000-0005-0000-0000-000027000000}"/>
    <cellStyle name="Neutral 2" xfId="41" xr:uid="{00000000-0005-0000-0000-000028000000}"/>
    <cellStyle name="Normal" xfId="0" builtinId="0"/>
    <cellStyle name="Normal 2" xfId="42" xr:uid="{00000000-0005-0000-0000-00002A000000}"/>
    <cellStyle name="Normal 2 2" xfId="86" xr:uid="{CA2A6F55-1FBB-4FE2-B34A-2147B7DB7319}"/>
    <cellStyle name="Normal 2 3" xfId="66" xr:uid="{5E39FD6C-36E8-40AF-BC3F-0D8D700022FC}"/>
    <cellStyle name="Normal 3" xfId="43" xr:uid="{00000000-0005-0000-0000-00002B000000}"/>
    <cellStyle name="Normal 3 2" xfId="87" xr:uid="{CDE282D0-F6CC-4328-AABE-846856EAD612}"/>
    <cellStyle name="Normal 3 3" xfId="67" xr:uid="{AF40F273-98FC-43E3-9913-888B69C7E264}"/>
    <cellStyle name="Normal 4" xfId="44" xr:uid="{00000000-0005-0000-0000-00002C000000}"/>
    <cellStyle name="Normal 4 2" xfId="88" xr:uid="{4E154159-F9AA-460E-853C-9B62AE460958}"/>
    <cellStyle name="Normal 4 3" xfId="68" xr:uid="{A4989A45-DAB9-4017-BCD2-B7C5F35985CC}"/>
    <cellStyle name="Normal 5" xfId="50" xr:uid="{075C75AB-E28E-4DCA-97C2-EE62B78552C1}"/>
    <cellStyle name="Note 2" xfId="45" xr:uid="{00000000-0005-0000-0000-00002D000000}"/>
    <cellStyle name="Note 2 2" xfId="89" xr:uid="{89D53CA6-6D00-42C0-9684-1DBF36484986}"/>
    <cellStyle name="Note 2 3" xfId="69" xr:uid="{4AAFB733-7250-4935-BBB2-E380E1DE21C6}"/>
    <cellStyle name="Output 2" xfId="46" xr:uid="{00000000-0005-0000-0000-00002E000000}"/>
    <cellStyle name="Title" xfId="47" builtinId="15" customBuiltin="1"/>
    <cellStyle name="Total 2" xfId="48" xr:uid="{00000000-0005-0000-0000-000030000000}"/>
    <cellStyle name="Warning Text 2" xfId="49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8"/>
  <sheetViews>
    <sheetView zoomScale="115" zoomScaleNormal="115" zoomScaleSheetLayoutView="100" workbookViewId="0">
      <selection sqref="A1:F52"/>
    </sheetView>
  </sheetViews>
  <sheetFormatPr defaultColWidth="9.140625" defaultRowHeight="12.75" x14ac:dyDescent="0.2"/>
  <cols>
    <col min="1" max="1" width="19.7109375" style="115" customWidth="1"/>
    <col min="2" max="2" width="10.85546875" style="115" customWidth="1"/>
    <col min="3" max="3" width="15" style="115" customWidth="1"/>
    <col min="4" max="4" width="20.28515625" style="115" customWidth="1"/>
    <col min="5" max="5" width="8.28515625" style="1" customWidth="1"/>
    <col min="6" max="6" width="11" style="115" customWidth="1"/>
    <col min="7" max="7" width="12" style="115" customWidth="1"/>
    <col min="8" max="8" width="9.28515625" style="2" customWidth="1"/>
    <col min="9" max="9" width="9.7109375" style="115" customWidth="1"/>
    <col min="10" max="10" width="9.140625" style="115"/>
    <col min="11" max="11" width="12.7109375" style="115" customWidth="1"/>
    <col min="12" max="15" width="9.140625" style="115"/>
    <col min="16" max="16" width="14.28515625" style="115" bestFit="1" customWidth="1"/>
    <col min="17" max="16384" width="9.140625" style="115"/>
  </cols>
  <sheetData>
    <row r="1" spans="1:14" ht="15" x14ac:dyDescent="0.2">
      <c r="A1" s="24" t="s">
        <v>273</v>
      </c>
      <c r="B1" s="24"/>
      <c r="C1" s="24"/>
      <c r="D1" s="24"/>
      <c r="E1" s="24"/>
      <c r="F1" s="236"/>
      <c r="G1" s="5"/>
      <c r="H1" s="5"/>
      <c r="I1" s="5"/>
    </row>
    <row r="2" spans="1:14" x14ac:dyDescent="0.2">
      <c r="A2" s="5" t="s">
        <v>255</v>
      </c>
      <c r="B2" s="12" t="s">
        <v>36</v>
      </c>
      <c r="C2" s="12" t="s">
        <v>177</v>
      </c>
      <c r="D2" s="276" t="s">
        <v>397</v>
      </c>
      <c r="E2" s="1" t="s">
        <v>395</v>
      </c>
      <c r="F2" s="235" t="s">
        <v>396</v>
      </c>
      <c r="H2" s="16"/>
    </row>
    <row r="3" spans="1:14" x14ac:dyDescent="0.2">
      <c r="A3" s="5"/>
      <c r="B3" s="5"/>
      <c r="C3" s="8"/>
      <c r="D3" s="8"/>
      <c r="E3" s="8"/>
      <c r="F3" s="8"/>
      <c r="G3" s="8"/>
      <c r="H3" s="8"/>
      <c r="J3" s="8"/>
      <c r="K3" s="8"/>
      <c r="L3" s="8"/>
    </row>
    <row r="4" spans="1:14" x14ac:dyDescent="0.2">
      <c r="A4" s="5" t="s">
        <v>37</v>
      </c>
      <c r="B4" s="273">
        <v>33500</v>
      </c>
      <c r="C4" s="274">
        <v>100</v>
      </c>
      <c r="D4" s="237" t="s">
        <v>398</v>
      </c>
      <c r="E4" s="1" t="s">
        <v>402</v>
      </c>
      <c r="F4" s="297" t="s">
        <v>401</v>
      </c>
      <c r="H4" s="16"/>
      <c r="I4" s="5"/>
    </row>
    <row r="5" spans="1:14" x14ac:dyDescent="0.2">
      <c r="A5" s="5" t="s">
        <v>38</v>
      </c>
      <c r="B5" s="273">
        <v>26500</v>
      </c>
      <c r="C5" s="274">
        <v>100</v>
      </c>
      <c r="D5" s="237" t="s">
        <v>399</v>
      </c>
      <c r="E5" s="1" t="s">
        <v>402</v>
      </c>
      <c r="F5" s="297" t="s">
        <v>403</v>
      </c>
      <c r="H5" s="16"/>
      <c r="I5" s="5"/>
    </row>
    <row r="6" spans="1:14" x14ac:dyDescent="0.2">
      <c r="A6" s="5" t="s">
        <v>39</v>
      </c>
      <c r="B6" s="273">
        <v>18300</v>
      </c>
      <c r="C6" s="274">
        <v>0</v>
      </c>
      <c r="D6" s="237" t="s">
        <v>400</v>
      </c>
      <c r="E6" s="239"/>
      <c r="F6" s="238"/>
      <c r="G6" s="227"/>
      <c r="H6" s="16"/>
      <c r="I6" s="5"/>
    </row>
    <row r="7" spans="1:14" x14ac:dyDescent="0.2">
      <c r="A7" s="208" t="s">
        <v>373</v>
      </c>
      <c r="B7" s="209"/>
      <c r="C7" s="209"/>
      <c r="D7" s="209"/>
      <c r="E7" s="209"/>
      <c r="F7" s="209"/>
      <c r="G7" s="209"/>
      <c r="H7" s="209"/>
      <c r="I7" s="209"/>
      <c r="J7" s="242"/>
      <c r="K7" s="242"/>
      <c r="L7" s="242"/>
      <c r="M7" s="2"/>
    </row>
    <row r="8" spans="1:14" x14ac:dyDescent="0.2">
      <c r="A8" s="208" t="s">
        <v>378</v>
      </c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"/>
      <c r="N8" s="2"/>
    </row>
    <row r="9" spans="1:14" x14ac:dyDescent="0.2">
      <c r="A9" s="8"/>
      <c r="B9" s="8"/>
      <c r="C9" s="8"/>
      <c r="D9" s="8"/>
      <c r="E9" s="215" t="s">
        <v>305</v>
      </c>
      <c r="F9" s="215" t="s">
        <v>304</v>
      </c>
      <c r="G9" s="8"/>
      <c r="H9" s="8"/>
      <c r="I9" s="235"/>
      <c r="J9" s="8"/>
      <c r="K9" s="8"/>
      <c r="L9" s="8"/>
      <c r="M9" s="2"/>
    </row>
    <row r="10" spans="1:14" x14ac:dyDescent="0.2">
      <c r="A10" s="5" t="s">
        <v>341</v>
      </c>
      <c r="B10" s="5"/>
      <c r="C10" s="5"/>
      <c r="D10" s="5"/>
      <c r="E10" s="273">
        <v>96983</v>
      </c>
      <c r="F10" s="113">
        <f>E10/12</f>
        <v>8081.916666666667</v>
      </c>
      <c r="G10" s="5"/>
      <c r="H10" s="236" t="s">
        <v>414</v>
      </c>
      <c r="I10" s="236"/>
      <c r="M10" s="2"/>
    </row>
    <row r="11" spans="1:14" x14ac:dyDescent="0.2">
      <c r="B11" s="8" t="s">
        <v>306</v>
      </c>
      <c r="C11" s="5"/>
      <c r="D11" s="5"/>
      <c r="E11" s="113">
        <f>E10*0.512</f>
        <v>49655.296000000002</v>
      </c>
      <c r="F11" s="113">
        <f>E11/12</f>
        <v>4137.9413333333332</v>
      </c>
      <c r="G11" s="5"/>
      <c r="H11" s="5"/>
      <c r="I11" s="5"/>
      <c r="M11" s="2"/>
    </row>
    <row r="12" spans="1:14" x14ac:dyDescent="0.2">
      <c r="B12" s="8" t="s">
        <v>307</v>
      </c>
      <c r="C12" s="5"/>
      <c r="D12" s="5"/>
      <c r="E12" s="113">
        <f>E10*0.488</f>
        <v>47327.703999999998</v>
      </c>
      <c r="F12" s="113">
        <f>E12/12</f>
        <v>3943.9753333333333</v>
      </c>
      <c r="G12" s="5"/>
      <c r="H12" s="5"/>
      <c r="I12" s="5"/>
      <c r="M12" s="2"/>
      <c r="N12" s="2"/>
    </row>
    <row r="13" spans="1:14" x14ac:dyDescent="0.2">
      <c r="A13" s="275" t="s">
        <v>379</v>
      </c>
      <c r="B13" s="5"/>
      <c r="C13" s="5"/>
      <c r="D13" s="5"/>
      <c r="E13" s="113"/>
      <c r="F13" s="5"/>
      <c r="G13" s="5"/>
      <c r="H13" s="5"/>
      <c r="I13" s="5"/>
      <c r="K13" s="243"/>
    </row>
    <row r="14" spans="1:14" x14ac:dyDescent="0.2">
      <c r="A14" s="5"/>
      <c r="B14" s="5"/>
      <c r="C14" s="5"/>
      <c r="D14" s="5"/>
      <c r="E14" s="5"/>
      <c r="F14" s="5"/>
      <c r="G14" s="5"/>
      <c r="H14" s="5"/>
      <c r="I14" s="5"/>
      <c r="K14" s="2"/>
      <c r="L14" s="276" t="s">
        <v>405</v>
      </c>
    </row>
    <row r="15" spans="1:14" x14ac:dyDescent="0.2">
      <c r="A15" s="148" t="s">
        <v>276</v>
      </c>
      <c r="B15" s="5"/>
      <c r="C15" s="5"/>
      <c r="D15" s="5"/>
      <c r="E15" s="5"/>
      <c r="F15" s="5"/>
      <c r="G15" s="5"/>
      <c r="H15" s="5"/>
      <c r="I15" s="5"/>
      <c r="L15" s="276">
        <v>44</v>
      </c>
    </row>
    <row r="16" spans="1:14" x14ac:dyDescent="0.2">
      <c r="A16" s="5"/>
      <c r="B16" s="5"/>
      <c r="C16" s="5"/>
      <c r="D16" s="5"/>
      <c r="E16" s="5"/>
      <c r="F16" s="5"/>
      <c r="G16" s="5"/>
      <c r="H16" s="5"/>
      <c r="I16" s="5"/>
      <c r="K16" s="244"/>
      <c r="L16" s="2" t="str">
        <f>L14&amp;L15</f>
        <v>aaa44</v>
      </c>
    </row>
    <row r="17" spans="1:15" x14ac:dyDescent="0.2">
      <c r="A17" s="5" t="s">
        <v>270</v>
      </c>
      <c r="B17" s="11"/>
      <c r="C17" s="5"/>
      <c r="D17" s="5"/>
      <c r="E17" s="5"/>
      <c r="F17" s="5"/>
      <c r="G17" s="5"/>
      <c r="H17" s="5"/>
      <c r="I17" s="5"/>
    </row>
    <row r="18" spans="1:15" x14ac:dyDescent="0.2">
      <c r="B18" s="113">
        <f>E11/12</f>
        <v>4137.9413333333332</v>
      </c>
      <c r="C18" s="5" t="s">
        <v>308</v>
      </c>
      <c r="G18" s="5"/>
      <c r="H18" s="236" t="s">
        <v>404</v>
      </c>
      <c r="I18" s="5"/>
      <c r="K18" s="244"/>
      <c r="L18" s="2"/>
    </row>
    <row r="19" spans="1:15" x14ac:dyDescent="0.2">
      <c r="D19" s="12" t="s">
        <v>241</v>
      </c>
      <c r="E19" s="20">
        <f>B18*10*365/325851</f>
        <v>46.350896166243665</v>
      </c>
      <c r="F19" s="5" t="s">
        <v>277</v>
      </c>
      <c r="G19" s="5"/>
      <c r="H19" s="240" t="s">
        <v>409</v>
      </c>
      <c r="I19" s="240"/>
    </row>
    <row r="20" spans="1:15" x14ac:dyDescent="0.2">
      <c r="B20" s="5"/>
      <c r="E20" s="20"/>
      <c r="F20" s="5"/>
      <c r="G20" s="5"/>
      <c r="H20" s="240"/>
      <c r="I20" s="240"/>
      <c r="J20" s="245"/>
    </row>
    <row r="21" spans="1:15" x14ac:dyDescent="0.2">
      <c r="A21" s="5" t="s">
        <v>249</v>
      </c>
      <c r="B21" s="11"/>
      <c r="C21" s="5"/>
      <c r="D21" s="5"/>
      <c r="E21" s="20"/>
      <c r="F21" s="5"/>
      <c r="G21" s="5"/>
      <c r="H21" s="240"/>
      <c r="I21" s="240"/>
      <c r="J21" s="245"/>
    </row>
    <row r="22" spans="1:15" x14ac:dyDescent="0.2">
      <c r="B22" s="5" t="s">
        <v>41</v>
      </c>
      <c r="C22" s="5"/>
      <c r="D22" s="5"/>
      <c r="E22" s="20"/>
      <c r="F22" s="20"/>
      <c r="G22" s="5"/>
      <c r="H22" s="240"/>
      <c r="I22" s="240"/>
      <c r="J22" s="245"/>
    </row>
    <row r="23" spans="1:15" x14ac:dyDescent="0.2">
      <c r="B23" s="114">
        <f>B5*0.53</f>
        <v>14045</v>
      </c>
      <c r="C23" s="115" t="str">
        <f>L23&amp;B5&amp;M23</f>
        <v>is 53% of 26500 head of cattle</v>
      </c>
      <c r="E23" s="20"/>
      <c r="F23" s="20"/>
      <c r="G23" s="5"/>
      <c r="H23" s="240"/>
      <c r="I23" s="240"/>
      <c r="J23" s="240"/>
      <c r="L23" s="276" t="s">
        <v>407</v>
      </c>
      <c r="M23" s="8" t="s">
        <v>406</v>
      </c>
    </row>
    <row r="24" spans="1:15" x14ac:dyDescent="0.2">
      <c r="B24" s="113">
        <f>B23-B18</f>
        <v>9907.0586666666677</v>
      </c>
      <c r="C24" s="311" t="s">
        <v>237</v>
      </c>
      <c r="D24" s="312"/>
      <c r="E24" s="20"/>
      <c r="F24" s="20"/>
      <c r="G24" s="5"/>
      <c r="H24" s="5"/>
      <c r="I24" s="5"/>
    </row>
    <row r="25" spans="1:15" x14ac:dyDescent="0.2">
      <c r="C25" s="312"/>
      <c r="D25" s="312"/>
      <c r="E25" s="20">
        <f>B24*10*365/325851</f>
        <v>110.97331029621922</v>
      </c>
      <c r="F25" s="5" t="s">
        <v>277</v>
      </c>
      <c r="G25" s="5"/>
      <c r="H25" s="240" t="s">
        <v>409</v>
      </c>
      <c r="I25" s="5"/>
    </row>
    <row r="26" spans="1:15" x14ac:dyDescent="0.2">
      <c r="B26" s="114">
        <f>C5*0.53</f>
        <v>53</v>
      </c>
      <c r="C26" s="8" t="str">
        <f>L26&amp;C4&amp;M26</f>
        <v>is 53% of 100 head of sheep</v>
      </c>
      <c r="E26" s="118">
        <f>B26*2.2*365/325851</f>
        <v>0.13060877517638431</v>
      </c>
      <c r="F26" s="5" t="s">
        <v>277</v>
      </c>
      <c r="G26" s="5"/>
      <c r="H26" s="240" t="s">
        <v>410</v>
      </c>
      <c r="I26" s="5"/>
      <c r="L26" s="8" t="s">
        <v>407</v>
      </c>
      <c r="M26" s="276" t="s">
        <v>408</v>
      </c>
    </row>
    <row r="27" spans="1:15" x14ac:dyDescent="0.2">
      <c r="C27" s="5"/>
      <c r="D27" s="12" t="s">
        <v>242</v>
      </c>
      <c r="E27" s="20">
        <f>E25+E26</f>
        <v>111.10391907139561</v>
      </c>
      <c r="F27" s="5" t="s">
        <v>277</v>
      </c>
      <c r="G27" s="5"/>
      <c r="H27" s="5"/>
      <c r="I27" s="5"/>
    </row>
    <row r="28" spans="1:15" x14ac:dyDescent="0.2">
      <c r="B28" s="5" t="s">
        <v>244</v>
      </c>
      <c r="C28" s="5"/>
      <c r="D28" s="5"/>
      <c r="E28" s="63">
        <f>E19+E25+E26</f>
        <v>157.45481523763928</v>
      </c>
      <c r="F28" s="5" t="s">
        <v>277</v>
      </c>
      <c r="G28" s="5"/>
      <c r="H28" s="5"/>
      <c r="I28" s="5"/>
      <c r="L28" s="2"/>
      <c r="O28" s="2"/>
    </row>
    <row r="29" spans="1:15" x14ac:dyDescent="0.2">
      <c r="A29" s="17"/>
      <c r="B29" s="5"/>
      <c r="C29" s="5"/>
      <c r="D29" s="5"/>
      <c r="E29" s="20"/>
      <c r="F29" s="5"/>
      <c r="G29" s="5"/>
      <c r="H29" s="5"/>
      <c r="I29" s="5"/>
    </row>
    <row r="30" spans="1:15" x14ac:dyDescent="0.2">
      <c r="A30" s="148" t="s">
        <v>238</v>
      </c>
      <c r="B30" s="119"/>
      <c r="C30" s="5"/>
      <c r="D30" s="5"/>
      <c r="E30" s="20"/>
      <c r="F30" s="5"/>
      <c r="G30" s="5"/>
      <c r="H30" s="5"/>
      <c r="I30" s="5"/>
    </row>
    <row r="31" spans="1:15" x14ac:dyDescent="0.2">
      <c r="B31" s="5" t="s">
        <v>43</v>
      </c>
      <c r="C31" s="5"/>
      <c r="D31" s="5"/>
      <c r="E31" s="20"/>
      <c r="F31" s="5"/>
      <c r="G31" s="5"/>
      <c r="H31" s="5"/>
      <c r="I31" s="5"/>
    </row>
    <row r="32" spans="1:15" x14ac:dyDescent="0.2">
      <c r="A32" s="8"/>
      <c r="B32" s="12">
        <f>B6*0.06</f>
        <v>1098</v>
      </c>
      <c r="C32" s="8" t="str">
        <f>L32&amp;B6&amp;M32</f>
        <v>is 6% of 18300 head of cattle</v>
      </c>
      <c r="D32" s="8"/>
      <c r="E32" s="20">
        <f>B32*12*365/325851</f>
        <v>14.759015623705313</v>
      </c>
      <c r="F32" s="5" t="s">
        <v>277</v>
      </c>
      <c r="G32" s="5"/>
      <c r="H32" s="240" t="s">
        <v>409</v>
      </c>
      <c r="I32" s="5"/>
      <c r="L32" s="8" t="s">
        <v>411</v>
      </c>
      <c r="M32" s="276" t="s">
        <v>406</v>
      </c>
    </row>
    <row r="33" spans="1:24" x14ac:dyDescent="0.2">
      <c r="A33" s="8"/>
      <c r="B33" s="114">
        <f>C6*0.06</f>
        <v>0</v>
      </c>
      <c r="C33" s="8" t="str">
        <f>L33&amp;C6&amp;M33</f>
        <v>is 6% of 0 head of sheep</v>
      </c>
      <c r="E33" s="118">
        <f>B33*2.2*365/325851</f>
        <v>0</v>
      </c>
      <c r="F33" s="5" t="s">
        <v>277</v>
      </c>
      <c r="G33" s="5"/>
      <c r="H33" s="240" t="s">
        <v>410</v>
      </c>
      <c r="I33" s="5"/>
      <c r="L33" s="8" t="s">
        <v>411</v>
      </c>
      <c r="M33" s="276" t="s">
        <v>408</v>
      </c>
      <c r="N33" s="2"/>
    </row>
    <row r="34" spans="1:24" x14ac:dyDescent="0.2">
      <c r="A34" s="6"/>
      <c r="C34" s="116"/>
      <c r="D34" s="12" t="s">
        <v>243</v>
      </c>
      <c r="E34" s="63">
        <f>E32+E33</f>
        <v>14.759015623705313</v>
      </c>
      <c r="F34" s="5" t="s">
        <v>277</v>
      </c>
      <c r="G34" s="5"/>
      <c r="H34" s="5"/>
      <c r="I34" s="5"/>
    </row>
    <row r="35" spans="1:24" x14ac:dyDescent="0.2">
      <c r="A35" s="148" t="s">
        <v>44</v>
      </c>
      <c r="B35" s="5"/>
      <c r="C35" s="5"/>
      <c r="D35" s="5"/>
      <c r="E35" s="5"/>
      <c r="F35" s="5"/>
      <c r="G35" s="5"/>
      <c r="H35" s="5"/>
      <c r="I35" s="5"/>
    </row>
    <row r="36" spans="1:24" x14ac:dyDescent="0.2">
      <c r="B36" s="5" t="s">
        <v>45</v>
      </c>
      <c r="C36" s="5"/>
      <c r="D36" s="5"/>
      <c r="E36" s="5"/>
      <c r="F36" s="5"/>
      <c r="G36" s="5"/>
      <c r="H36" s="5"/>
      <c r="I36" s="5"/>
    </row>
    <row r="37" spans="1:24" x14ac:dyDescent="0.2">
      <c r="B37" s="113">
        <f>B6*0.07</f>
        <v>1281.0000000000002</v>
      </c>
      <c r="C37" s="8" t="str">
        <f>L37&amp;B6&amp;M37</f>
        <v>is 7% of 18300 head of cattle</v>
      </c>
      <c r="D37" s="8"/>
      <c r="E37" s="20">
        <f>B37*12*365/325851</f>
        <v>17.218851560989535</v>
      </c>
      <c r="F37" s="5" t="s">
        <v>277</v>
      </c>
      <c r="G37" s="5"/>
      <c r="H37" s="240" t="s">
        <v>409</v>
      </c>
      <c r="I37" s="5"/>
      <c r="L37" s="8" t="s">
        <v>412</v>
      </c>
      <c r="M37" s="276" t="s">
        <v>406</v>
      </c>
    </row>
    <row r="38" spans="1:24" x14ac:dyDescent="0.2">
      <c r="B38" s="113">
        <f>C6*0.07</f>
        <v>0</v>
      </c>
      <c r="C38" s="8" t="str">
        <f>L38&amp;C6&amp;M38</f>
        <v>is 7% of 0 head of sheep</v>
      </c>
      <c r="D38" s="8"/>
      <c r="E38" s="118">
        <f>B38*2.2*365/325851</f>
        <v>0</v>
      </c>
      <c r="F38" s="5" t="s">
        <v>277</v>
      </c>
      <c r="G38" s="5"/>
      <c r="H38" s="240" t="s">
        <v>410</v>
      </c>
      <c r="I38" s="5"/>
      <c r="J38" s="2"/>
      <c r="K38" s="2"/>
      <c r="L38" s="8" t="s">
        <v>412</v>
      </c>
      <c r="M38" s="276" t="s">
        <v>408</v>
      </c>
    </row>
    <row r="39" spans="1:24" x14ac:dyDescent="0.2">
      <c r="C39" s="9"/>
      <c r="D39" s="12" t="s">
        <v>239</v>
      </c>
      <c r="E39" s="63">
        <f>SUM(E37:E38)</f>
        <v>17.218851560989535</v>
      </c>
      <c r="F39" s="5" t="s">
        <v>277</v>
      </c>
      <c r="G39" s="5"/>
      <c r="H39" s="5"/>
      <c r="I39" s="5"/>
      <c r="L39" s="2"/>
      <c r="Q39" s="2"/>
      <c r="R39" s="2"/>
      <c r="S39" s="2"/>
      <c r="T39" s="2"/>
      <c r="U39" s="2"/>
      <c r="V39" s="2"/>
      <c r="W39" s="2"/>
    </row>
    <row r="40" spans="1:24" ht="14.25" x14ac:dyDescent="0.2">
      <c r="A40" s="5"/>
      <c r="B40" s="5"/>
      <c r="C40" s="5"/>
      <c r="D40" s="5"/>
      <c r="E40" s="5"/>
      <c r="F40" s="5"/>
      <c r="G40" s="5"/>
      <c r="H40" s="5"/>
      <c r="I40" s="5"/>
      <c r="L40" s="173"/>
      <c r="M40" s="173"/>
      <c r="O40" s="2"/>
      <c r="T40" s="2"/>
      <c r="U40" s="2"/>
      <c r="V40" s="2"/>
      <c r="W40" s="2"/>
    </row>
    <row r="41" spans="1:24" ht="14.25" x14ac:dyDescent="0.2">
      <c r="A41" s="148" t="s">
        <v>46</v>
      </c>
      <c r="B41" s="5"/>
      <c r="C41" s="5"/>
      <c r="D41" s="5"/>
      <c r="E41" s="5"/>
      <c r="F41" s="5"/>
      <c r="G41" s="5"/>
      <c r="H41" s="5"/>
      <c r="I41" s="5"/>
      <c r="L41" s="173"/>
      <c r="M41" s="173"/>
      <c r="O41" s="2"/>
      <c r="T41" s="2"/>
      <c r="U41" s="2"/>
      <c r="V41" s="2"/>
      <c r="W41" s="2"/>
    </row>
    <row r="42" spans="1:24" ht="14.25" x14ac:dyDescent="0.2">
      <c r="A42" s="5" t="s">
        <v>270</v>
      </c>
      <c r="C42" s="5"/>
      <c r="D42" s="5"/>
      <c r="E42" s="5"/>
      <c r="F42" s="5"/>
      <c r="G42" s="5"/>
      <c r="H42" s="5"/>
      <c r="I42" s="5"/>
      <c r="L42" s="173"/>
      <c r="M42" s="173"/>
      <c r="O42" s="2"/>
      <c r="T42" s="2"/>
      <c r="U42" s="2"/>
      <c r="V42" s="2"/>
      <c r="W42" s="2"/>
    </row>
    <row r="43" spans="1:24" ht="14.25" x14ac:dyDescent="0.2">
      <c r="A43" s="5"/>
      <c r="B43" s="113">
        <f>E12/12</f>
        <v>3943.9753333333333</v>
      </c>
      <c r="C43" s="5" t="s">
        <v>308</v>
      </c>
      <c r="D43" s="5"/>
      <c r="E43" s="5"/>
      <c r="F43" s="5"/>
      <c r="G43" s="5"/>
      <c r="H43" s="5"/>
      <c r="I43" s="5"/>
      <c r="J43" s="2"/>
      <c r="K43" s="2"/>
      <c r="L43" s="173"/>
      <c r="M43" s="173"/>
      <c r="N43" s="2"/>
      <c r="Q43" s="2"/>
      <c r="R43" s="2"/>
      <c r="S43" s="2"/>
      <c r="T43" s="2"/>
      <c r="U43" s="2"/>
      <c r="V43" s="2"/>
      <c r="W43" s="2"/>
    </row>
    <row r="44" spans="1:24" ht="14.25" x14ac:dyDescent="0.2">
      <c r="A44" s="5"/>
      <c r="C44" s="5"/>
      <c r="D44" s="12" t="s">
        <v>241</v>
      </c>
      <c r="E44" s="20">
        <f>B43*10*365/325851</f>
        <v>44.178197908450997</v>
      </c>
      <c r="F44" s="5" t="s">
        <v>277</v>
      </c>
      <c r="G44" s="5"/>
      <c r="H44" s="240" t="s">
        <v>409</v>
      </c>
      <c r="I44" s="5"/>
      <c r="J44" s="2"/>
      <c r="K44" s="2"/>
      <c r="L44" s="173"/>
      <c r="M44" s="173"/>
      <c r="N44" s="2"/>
      <c r="Q44" s="2"/>
      <c r="R44" s="2"/>
      <c r="S44" s="2"/>
      <c r="T44" s="2"/>
      <c r="U44" s="2"/>
      <c r="V44" s="2"/>
      <c r="W44" s="2"/>
      <c r="X44" s="2"/>
    </row>
    <row r="45" spans="1:24" ht="14.25" x14ac:dyDescent="0.2">
      <c r="A45" s="5"/>
      <c r="C45" s="5"/>
      <c r="D45" s="12"/>
      <c r="E45" s="20"/>
      <c r="F45" s="5"/>
      <c r="G45" s="5"/>
      <c r="H45" s="5"/>
      <c r="I45" s="5"/>
      <c r="J45" s="2"/>
      <c r="K45" s="2"/>
      <c r="L45" s="173"/>
      <c r="M45" s="173"/>
      <c r="N45" s="2"/>
      <c r="Q45" s="2"/>
      <c r="R45" s="2"/>
      <c r="S45" s="2"/>
      <c r="T45" s="2"/>
      <c r="U45" s="2"/>
      <c r="V45" s="2"/>
      <c r="W45" s="2"/>
      <c r="X45" s="2"/>
    </row>
    <row r="46" spans="1:24" ht="14.25" x14ac:dyDescent="0.2">
      <c r="A46" s="5" t="s">
        <v>249</v>
      </c>
      <c r="C46" s="5"/>
      <c r="D46" s="5"/>
      <c r="E46" s="20"/>
      <c r="F46" s="5"/>
      <c r="G46" s="5"/>
      <c r="H46" s="5"/>
      <c r="I46" s="5"/>
      <c r="J46" s="2"/>
      <c r="K46" s="2"/>
      <c r="L46" s="173"/>
      <c r="M46" s="173"/>
      <c r="N46" s="2"/>
      <c r="Q46" s="2"/>
      <c r="R46" s="2"/>
      <c r="S46" s="2"/>
      <c r="T46" s="2"/>
      <c r="U46" s="2"/>
      <c r="V46" s="2"/>
      <c r="W46" s="2"/>
      <c r="X46" s="2"/>
    </row>
    <row r="47" spans="1:24" ht="14.25" x14ac:dyDescent="0.2">
      <c r="B47" s="5" t="s">
        <v>47</v>
      </c>
      <c r="C47" s="5"/>
      <c r="D47" s="5"/>
      <c r="E47" s="5"/>
      <c r="F47" s="5"/>
      <c r="G47" s="5"/>
      <c r="H47" s="5"/>
      <c r="I47" s="5"/>
      <c r="J47" s="2"/>
      <c r="K47" s="2"/>
      <c r="L47" s="173"/>
      <c r="M47" s="173"/>
      <c r="N47" s="2"/>
      <c r="Q47" s="2"/>
      <c r="R47" s="2"/>
      <c r="S47" s="2"/>
      <c r="T47" s="2"/>
      <c r="U47" s="2"/>
      <c r="V47" s="2"/>
      <c r="W47" s="2"/>
      <c r="X47" s="2"/>
    </row>
    <row r="48" spans="1:24" x14ac:dyDescent="0.2">
      <c r="B48" s="12">
        <f>B4*0.41</f>
        <v>13735</v>
      </c>
      <c r="C48" s="115" t="str">
        <f>L48&amp;B4&amp;M48</f>
        <v>is 41% of 33500 head of cattle</v>
      </c>
      <c r="D48" s="8"/>
      <c r="E48" s="117"/>
      <c r="F48" s="5"/>
      <c r="G48" s="5"/>
      <c r="H48" s="5"/>
      <c r="I48" s="5"/>
      <c r="J48" s="2"/>
      <c r="K48" s="2"/>
      <c r="L48" s="8" t="s">
        <v>413</v>
      </c>
      <c r="M48" s="276" t="s">
        <v>406</v>
      </c>
      <c r="N48" s="2"/>
      <c r="Q48" s="2"/>
      <c r="R48" s="2"/>
      <c r="S48" s="2"/>
      <c r="T48" s="2"/>
      <c r="U48" s="2"/>
      <c r="V48" s="2"/>
      <c r="W48" s="2"/>
    </row>
    <row r="49" spans="1:25" ht="14.25" x14ac:dyDescent="0.2">
      <c r="B49" s="113">
        <f>B48-B43</f>
        <v>9791.0246666666662</v>
      </c>
      <c r="C49" s="313" t="s">
        <v>337</v>
      </c>
      <c r="D49" s="314"/>
      <c r="E49" s="117"/>
      <c r="F49" s="5"/>
      <c r="G49" s="5"/>
      <c r="H49" s="5"/>
      <c r="I49" s="5"/>
      <c r="J49" s="2"/>
      <c r="K49" s="2"/>
      <c r="L49" s="173"/>
      <c r="M49" s="173"/>
      <c r="N49" s="2"/>
      <c r="Q49" s="2"/>
      <c r="R49" s="2"/>
      <c r="S49" s="2"/>
      <c r="T49" s="2"/>
      <c r="U49" s="2"/>
      <c r="V49" s="2"/>
      <c r="W49" s="2"/>
    </row>
    <row r="50" spans="1:25" ht="14.25" x14ac:dyDescent="0.2">
      <c r="C50" s="314"/>
      <c r="D50" s="314"/>
      <c r="E50" s="20">
        <f>B49*10*365/325851</f>
        <v>109.6735625587564</v>
      </c>
      <c r="F50" s="5" t="s">
        <v>277</v>
      </c>
      <c r="G50" s="5"/>
      <c r="H50" s="5"/>
      <c r="I50" s="5"/>
      <c r="J50" s="2"/>
      <c r="K50" s="2"/>
      <c r="L50" s="173"/>
      <c r="M50" s="173"/>
      <c r="N50" s="2"/>
      <c r="Q50" s="2"/>
      <c r="R50" s="2"/>
      <c r="S50" s="2"/>
      <c r="T50" s="2"/>
      <c r="U50" s="2"/>
      <c r="V50" s="2"/>
      <c r="W50" s="2"/>
    </row>
    <row r="51" spans="1:25" x14ac:dyDescent="0.2">
      <c r="B51" s="114">
        <f>C4*0.41</f>
        <v>41</v>
      </c>
      <c r="C51" s="115" t="str">
        <f>L51&amp;C4&amp;M51</f>
        <v>is 41% of 100 head of sheep</v>
      </c>
      <c r="D51" s="5"/>
      <c r="E51" s="118">
        <f>B51*2.2*365/325851</f>
        <v>0.10103697702324069</v>
      </c>
      <c r="F51" s="5" t="s">
        <v>277</v>
      </c>
      <c r="G51" s="5"/>
      <c r="H51" s="5"/>
      <c r="I51" s="5"/>
      <c r="J51" s="2"/>
      <c r="K51" s="2"/>
      <c r="L51" s="8" t="s">
        <v>413</v>
      </c>
      <c r="M51" s="276" t="s">
        <v>408</v>
      </c>
      <c r="N51" s="2"/>
      <c r="P51" s="2"/>
      <c r="Q51" s="2"/>
      <c r="S51" s="2"/>
      <c r="T51" s="2"/>
      <c r="U51" s="2"/>
      <c r="V51" s="2"/>
    </row>
    <row r="52" spans="1:25" ht="14.25" x14ac:dyDescent="0.2">
      <c r="C52" s="5"/>
      <c r="D52" s="12" t="s">
        <v>240</v>
      </c>
      <c r="E52" s="63">
        <f>SUM(E48:E51)+E44</f>
        <v>153.95279744423064</v>
      </c>
      <c r="F52" s="5" t="s">
        <v>277</v>
      </c>
      <c r="G52" s="5"/>
      <c r="H52" s="5"/>
      <c r="I52" s="5"/>
      <c r="J52" s="2"/>
      <c r="K52" s="2"/>
      <c r="L52" s="173"/>
      <c r="M52" s="173"/>
      <c r="N52" s="2"/>
      <c r="P52" s="2"/>
      <c r="Q52" s="2"/>
      <c r="S52" s="2"/>
      <c r="T52" s="2"/>
      <c r="U52" s="2"/>
      <c r="V52" s="2"/>
      <c r="W52" s="2"/>
      <c r="X52" s="2"/>
    </row>
    <row r="53" spans="1:25" ht="15" x14ac:dyDescent="0.2">
      <c r="A53" s="24" t="s">
        <v>310</v>
      </c>
      <c r="B53" s="120"/>
      <c r="C53" s="120"/>
      <c r="D53" s="120"/>
      <c r="E53" s="120"/>
      <c r="F53" s="120"/>
      <c r="G53" s="120"/>
      <c r="H53" s="120"/>
      <c r="I53" s="120"/>
      <c r="J53" s="2"/>
      <c r="K53" s="2"/>
      <c r="L53" s="173"/>
      <c r="M53" s="173"/>
      <c r="N53" s="2"/>
      <c r="O53" s="253"/>
      <c r="S53" s="2"/>
      <c r="T53" s="2"/>
      <c r="U53" s="2"/>
      <c r="V53" s="2"/>
      <c r="W53" s="2"/>
    </row>
    <row r="54" spans="1:25" ht="14.25" x14ac:dyDescent="0.2">
      <c r="A54" s="115" t="s">
        <v>136</v>
      </c>
      <c r="B54" s="120"/>
      <c r="C54" s="120"/>
      <c r="F54" s="121"/>
      <c r="G54" s="121"/>
      <c r="H54" s="121"/>
      <c r="I54" s="121"/>
      <c r="J54" s="2"/>
      <c r="K54" s="59"/>
      <c r="L54" s="173"/>
      <c r="M54" s="173"/>
      <c r="N54" s="2"/>
      <c r="S54" s="2"/>
      <c r="T54" s="2"/>
      <c r="U54" s="2"/>
      <c r="V54" s="2"/>
      <c r="W54" s="2"/>
    </row>
    <row r="55" spans="1:25" ht="15" x14ac:dyDescent="0.2">
      <c r="A55" s="60"/>
      <c r="B55" s="121"/>
      <c r="C55" s="129" t="s">
        <v>245</v>
      </c>
      <c r="D55" s="129" t="s">
        <v>35</v>
      </c>
      <c r="E55" s="121"/>
      <c r="F55" s="129"/>
      <c r="I55" s="121"/>
      <c r="J55" s="2"/>
      <c r="K55" s="2"/>
      <c r="L55" s="173"/>
      <c r="M55" s="173"/>
      <c r="N55" s="2"/>
      <c r="P55" s="2"/>
      <c r="S55" s="2"/>
      <c r="T55" s="2"/>
      <c r="U55" s="2"/>
      <c r="V55" s="2"/>
      <c r="W55" s="2"/>
      <c r="X55" s="2"/>
      <c r="Y55" s="2"/>
    </row>
    <row r="56" spans="1:25" ht="14.25" x14ac:dyDescent="0.2">
      <c r="A56" s="7" t="s">
        <v>46</v>
      </c>
      <c r="B56" s="5"/>
      <c r="C56" s="61"/>
      <c r="D56" s="62"/>
      <c r="E56" s="5"/>
      <c r="F56" s="5"/>
      <c r="J56" s="2"/>
      <c r="K56" s="2"/>
      <c r="L56" s="173"/>
      <c r="M56" s="173"/>
      <c r="N56" s="2"/>
      <c r="S56" s="2"/>
      <c r="T56" s="257"/>
      <c r="U56" s="2"/>
      <c r="V56" s="2"/>
      <c r="W56" s="2"/>
    </row>
    <row r="57" spans="1:25" ht="14.25" x14ac:dyDescent="0.2">
      <c r="A57" s="8" t="s">
        <v>159</v>
      </c>
      <c r="B57" s="5"/>
      <c r="C57" s="289">
        <v>10.47</v>
      </c>
      <c r="D57" s="20">
        <f>C57*0.5</f>
        <v>5.2350000000000003</v>
      </c>
      <c r="E57" s="5"/>
      <c r="F57" s="13"/>
      <c r="G57" s="254"/>
      <c r="H57" s="255"/>
      <c r="I57" s="254"/>
      <c r="J57" s="255"/>
      <c r="K57" s="264"/>
      <c r="L57" s="258"/>
      <c r="M57" s="259"/>
      <c r="N57" s="2"/>
      <c r="O57" s="256"/>
      <c r="P57" s="255"/>
      <c r="Q57" s="255"/>
      <c r="R57" s="254"/>
      <c r="S57" s="255"/>
      <c r="T57" s="257"/>
      <c r="U57" s="2"/>
      <c r="V57" s="2"/>
      <c r="W57" s="2"/>
    </row>
    <row r="58" spans="1:25" ht="14.25" x14ac:dyDescent="0.2">
      <c r="A58" s="14" t="s">
        <v>160</v>
      </c>
      <c r="B58" s="15"/>
      <c r="C58" s="289">
        <v>4.38</v>
      </c>
      <c r="D58" s="20">
        <f>C58*0.5</f>
        <v>2.19</v>
      </c>
      <c r="E58" s="14"/>
      <c r="F58" s="13"/>
      <c r="G58" s="254"/>
      <c r="H58" s="255"/>
      <c r="I58" s="254"/>
      <c r="J58" s="255"/>
      <c r="K58" s="264"/>
      <c r="L58" s="258"/>
      <c r="M58" s="258"/>
      <c r="N58" s="2"/>
      <c r="O58" s="255"/>
      <c r="P58" s="255"/>
      <c r="Q58" s="255"/>
      <c r="R58" s="255"/>
      <c r="S58" s="255"/>
      <c r="T58" s="257"/>
      <c r="U58" s="257"/>
      <c r="V58" s="257"/>
      <c r="W58" s="2"/>
    </row>
    <row r="59" spans="1:25" ht="14.25" x14ac:dyDescent="0.2">
      <c r="A59" s="14" t="s">
        <v>154</v>
      </c>
      <c r="B59" s="15"/>
      <c r="C59" s="289">
        <v>65.5</v>
      </c>
      <c r="D59" s="20">
        <f>C59*0.5</f>
        <v>32.75</v>
      </c>
      <c r="E59" s="14"/>
      <c r="F59" s="144"/>
      <c r="G59" s="254"/>
      <c r="H59" s="254"/>
      <c r="I59" s="254"/>
      <c r="J59" s="254"/>
      <c r="K59" s="254"/>
      <c r="L59" s="258"/>
      <c r="M59" s="258"/>
      <c r="N59" s="2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7"/>
    </row>
    <row r="60" spans="1:25" ht="14.25" x14ac:dyDescent="0.2">
      <c r="A60" s="14" t="s">
        <v>155</v>
      </c>
      <c r="B60" s="15"/>
      <c r="C60" s="289">
        <v>50.25</v>
      </c>
      <c r="D60" s="20">
        <f>C60*0.5</f>
        <v>25.125</v>
      </c>
      <c r="E60" s="14"/>
      <c r="F60" s="14"/>
      <c r="H60" s="246"/>
      <c r="J60" s="2"/>
      <c r="K60" s="2"/>
      <c r="L60" s="258"/>
      <c r="M60" s="173"/>
      <c r="N60" s="2"/>
      <c r="T60" s="2"/>
      <c r="U60" s="2"/>
      <c r="V60" s="2"/>
      <c r="W60" s="2"/>
      <c r="X60" s="2"/>
    </row>
    <row r="61" spans="1:25" ht="14.25" x14ac:dyDescent="0.2">
      <c r="A61" s="12" t="s">
        <v>71</v>
      </c>
      <c r="B61" s="15"/>
      <c r="C61" s="63">
        <f>SUM(C57:C60)</f>
        <v>130.6</v>
      </c>
      <c r="D61" s="63">
        <f>SUM(D57:D60)</f>
        <v>65.3</v>
      </c>
      <c r="E61" s="14"/>
      <c r="F61" s="14"/>
      <c r="H61" s="237"/>
      <c r="J61" s="2"/>
      <c r="K61" s="2"/>
      <c r="L61" s="258"/>
      <c r="M61" s="173"/>
      <c r="N61" s="2"/>
      <c r="Q61" s="2"/>
      <c r="T61" s="2"/>
      <c r="U61" s="2"/>
      <c r="V61" s="2"/>
      <c r="W61" s="2"/>
      <c r="X61" s="2"/>
    </row>
    <row r="62" spans="1:25" ht="14.25" x14ac:dyDescent="0.2">
      <c r="A62" s="6" t="s">
        <v>40</v>
      </c>
      <c r="B62" s="5"/>
      <c r="C62" s="20"/>
      <c r="D62" s="20"/>
      <c r="E62" s="14"/>
      <c r="F62" s="5"/>
      <c r="H62" s="246"/>
      <c r="J62" s="2"/>
      <c r="K62" s="2"/>
      <c r="L62" s="258"/>
      <c r="M62" s="173"/>
      <c r="N62" s="2"/>
      <c r="Q62" s="246"/>
      <c r="T62" s="2"/>
      <c r="U62" s="2"/>
      <c r="V62" s="2"/>
    </row>
    <row r="63" spans="1:25" ht="14.25" x14ac:dyDescent="0.2">
      <c r="A63" s="14" t="s">
        <v>246</v>
      </c>
      <c r="B63" s="15"/>
      <c r="C63" s="289">
        <v>127.43</v>
      </c>
      <c r="D63" s="289">
        <f>(C63-82.59)*0.5</f>
        <v>22.42</v>
      </c>
      <c r="E63" s="14"/>
      <c r="F63" s="14"/>
      <c r="G63" s="2"/>
      <c r="H63" s="246"/>
      <c r="J63" s="2"/>
      <c r="K63" s="2"/>
      <c r="L63" s="258"/>
      <c r="M63" s="173"/>
      <c r="N63" s="2"/>
      <c r="Q63" s="246"/>
      <c r="T63" s="2"/>
      <c r="U63" s="2"/>
      <c r="V63" s="2"/>
      <c r="W63" s="2"/>
    </row>
    <row r="64" spans="1:25" ht="14.25" x14ac:dyDescent="0.2">
      <c r="A64" s="14" t="s">
        <v>247</v>
      </c>
      <c r="B64" s="15"/>
      <c r="C64" s="296">
        <f>Freeport!B21+663.33+0+73.16</f>
        <v>7726.85</v>
      </c>
      <c r="D64" s="296">
        <f>((0+(73.16-0.23))*0.5)+663.33+Freeport!B22+cliffgila!W24</f>
        <v>6421.8716666666669</v>
      </c>
      <c r="F64" s="210"/>
      <c r="G64" s="2"/>
      <c r="H64" s="237"/>
      <c r="J64" s="2"/>
      <c r="K64" s="2"/>
      <c r="L64" s="258"/>
      <c r="M64" s="173"/>
      <c r="N64" s="2"/>
      <c r="Q64" s="246"/>
      <c r="T64" s="2"/>
      <c r="U64" s="2"/>
      <c r="V64" s="2"/>
    </row>
    <row r="65" spans="1:24" ht="14.25" x14ac:dyDescent="0.2">
      <c r="A65" s="5" t="s">
        <v>156</v>
      </c>
      <c r="B65" s="5"/>
      <c r="C65" s="289">
        <v>9.99</v>
      </c>
      <c r="D65" s="20">
        <f>C65*0.5</f>
        <v>4.9950000000000001</v>
      </c>
      <c r="E65" s="5"/>
      <c r="F65" s="5"/>
      <c r="G65" s="276"/>
      <c r="H65" s="246"/>
      <c r="I65" s="237"/>
      <c r="J65" s="2"/>
      <c r="K65" s="2"/>
      <c r="L65" s="258"/>
      <c r="M65" s="173"/>
      <c r="N65" s="2"/>
      <c r="Q65" s="246"/>
      <c r="T65" s="2"/>
      <c r="U65" s="2"/>
      <c r="V65" s="2"/>
      <c r="W65" s="2"/>
      <c r="X65" s="2"/>
    </row>
    <row r="66" spans="1:24" ht="14.25" x14ac:dyDescent="0.2">
      <c r="A66" s="12" t="s">
        <v>71</v>
      </c>
      <c r="B66" s="5"/>
      <c r="C66" s="63">
        <f>SUM(C63:C65)</f>
        <v>7864.27</v>
      </c>
      <c r="D66" s="63">
        <f>SUM(D63:D65)</f>
        <v>6449.2866666666669</v>
      </c>
      <c r="E66" s="5"/>
      <c r="F66" s="5"/>
      <c r="G66" s="2"/>
      <c r="H66" s="237"/>
      <c r="J66" s="237"/>
      <c r="K66" s="2"/>
      <c r="L66" s="258"/>
      <c r="M66" s="173"/>
      <c r="N66" s="2"/>
      <c r="T66" s="2"/>
      <c r="U66" s="2"/>
      <c r="V66" s="2"/>
    </row>
    <row r="67" spans="1:24" ht="14.25" x14ac:dyDescent="0.2">
      <c r="A67" s="6" t="s">
        <v>44</v>
      </c>
      <c r="B67" s="5"/>
      <c r="C67" s="20"/>
      <c r="D67" s="20"/>
      <c r="E67" s="5"/>
      <c r="F67" s="5"/>
      <c r="G67" s="276"/>
      <c r="H67" s="246"/>
      <c r="J67" s="2"/>
      <c r="K67" s="2"/>
      <c r="L67" s="258"/>
      <c r="M67" s="173"/>
      <c r="N67" s="127"/>
      <c r="T67" s="2"/>
      <c r="U67" s="2"/>
    </row>
    <row r="68" spans="1:24" ht="14.25" x14ac:dyDescent="0.2">
      <c r="A68" s="5" t="s">
        <v>157</v>
      </c>
      <c r="B68" s="5"/>
      <c r="C68" s="289">
        <v>18.54</v>
      </c>
      <c r="D68" s="63">
        <f>C68*0.5</f>
        <v>9.27</v>
      </c>
      <c r="E68" s="5"/>
      <c r="F68" s="6"/>
      <c r="J68" s="2"/>
      <c r="K68" s="2"/>
      <c r="L68" s="258"/>
      <c r="M68" s="173"/>
      <c r="N68" s="2"/>
      <c r="T68" s="2"/>
      <c r="U68" s="2"/>
      <c r="V68" s="2"/>
      <c r="W68" s="2"/>
    </row>
    <row r="69" spans="1:24" ht="14.25" x14ac:dyDescent="0.2">
      <c r="A69" s="6" t="s">
        <v>42</v>
      </c>
      <c r="B69" s="5"/>
      <c r="C69" s="20"/>
      <c r="D69" s="20"/>
      <c r="E69" s="5"/>
      <c r="F69" s="5"/>
      <c r="J69" s="2"/>
      <c r="K69" s="2"/>
      <c r="L69" s="258"/>
      <c r="M69" s="173"/>
      <c r="N69" s="2"/>
      <c r="T69" s="2"/>
      <c r="U69" s="2"/>
      <c r="V69" s="2"/>
    </row>
    <row r="70" spans="1:24" ht="14.25" x14ac:dyDescent="0.2">
      <c r="A70" s="5" t="s">
        <v>158</v>
      </c>
      <c r="B70" s="5"/>
      <c r="C70" s="290">
        <v>18.5</v>
      </c>
      <c r="D70" s="63">
        <f>C70*0.5</f>
        <v>9.25</v>
      </c>
      <c r="E70" s="5"/>
      <c r="F70" s="5"/>
      <c r="I70" s="237"/>
      <c r="J70" s="2"/>
      <c r="K70" s="2"/>
      <c r="L70" s="258"/>
      <c r="M70" s="173"/>
      <c r="N70" s="2"/>
      <c r="T70" s="2"/>
      <c r="U70" s="2"/>
      <c r="V70" s="2"/>
      <c r="W70" s="2"/>
    </row>
    <row r="71" spans="1:24" ht="14.25" x14ac:dyDescent="0.2">
      <c r="A71" s="5"/>
      <c r="B71" s="5"/>
      <c r="C71" s="5"/>
      <c r="D71" s="5"/>
      <c r="E71" s="5"/>
      <c r="F71" s="5"/>
      <c r="G71" s="5"/>
      <c r="H71" s="5"/>
      <c r="J71" s="2"/>
      <c r="K71" s="246"/>
      <c r="L71" s="258"/>
      <c r="M71" s="173"/>
      <c r="N71" s="2"/>
      <c r="T71" s="2"/>
      <c r="U71" s="2"/>
    </row>
    <row r="72" spans="1:24" ht="14.25" x14ac:dyDescent="0.2">
      <c r="A72" s="317" t="s">
        <v>389</v>
      </c>
      <c r="B72" s="318"/>
      <c r="C72" s="318"/>
      <c r="D72" s="318"/>
      <c r="E72" s="318"/>
      <c r="F72" s="318"/>
      <c r="G72" s="318"/>
      <c r="H72" s="5"/>
      <c r="J72" s="2"/>
      <c r="K72" s="2"/>
      <c r="L72" s="258"/>
      <c r="M72" s="173"/>
      <c r="N72" s="2"/>
      <c r="T72" s="2"/>
      <c r="U72" s="2"/>
      <c r="V72" s="2"/>
    </row>
    <row r="73" spans="1:24" s="122" customFormat="1" ht="14.25" x14ac:dyDescent="0.2">
      <c r="A73" s="320" t="s">
        <v>342</v>
      </c>
      <c r="B73" s="321"/>
      <c r="C73" s="321"/>
      <c r="D73" s="321"/>
      <c r="E73" s="321"/>
      <c r="F73" s="321"/>
      <c r="G73" s="321"/>
      <c r="H73" s="321"/>
      <c r="J73" s="2"/>
      <c r="K73" s="59"/>
      <c r="L73" s="258"/>
      <c r="M73" s="173"/>
      <c r="N73" s="2"/>
      <c r="T73" s="2"/>
      <c r="U73" s="2"/>
      <c r="V73" s="2"/>
      <c r="W73" s="2"/>
    </row>
    <row r="74" spans="1:24" s="122" customFormat="1" ht="14.25" x14ac:dyDescent="0.2">
      <c r="A74" s="321"/>
      <c r="B74" s="321"/>
      <c r="C74" s="321"/>
      <c r="D74" s="321"/>
      <c r="E74" s="321"/>
      <c r="F74" s="321"/>
      <c r="G74" s="321"/>
      <c r="H74" s="321"/>
      <c r="J74" s="2"/>
      <c r="K74" s="2"/>
      <c r="L74" s="258"/>
      <c r="M74" s="173"/>
      <c r="N74" s="2"/>
      <c r="T74" s="2"/>
      <c r="U74" s="2"/>
      <c r="V74" s="2"/>
    </row>
    <row r="75" spans="1:24" ht="15" x14ac:dyDescent="0.25">
      <c r="A75" s="5"/>
      <c r="B75" s="5"/>
      <c r="C75" s="5"/>
      <c r="D75" s="5"/>
      <c r="E75" s="5"/>
      <c r="F75" s="5"/>
      <c r="G75" s="5"/>
      <c r="H75" s="5"/>
      <c r="J75" s="2"/>
      <c r="K75" s="2"/>
      <c r="L75" s="261"/>
      <c r="M75" s="173"/>
      <c r="N75" s="2"/>
      <c r="T75" s="2"/>
      <c r="U75" s="2"/>
      <c r="V75" s="2"/>
    </row>
    <row r="76" spans="1:24" ht="15" x14ac:dyDescent="0.2">
      <c r="A76" s="24" t="s">
        <v>248</v>
      </c>
      <c r="B76" s="135"/>
      <c r="C76" s="135"/>
      <c r="D76" s="135"/>
      <c r="E76" s="135"/>
      <c r="F76" s="135"/>
      <c r="H76" s="5"/>
      <c r="I76" s="5"/>
      <c r="J76" s="2"/>
      <c r="K76" s="2"/>
      <c r="L76" s="258"/>
      <c r="M76" s="173"/>
      <c r="N76" s="2"/>
      <c r="T76" s="2"/>
      <c r="U76" s="2"/>
      <c r="V76" s="2"/>
      <c r="W76" s="2"/>
    </row>
    <row r="77" spans="1:24" s="119" customFormat="1" ht="14.25" x14ac:dyDescent="0.2">
      <c r="A77" s="115"/>
      <c r="B77" s="7"/>
      <c r="C77" s="5"/>
      <c r="D77" s="5"/>
      <c r="E77" s="5"/>
      <c r="F77" s="5"/>
      <c r="G77" s="310" t="s">
        <v>355</v>
      </c>
      <c r="H77" s="319"/>
      <c r="I77" s="310"/>
      <c r="J77" s="310"/>
      <c r="K77" s="2"/>
      <c r="L77" s="258"/>
      <c r="M77" s="173"/>
      <c r="N77" s="260"/>
      <c r="T77" s="2"/>
      <c r="U77" s="115"/>
      <c r="V77" s="115"/>
    </row>
    <row r="78" spans="1:24" ht="14.25" x14ac:dyDescent="0.2">
      <c r="A78" s="4" t="s">
        <v>48</v>
      </c>
      <c r="B78" s="4" t="s">
        <v>49</v>
      </c>
      <c r="C78" s="4" t="s">
        <v>50</v>
      </c>
      <c r="D78" s="4" t="s">
        <v>51</v>
      </c>
      <c r="E78" s="7" t="s">
        <v>67</v>
      </c>
      <c r="F78" s="7" t="s">
        <v>69</v>
      </c>
      <c r="G78" s="319"/>
      <c r="H78" s="319"/>
      <c r="I78" s="310"/>
      <c r="J78" s="310"/>
      <c r="L78" s="258"/>
      <c r="M78" s="173"/>
      <c r="N78" s="2"/>
      <c r="T78" s="2"/>
    </row>
    <row r="79" spans="1:24" ht="15" x14ac:dyDescent="0.25">
      <c r="A79" s="4"/>
      <c r="B79" s="4" t="s">
        <v>13</v>
      </c>
      <c r="C79" s="4" t="s">
        <v>52</v>
      </c>
      <c r="D79" s="4" t="s">
        <v>53</v>
      </c>
      <c r="E79" s="6" t="s">
        <v>68</v>
      </c>
      <c r="F79" s="4" t="s">
        <v>70</v>
      </c>
      <c r="G79" s="145" t="s">
        <v>87</v>
      </c>
      <c r="H79" s="219">
        <v>1.47</v>
      </c>
      <c r="I79" s="145"/>
      <c r="J79" s="237"/>
      <c r="K79" s="127"/>
      <c r="L79" s="276"/>
      <c r="M79" s="262"/>
      <c r="N79" s="173"/>
      <c r="O79" s="127"/>
      <c r="P79" s="127"/>
      <c r="Q79" s="127"/>
      <c r="R79" s="127"/>
      <c r="S79" s="127"/>
      <c r="T79" s="59"/>
      <c r="U79" s="127"/>
      <c r="V79" s="127"/>
      <c r="W79" s="127"/>
    </row>
    <row r="80" spans="1:24" ht="14.25" x14ac:dyDescent="0.2">
      <c r="B80" s="4"/>
      <c r="C80" s="4"/>
      <c r="D80" s="4"/>
      <c r="E80" s="6"/>
      <c r="F80" s="4"/>
      <c r="G80" s="145" t="s">
        <v>88</v>
      </c>
      <c r="H80" s="219">
        <v>2.5499999999999998</v>
      </c>
      <c r="I80" s="145"/>
      <c r="J80" s="237"/>
      <c r="K80" s="127"/>
      <c r="L80" s="276"/>
      <c r="M80" s="173"/>
      <c r="N80" s="127"/>
      <c r="O80" s="127"/>
      <c r="P80" s="127"/>
      <c r="Q80" s="127"/>
      <c r="R80" s="127"/>
      <c r="S80" s="127"/>
      <c r="T80" s="127"/>
      <c r="U80" s="127"/>
    </row>
    <row r="81" spans="1:23" ht="14.25" x14ac:dyDescent="0.2">
      <c r="A81" s="8" t="s">
        <v>178</v>
      </c>
      <c r="B81" s="12">
        <v>46.9</v>
      </c>
      <c r="C81" s="31">
        <f>H91</f>
        <v>14.949999999999998</v>
      </c>
      <c r="D81" s="13">
        <f>(B81-C81)/12</f>
        <v>2.6625000000000001</v>
      </c>
      <c r="E81" s="13">
        <v>89</v>
      </c>
      <c r="F81" s="139">
        <f>D81*E81</f>
        <v>236.96250000000001</v>
      </c>
      <c r="G81" s="145" t="s">
        <v>89</v>
      </c>
      <c r="H81" s="219">
        <v>1.03</v>
      </c>
      <c r="I81" s="145"/>
      <c r="K81" s="127"/>
      <c r="L81" s="276"/>
      <c r="N81" s="258"/>
      <c r="O81" s="26"/>
    </row>
    <row r="82" spans="1:23" ht="14.25" x14ac:dyDescent="0.2">
      <c r="A82" s="8" t="s">
        <v>179</v>
      </c>
      <c r="B82" s="12">
        <v>44.8</v>
      </c>
      <c r="C82" s="31">
        <f>H91*1.25</f>
        <v>18.687499999999996</v>
      </c>
      <c r="D82" s="13">
        <f>(B82-C82)/12</f>
        <v>2.1760416666666669</v>
      </c>
      <c r="E82" s="13">
        <v>55</v>
      </c>
      <c r="F82" s="139">
        <f>D82*E82</f>
        <v>119.68229166666667</v>
      </c>
      <c r="G82" s="145" t="s">
        <v>90</v>
      </c>
      <c r="H82" s="219">
        <v>0.18</v>
      </c>
      <c r="I82" s="145"/>
      <c r="K82" s="127"/>
      <c r="L82" s="276"/>
      <c r="N82" s="258"/>
    </row>
    <row r="83" spans="1:23" x14ac:dyDescent="0.2">
      <c r="A83" s="12" t="s">
        <v>71</v>
      </c>
      <c r="B83" s="5"/>
      <c r="C83" s="5"/>
      <c r="D83" s="5"/>
      <c r="E83" s="5"/>
      <c r="F83" s="13">
        <f>F81+F82</f>
        <v>356.64479166666666</v>
      </c>
      <c r="G83" s="145" t="s">
        <v>23</v>
      </c>
      <c r="H83" s="219">
        <v>0.15</v>
      </c>
      <c r="I83" s="145"/>
      <c r="J83" s="237"/>
      <c r="K83" s="127"/>
      <c r="L83" s="276"/>
      <c r="M83" s="127"/>
    </row>
    <row r="84" spans="1:23" x14ac:dyDescent="0.2">
      <c r="B84" s="8"/>
      <c r="C84" s="5"/>
      <c r="D84" s="5"/>
      <c r="E84" s="5"/>
      <c r="F84" s="5"/>
      <c r="G84" s="145" t="s">
        <v>91</v>
      </c>
      <c r="H84" s="219">
        <v>2.48</v>
      </c>
      <c r="I84" s="145"/>
      <c r="J84" s="237"/>
      <c r="K84" s="127"/>
      <c r="L84" s="276"/>
      <c r="Q84" s="2"/>
    </row>
    <row r="85" spans="1:23" x14ac:dyDescent="0.2">
      <c r="C85" s="5"/>
      <c r="D85" s="5"/>
      <c r="E85" s="5"/>
      <c r="F85" s="5"/>
      <c r="G85" s="145" t="s">
        <v>92</v>
      </c>
      <c r="H85" s="219">
        <v>2.93</v>
      </c>
      <c r="I85" s="145"/>
      <c r="J85" s="237"/>
      <c r="K85" s="138"/>
      <c r="L85" s="27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</row>
    <row r="86" spans="1:23" x14ac:dyDescent="0.2">
      <c r="A86" s="315" t="s">
        <v>368</v>
      </c>
      <c r="B86" s="316"/>
      <c r="C86" s="316"/>
      <c r="D86" s="316"/>
      <c r="E86" s="316"/>
      <c r="F86" s="291">
        <v>205.28</v>
      </c>
      <c r="G86" s="145" t="s">
        <v>93</v>
      </c>
      <c r="H86" s="219">
        <v>2.75</v>
      </c>
      <c r="I86" s="145"/>
      <c r="J86" s="237"/>
      <c r="K86" s="138"/>
      <c r="L86" s="276"/>
      <c r="M86" s="26"/>
      <c r="N86" s="26"/>
      <c r="O86" s="26"/>
      <c r="P86" s="26"/>
      <c r="Q86" s="26"/>
      <c r="R86" s="26"/>
      <c r="S86" s="26"/>
      <c r="T86" s="26"/>
    </row>
    <row r="87" spans="1:23" x14ac:dyDescent="0.2">
      <c r="B87" s="8"/>
      <c r="C87" s="1"/>
      <c r="D87" s="5"/>
      <c r="E87" s="15"/>
      <c r="F87" s="10"/>
      <c r="G87" s="145" t="s">
        <v>94</v>
      </c>
      <c r="H87" s="219">
        <v>0.44</v>
      </c>
      <c r="I87" s="145"/>
      <c r="J87" s="237"/>
      <c r="K87" s="127"/>
      <c r="L87" s="276"/>
      <c r="N87" s="2"/>
    </row>
    <row r="88" spans="1:23" x14ac:dyDescent="0.2">
      <c r="B88" s="5"/>
      <c r="C88" s="5"/>
      <c r="D88" s="5"/>
      <c r="E88" s="19"/>
      <c r="F88" s="5"/>
      <c r="G88" s="145" t="s">
        <v>95</v>
      </c>
      <c r="H88" s="219">
        <v>0.41</v>
      </c>
      <c r="I88" s="145"/>
      <c r="J88" s="237"/>
      <c r="K88" s="127"/>
      <c r="L88" s="276"/>
    </row>
    <row r="89" spans="1:23" x14ac:dyDescent="0.2">
      <c r="B89" s="8"/>
      <c r="C89" s="5"/>
      <c r="D89" s="5"/>
      <c r="E89" s="5"/>
      <c r="F89" s="5"/>
      <c r="G89" s="145" t="s">
        <v>96</v>
      </c>
      <c r="H89" s="219">
        <v>0.53</v>
      </c>
      <c r="I89" s="145"/>
      <c r="J89" s="237"/>
      <c r="K89" s="127"/>
      <c r="L89" s="276"/>
    </row>
    <row r="90" spans="1:23" x14ac:dyDescent="0.2">
      <c r="E90" s="115"/>
      <c r="F90" s="80"/>
      <c r="G90" s="145" t="s">
        <v>97</v>
      </c>
      <c r="H90" s="219">
        <v>0.03</v>
      </c>
      <c r="I90" s="145"/>
      <c r="J90" s="237"/>
      <c r="K90" s="127"/>
      <c r="L90" s="276"/>
    </row>
    <row r="91" spans="1:23" x14ac:dyDescent="0.2">
      <c r="A91" s="8" t="s">
        <v>278</v>
      </c>
      <c r="E91" s="115"/>
      <c r="F91" s="13">
        <f>F83+F86</f>
        <v>561.92479166666669</v>
      </c>
      <c r="G91" s="145" t="s">
        <v>71</v>
      </c>
      <c r="H91" s="59">
        <f>SUM(H79:H90)</f>
        <v>14.949999999999998</v>
      </c>
      <c r="I91" s="145"/>
      <c r="J91" s="2"/>
      <c r="N91" s="127"/>
    </row>
    <row r="92" spans="1:23" x14ac:dyDescent="0.2">
      <c r="A92" s="8"/>
      <c r="B92" s="5"/>
      <c r="C92" s="25"/>
      <c r="D92" s="5"/>
      <c r="E92" s="2"/>
      <c r="G92" s="5"/>
    </row>
    <row r="93" spans="1:23" x14ac:dyDescent="0.2">
      <c r="A93" s="67" t="s">
        <v>356</v>
      </c>
      <c r="B93" s="5"/>
      <c r="C93" s="25"/>
      <c r="D93" s="5"/>
      <c r="E93" s="2"/>
      <c r="G93" s="5"/>
    </row>
    <row r="94" spans="1:23" x14ac:dyDescent="0.2">
      <c r="A94" s="67" t="s">
        <v>357</v>
      </c>
      <c r="B94" s="5"/>
    </row>
    <row r="95" spans="1:23" x14ac:dyDescent="0.2">
      <c r="A95" s="8" t="s">
        <v>369</v>
      </c>
      <c r="B95" s="5"/>
    </row>
    <row r="96" spans="1:23" x14ac:dyDescent="0.2">
      <c r="A96" s="214"/>
      <c r="B96" s="5"/>
      <c r="C96" s="5"/>
      <c r="D96" s="5"/>
      <c r="E96" s="5"/>
      <c r="F96" s="5"/>
      <c r="G96" s="5"/>
      <c r="H96" s="5"/>
      <c r="I96" s="5"/>
    </row>
    <row r="97" spans="1:15" ht="15" x14ac:dyDescent="0.2">
      <c r="A97" s="24" t="s">
        <v>272</v>
      </c>
      <c r="C97" s="37"/>
      <c r="D97" s="37"/>
      <c r="E97" s="37"/>
      <c r="F97" s="37"/>
      <c r="G97" s="37"/>
      <c r="H97" s="132"/>
      <c r="I97" s="132"/>
    </row>
    <row r="98" spans="1:15" x14ac:dyDescent="0.2">
      <c r="A98" s="6"/>
      <c r="B98" s="4" t="s">
        <v>49</v>
      </c>
      <c r="C98" s="4"/>
      <c r="D98" s="4"/>
      <c r="E98" s="4" t="s">
        <v>74</v>
      </c>
      <c r="F98" s="4"/>
      <c r="G98" s="146"/>
      <c r="H98" s="26"/>
    </row>
    <row r="99" spans="1:15" x14ac:dyDescent="0.2">
      <c r="A99" s="6"/>
      <c r="B99" s="4" t="s">
        <v>54</v>
      </c>
      <c r="C99" s="4" t="s">
        <v>50</v>
      </c>
      <c r="D99" s="4" t="s">
        <v>73</v>
      </c>
      <c r="E99" s="4" t="s">
        <v>66</v>
      </c>
      <c r="F99" s="4" t="s">
        <v>266</v>
      </c>
      <c r="G99" s="6" t="s">
        <v>265</v>
      </c>
      <c r="H99" s="4" t="s">
        <v>12</v>
      </c>
    </row>
    <row r="100" spans="1:15" x14ac:dyDescent="0.2">
      <c r="A100" s="4" t="s">
        <v>55</v>
      </c>
      <c r="B100" s="4" t="s">
        <v>76</v>
      </c>
      <c r="C100" s="4" t="s">
        <v>56</v>
      </c>
      <c r="D100" s="4" t="s">
        <v>53</v>
      </c>
      <c r="E100" s="4" t="s">
        <v>75</v>
      </c>
      <c r="F100" s="4" t="s">
        <v>77</v>
      </c>
      <c r="G100" s="147"/>
      <c r="H100" s="4" t="s">
        <v>72</v>
      </c>
    </row>
    <row r="101" spans="1:15" ht="4.5" customHeight="1" x14ac:dyDescent="0.2">
      <c r="A101" s="21"/>
      <c r="B101" s="22"/>
      <c r="C101" s="21"/>
      <c r="D101" s="23"/>
      <c r="E101" s="18"/>
      <c r="F101" s="18"/>
      <c r="G101" s="18"/>
      <c r="H101" s="18"/>
    </row>
    <row r="102" spans="1:15" x14ac:dyDescent="0.2">
      <c r="A102" s="5"/>
      <c r="B102" s="5"/>
      <c r="C102" s="5"/>
      <c r="D102" s="5"/>
      <c r="E102" s="5"/>
      <c r="F102" s="5"/>
    </row>
    <row r="103" spans="1:15" x14ac:dyDescent="0.2">
      <c r="A103" s="5" t="s">
        <v>57</v>
      </c>
      <c r="B103" s="118">
        <f>luna!C24*12</f>
        <v>47.899999999999991</v>
      </c>
      <c r="C103" s="140">
        <f>luna!D24*12</f>
        <v>14.71</v>
      </c>
      <c r="D103" s="13">
        <f>(B103-C103)/12</f>
        <v>2.7658333333333327</v>
      </c>
      <c r="E103" s="13">
        <v>0.31</v>
      </c>
      <c r="F103" s="13">
        <f t="shared" ref="F103:F111" si="0">D103*E103</f>
        <v>0.85740833333333311</v>
      </c>
      <c r="G103" s="12"/>
      <c r="H103" s="145"/>
    </row>
    <row r="104" spans="1:15" x14ac:dyDescent="0.2">
      <c r="A104" s="5" t="s">
        <v>58</v>
      </c>
      <c r="B104" s="118">
        <f>apachearagon!C24*12</f>
        <v>52.680000000000007</v>
      </c>
      <c r="C104" s="141">
        <f>apachearagon!D24*12</f>
        <v>12.919999999999998</v>
      </c>
      <c r="D104" s="13">
        <f t="shared" ref="D104:D111" si="1">(B104-C104)/12</f>
        <v>3.3133333333333339</v>
      </c>
      <c r="E104" s="13">
        <v>0.31</v>
      </c>
      <c r="F104" s="13">
        <f t="shared" si="0"/>
        <v>1.0271333333333335</v>
      </c>
      <c r="G104" s="12"/>
      <c r="H104" s="145"/>
      <c r="N104" s="2"/>
    </row>
    <row r="105" spans="1:15" x14ac:dyDescent="0.2">
      <c r="A105" s="5" t="s">
        <v>59</v>
      </c>
      <c r="B105" s="118">
        <f>reserve!C24*12</f>
        <v>55.9</v>
      </c>
      <c r="C105" s="140">
        <f>reserve!D24*12</f>
        <v>13.700000000000003</v>
      </c>
      <c r="D105" s="13">
        <f t="shared" si="1"/>
        <v>3.5166666666666662</v>
      </c>
      <c r="E105" s="13">
        <v>0.31</v>
      </c>
      <c r="F105" s="13">
        <f t="shared" si="0"/>
        <v>1.0901666666666665</v>
      </c>
      <c r="G105" s="12"/>
      <c r="H105" s="145"/>
    </row>
    <row r="106" spans="1:15" x14ac:dyDescent="0.2">
      <c r="A106" s="5" t="s">
        <v>60</v>
      </c>
      <c r="B106" s="118">
        <f>glenwood!C24*12</f>
        <v>71.050000000000011</v>
      </c>
      <c r="C106" s="140">
        <f>glenwood!D24*12</f>
        <v>13.510000000000002</v>
      </c>
      <c r="D106" s="13">
        <f t="shared" si="1"/>
        <v>4.7950000000000008</v>
      </c>
      <c r="E106" s="13">
        <v>0.31</v>
      </c>
      <c r="F106" s="13">
        <f t="shared" si="0"/>
        <v>1.4864500000000003</v>
      </c>
      <c r="G106" s="150"/>
      <c r="H106" s="145"/>
    </row>
    <row r="107" spans="1:15" x14ac:dyDescent="0.2">
      <c r="A107" s="5" t="s">
        <v>61</v>
      </c>
      <c r="B107" s="118">
        <f>uppergila!C24*12</f>
        <v>50.289999999999992</v>
      </c>
      <c r="C107" s="141">
        <f>uppergila!D24*12</f>
        <v>14.95</v>
      </c>
      <c r="D107" s="13">
        <f t="shared" si="1"/>
        <v>2.944999999999999</v>
      </c>
      <c r="E107" s="13">
        <v>0.3</v>
      </c>
      <c r="F107" s="13">
        <f t="shared" si="0"/>
        <v>0.88349999999999962</v>
      </c>
      <c r="G107" s="12"/>
      <c r="H107" s="145"/>
    </row>
    <row r="108" spans="1:15" x14ac:dyDescent="0.2">
      <c r="A108" s="5" t="s">
        <v>62</v>
      </c>
      <c r="B108" s="118">
        <f>cliffgila!C24*12</f>
        <v>71.050000000000011</v>
      </c>
      <c r="C108" s="142">
        <f>cliffgila!D24*12</f>
        <v>12.45</v>
      </c>
      <c r="D108" s="13">
        <f t="shared" si="1"/>
        <v>4.8833333333333337</v>
      </c>
      <c r="E108" s="13">
        <v>0.3</v>
      </c>
      <c r="F108" s="13">
        <f t="shared" si="0"/>
        <v>1.4650000000000001</v>
      </c>
      <c r="G108" s="12"/>
      <c r="H108" s="145"/>
      <c r="N108" s="2"/>
      <c r="O108" s="2"/>
    </row>
    <row r="109" spans="1:15" x14ac:dyDescent="0.2">
      <c r="A109" s="5" t="s">
        <v>63</v>
      </c>
      <c r="B109" s="118">
        <f>redrock!C24*12</f>
        <v>71.050000000000011</v>
      </c>
      <c r="C109" s="142">
        <f>redrock!D24*12</f>
        <v>8.57</v>
      </c>
      <c r="D109" s="13">
        <f t="shared" si="1"/>
        <v>5.2066666666666679</v>
      </c>
      <c r="E109" s="13">
        <v>0.3</v>
      </c>
      <c r="F109" s="13">
        <f t="shared" si="0"/>
        <v>1.5620000000000003</v>
      </c>
      <c r="G109" s="144"/>
      <c r="H109" s="145"/>
      <c r="N109" s="2"/>
      <c r="O109" s="2"/>
    </row>
    <row r="110" spans="1:15" x14ac:dyDescent="0.2">
      <c r="A110" s="5" t="s">
        <v>64</v>
      </c>
      <c r="B110" s="118">
        <f>virden!C23*12</f>
        <v>71.050000000000011</v>
      </c>
      <c r="C110" s="142">
        <f>virden!D23*12</f>
        <v>7.04</v>
      </c>
      <c r="D110" s="13">
        <f t="shared" si="1"/>
        <v>5.3341666666666674</v>
      </c>
      <c r="E110" s="13">
        <v>0.3</v>
      </c>
      <c r="F110" s="13">
        <f t="shared" si="0"/>
        <v>1.6002500000000002</v>
      </c>
      <c r="G110" s="144"/>
      <c r="H110" s="145"/>
    </row>
    <row r="111" spans="1:15" x14ac:dyDescent="0.2">
      <c r="A111" s="5" t="s">
        <v>44</v>
      </c>
      <c r="B111" s="118">
        <f>sansimon!C23*12</f>
        <v>79.839999999999989</v>
      </c>
      <c r="C111" s="141">
        <f>sansimon!D23*12</f>
        <v>7.3199999999999985</v>
      </c>
      <c r="D111" s="13">
        <f t="shared" si="1"/>
        <v>6.043333333333333</v>
      </c>
      <c r="E111" s="13">
        <v>0.26</v>
      </c>
      <c r="F111" s="13">
        <f t="shared" si="0"/>
        <v>1.5712666666666666</v>
      </c>
      <c r="G111" s="144"/>
      <c r="H111" s="145"/>
    </row>
    <row r="112" spans="1:15" x14ac:dyDescent="0.2">
      <c r="B112" s="12"/>
      <c r="C112" s="118"/>
      <c r="D112" s="141"/>
      <c r="E112" s="13"/>
      <c r="F112" s="13"/>
      <c r="G112" s="13"/>
      <c r="H112" s="145"/>
    </row>
    <row r="113" spans="1:16" x14ac:dyDescent="0.2">
      <c r="A113" s="148" t="s">
        <v>46</v>
      </c>
      <c r="B113" s="144"/>
      <c r="C113" s="12"/>
      <c r="D113" s="12"/>
      <c r="E113" s="12"/>
      <c r="F113" s="12"/>
      <c r="G113" s="12"/>
      <c r="H113" s="12"/>
      <c r="I113" s="5"/>
    </row>
    <row r="114" spans="1:16" x14ac:dyDescent="0.2">
      <c r="A114" s="5" t="s">
        <v>249</v>
      </c>
      <c r="B114" s="151"/>
      <c r="C114" s="12"/>
      <c r="D114" s="12"/>
      <c r="E114" s="12"/>
      <c r="F114" s="12"/>
      <c r="G114" s="12"/>
      <c r="H114" s="12"/>
      <c r="I114" s="5"/>
    </row>
    <row r="115" spans="1:16" x14ac:dyDescent="0.2">
      <c r="A115" s="149" t="s">
        <v>57</v>
      </c>
      <c r="B115" s="143">
        <f t="shared" ref="B115:C118" si="2">B103</f>
        <v>47.899999999999991</v>
      </c>
      <c r="C115" s="13">
        <f t="shared" si="2"/>
        <v>14.71</v>
      </c>
      <c r="D115" s="13">
        <f>(B115-C115)/12</f>
        <v>2.7658333333333327</v>
      </c>
      <c r="E115" s="13">
        <f>E103</f>
        <v>0.31</v>
      </c>
      <c r="F115" s="13">
        <f>D115*E115</f>
        <v>0.85740833333333311</v>
      </c>
      <c r="G115" s="12">
        <v>30</v>
      </c>
      <c r="H115" s="13">
        <f>F115*G115</f>
        <v>25.722249999999992</v>
      </c>
      <c r="I115" s="5"/>
    </row>
    <row r="116" spans="1:16" x14ac:dyDescent="0.2">
      <c r="A116" s="149" t="s">
        <v>65</v>
      </c>
      <c r="B116" s="143">
        <f t="shared" si="2"/>
        <v>52.680000000000007</v>
      </c>
      <c r="C116" s="13">
        <f t="shared" si="2"/>
        <v>12.919999999999998</v>
      </c>
      <c r="D116" s="13">
        <f>(B116-C116)/12</f>
        <v>3.3133333333333339</v>
      </c>
      <c r="E116" s="13">
        <f>E104</f>
        <v>0.31</v>
      </c>
      <c r="F116" s="13">
        <f>D116*E116</f>
        <v>1.0271333333333335</v>
      </c>
      <c r="G116" s="12">
        <v>11</v>
      </c>
      <c r="H116" s="13">
        <f>F116*G116</f>
        <v>11.298466666666668</v>
      </c>
      <c r="I116" s="5"/>
    </row>
    <row r="117" spans="1:16" x14ac:dyDescent="0.2">
      <c r="A117" s="149" t="s">
        <v>59</v>
      </c>
      <c r="B117" s="143">
        <f t="shared" si="2"/>
        <v>55.9</v>
      </c>
      <c r="C117" s="13">
        <f t="shared" si="2"/>
        <v>13.700000000000003</v>
      </c>
      <c r="D117" s="13">
        <f>(B117-C117)/12</f>
        <v>3.5166666666666662</v>
      </c>
      <c r="E117" s="13">
        <f>E105</f>
        <v>0.31</v>
      </c>
      <c r="F117" s="13">
        <f>D117*E117</f>
        <v>1.0901666666666665</v>
      </c>
      <c r="G117" s="12">
        <v>17</v>
      </c>
      <c r="H117" s="13">
        <f>F117*G117</f>
        <v>18.532833333333329</v>
      </c>
      <c r="I117" s="5"/>
    </row>
    <row r="118" spans="1:16" x14ac:dyDescent="0.2">
      <c r="A118" s="149" t="s">
        <v>60</v>
      </c>
      <c r="B118" s="143">
        <f t="shared" si="2"/>
        <v>71.050000000000011</v>
      </c>
      <c r="C118" s="140">
        <f t="shared" si="2"/>
        <v>13.510000000000002</v>
      </c>
      <c r="D118" s="140">
        <f>(B118-C118)/12</f>
        <v>4.7950000000000008</v>
      </c>
      <c r="E118" s="140">
        <f>E106</f>
        <v>0.31</v>
      </c>
      <c r="F118" s="140">
        <f>D118*E118</f>
        <v>1.4864500000000003</v>
      </c>
      <c r="G118" s="150">
        <v>167</v>
      </c>
      <c r="H118" s="13">
        <f>F118*G118</f>
        <v>248.23715000000004</v>
      </c>
      <c r="I118" s="26"/>
    </row>
    <row r="119" spans="1:16" x14ac:dyDescent="0.2">
      <c r="A119" s="12" t="s">
        <v>274</v>
      </c>
      <c r="B119" s="12"/>
      <c r="C119" s="12"/>
      <c r="D119" s="12"/>
      <c r="E119" s="12"/>
      <c r="F119" s="12"/>
      <c r="G119" s="144">
        <f>SUM(G115:G118)</f>
        <v>225</v>
      </c>
      <c r="H119" s="13">
        <f>SUM(H115:H118)</f>
        <v>303.79070000000002</v>
      </c>
      <c r="I119" s="5"/>
    </row>
    <row r="120" spans="1:16" x14ac:dyDescent="0.2">
      <c r="A120" s="5" t="s">
        <v>275</v>
      </c>
      <c r="B120" s="144"/>
      <c r="C120" s="12"/>
      <c r="D120" s="12"/>
      <c r="E120" s="12"/>
      <c r="F120" s="12"/>
      <c r="G120" s="144"/>
      <c r="H120" s="13">
        <f>H119*0.85</f>
        <v>258.22209500000002</v>
      </c>
      <c r="I120" s="5"/>
    </row>
    <row r="121" spans="1:16" x14ac:dyDescent="0.2">
      <c r="B121" s="144"/>
      <c r="C121" s="12"/>
      <c r="D121" s="12"/>
      <c r="E121" s="12"/>
      <c r="F121" s="12"/>
      <c r="G121" s="12"/>
      <c r="H121" s="12"/>
      <c r="I121" s="5"/>
    </row>
    <row r="122" spans="1:16" x14ac:dyDescent="0.2">
      <c r="A122" s="5" t="s">
        <v>270</v>
      </c>
      <c r="B122" s="144"/>
      <c r="C122" s="144"/>
      <c r="D122" s="144"/>
      <c r="E122" s="144"/>
      <c r="F122" s="144"/>
      <c r="G122" s="144"/>
      <c r="H122" s="144"/>
      <c r="I122" s="5"/>
      <c r="P122" s="2"/>
    </row>
    <row r="123" spans="1:16" x14ac:dyDescent="0.2">
      <c r="A123" s="149" t="s">
        <v>264</v>
      </c>
      <c r="B123" s="118">
        <f>B107</f>
        <v>50.289999999999992</v>
      </c>
      <c r="C123" s="13">
        <f>_ftnref3</f>
        <v>14.95</v>
      </c>
      <c r="D123" s="13">
        <f>(B123-C123)/12</f>
        <v>2.944999999999999</v>
      </c>
      <c r="E123" s="13">
        <v>0.1</v>
      </c>
      <c r="F123" s="13">
        <f>D123*E123</f>
        <v>0.29449999999999993</v>
      </c>
      <c r="G123" s="12">
        <v>660</v>
      </c>
      <c r="H123" s="13">
        <f>F123*G123</f>
        <v>194.36999999999995</v>
      </c>
    </row>
    <row r="124" spans="1:16" x14ac:dyDescent="0.2">
      <c r="A124" s="5" t="s">
        <v>275</v>
      </c>
      <c r="B124" s="144"/>
      <c r="C124" s="10"/>
      <c r="D124" s="10"/>
      <c r="E124" s="10"/>
      <c r="F124" s="12"/>
      <c r="G124" s="144"/>
      <c r="H124" s="13">
        <f>H123*0.85</f>
        <v>165.21449999999996</v>
      </c>
      <c r="I124" s="5"/>
    </row>
    <row r="125" spans="1:16" x14ac:dyDescent="0.2">
      <c r="A125" s="5"/>
      <c r="B125" s="144"/>
      <c r="C125" s="10"/>
      <c r="D125" s="10"/>
      <c r="E125" s="10"/>
      <c r="F125" s="12"/>
      <c r="G125" s="144"/>
      <c r="H125" s="13"/>
      <c r="I125" s="5"/>
    </row>
    <row r="126" spans="1:16" x14ac:dyDescent="0.2">
      <c r="A126" s="8" t="s">
        <v>267</v>
      </c>
      <c r="B126" s="144"/>
      <c r="C126" s="12"/>
      <c r="D126" s="12"/>
      <c r="E126" s="12"/>
      <c r="F126" s="12"/>
      <c r="G126" s="12"/>
      <c r="H126" s="134">
        <f>H120+H124</f>
        <v>423.43659500000001</v>
      </c>
      <c r="I126" s="5"/>
    </row>
    <row r="127" spans="1:16" x14ac:dyDescent="0.2">
      <c r="B127" s="13"/>
      <c r="C127" s="12"/>
      <c r="D127" s="13"/>
      <c r="E127" s="12"/>
      <c r="F127" s="13"/>
      <c r="G127" s="152"/>
      <c r="H127" s="145"/>
      <c r="I127" s="5"/>
    </row>
    <row r="128" spans="1:16" x14ac:dyDescent="0.2">
      <c r="A128" s="157" t="s">
        <v>271</v>
      </c>
      <c r="B128" s="144"/>
      <c r="C128" s="12"/>
      <c r="D128" s="12"/>
      <c r="E128" s="12"/>
      <c r="F128" s="12"/>
      <c r="G128" s="12"/>
      <c r="H128" s="12"/>
      <c r="I128" s="5"/>
    </row>
    <row r="129" spans="1:9" x14ac:dyDescent="0.2">
      <c r="A129" s="5" t="s">
        <v>249</v>
      </c>
      <c r="B129" s="144"/>
      <c r="C129" s="12"/>
      <c r="D129" s="12"/>
      <c r="E129" s="12"/>
      <c r="F129" s="12"/>
      <c r="G129" s="12"/>
      <c r="H129" s="12"/>
      <c r="I129" s="5"/>
    </row>
    <row r="130" spans="1:9" x14ac:dyDescent="0.2">
      <c r="A130" s="149" t="s">
        <v>61</v>
      </c>
      <c r="B130" s="118">
        <f>B107</f>
        <v>50.289999999999992</v>
      </c>
      <c r="C130" s="13">
        <f>_ftnref3</f>
        <v>14.95</v>
      </c>
      <c r="D130" s="13">
        <f>(B130-C130)/12</f>
        <v>2.944999999999999</v>
      </c>
      <c r="E130" s="13">
        <f>E107</f>
        <v>0.3</v>
      </c>
      <c r="F130" s="13">
        <f>D130*E130</f>
        <v>0.88349999999999962</v>
      </c>
      <c r="G130" s="12">
        <v>113</v>
      </c>
      <c r="H130" s="13">
        <f>F130*G130</f>
        <v>99.835499999999954</v>
      </c>
    </row>
    <row r="131" spans="1:9" x14ac:dyDescent="0.2">
      <c r="A131" s="149" t="s">
        <v>263</v>
      </c>
      <c r="B131" s="153">
        <f>AVERAGE(B108:B109)</f>
        <v>71.050000000000011</v>
      </c>
      <c r="C131" s="153">
        <f>AVERAGE(C108:C109)</f>
        <v>10.51</v>
      </c>
      <c r="D131" s="13">
        <f>(B131-C131)/12</f>
        <v>5.0450000000000008</v>
      </c>
      <c r="E131" s="13">
        <f>AVERAGE(E108:E110)</f>
        <v>0.3</v>
      </c>
      <c r="F131" s="13">
        <f>D131*E131</f>
        <v>1.5135000000000003</v>
      </c>
      <c r="G131" s="12">
        <v>750</v>
      </c>
      <c r="H131" s="13">
        <f>F131*G131</f>
        <v>1135.1250000000002</v>
      </c>
      <c r="I131" s="5"/>
    </row>
    <row r="132" spans="1:9" x14ac:dyDescent="0.2">
      <c r="A132" s="12" t="s">
        <v>274</v>
      </c>
      <c r="B132" s="144"/>
      <c r="C132" s="144"/>
      <c r="D132" s="12"/>
      <c r="E132" s="12"/>
      <c r="F132" s="12"/>
      <c r="G132" s="12">
        <f>SUM(G130:G131)</f>
        <v>863</v>
      </c>
      <c r="H132" s="13">
        <f>SUM(H130:H131)</f>
        <v>1234.9605000000001</v>
      </c>
      <c r="I132" s="5"/>
    </row>
    <row r="133" spans="1:9" x14ac:dyDescent="0.2">
      <c r="A133" s="5" t="s">
        <v>275</v>
      </c>
      <c r="B133" s="144"/>
      <c r="C133" s="12"/>
      <c r="D133" s="12"/>
      <c r="E133" s="12"/>
      <c r="F133" s="12"/>
      <c r="G133" s="144"/>
      <c r="H133" s="13">
        <f>H132*0.85</f>
        <v>1049.7164250000001</v>
      </c>
      <c r="I133" s="5"/>
    </row>
    <row r="134" spans="1:9" x14ac:dyDescent="0.2">
      <c r="A134" s="5"/>
      <c r="B134" s="144"/>
      <c r="C134" s="12"/>
      <c r="D134" s="12"/>
      <c r="E134" s="12"/>
      <c r="F134" s="12"/>
      <c r="G134" s="144"/>
      <c r="H134" s="13"/>
      <c r="I134" s="5"/>
    </row>
    <row r="135" spans="1:9" x14ac:dyDescent="0.2">
      <c r="A135" s="5" t="s">
        <v>270</v>
      </c>
      <c r="B135" s="12"/>
      <c r="C135" s="12"/>
      <c r="D135" s="12"/>
      <c r="E135" s="12"/>
      <c r="F135" s="12"/>
      <c r="G135" s="13"/>
      <c r="H135" s="12"/>
      <c r="I135" s="5"/>
    </row>
    <row r="136" spans="1:9" x14ac:dyDescent="0.2">
      <c r="A136" s="149" t="s">
        <v>264</v>
      </c>
      <c r="B136" s="118">
        <f>B107</f>
        <v>50.289999999999992</v>
      </c>
      <c r="C136" s="13">
        <f>_ftnref3</f>
        <v>14.95</v>
      </c>
      <c r="D136" s="13">
        <f>(B136-C136)/12</f>
        <v>2.944999999999999</v>
      </c>
      <c r="E136" s="13">
        <v>0.1</v>
      </c>
      <c r="F136" s="13">
        <f>D136*E136</f>
        <v>0.29449999999999993</v>
      </c>
      <c r="G136" s="12">
        <v>416</v>
      </c>
      <c r="H136" s="13">
        <f>F136*G136</f>
        <v>122.51199999999997</v>
      </c>
    </row>
    <row r="137" spans="1:9" x14ac:dyDescent="0.2">
      <c r="A137" s="5" t="s">
        <v>275</v>
      </c>
      <c r="B137" s="144"/>
      <c r="C137" s="10"/>
      <c r="D137" s="10"/>
      <c r="E137" s="10"/>
      <c r="F137" s="12"/>
      <c r="G137" s="144"/>
      <c r="H137" s="13">
        <f>H136*0.85</f>
        <v>104.13519999999997</v>
      </c>
      <c r="I137" s="5"/>
    </row>
    <row r="138" spans="1:9" x14ac:dyDescent="0.2">
      <c r="A138" s="5"/>
      <c r="B138" s="144"/>
      <c r="C138" s="10"/>
      <c r="D138" s="10"/>
      <c r="E138" s="10"/>
      <c r="F138" s="12"/>
      <c r="G138" s="144"/>
      <c r="H138" s="13"/>
      <c r="I138" s="5"/>
    </row>
    <row r="139" spans="1:9" x14ac:dyDescent="0.2">
      <c r="A139" s="8" t="s">
        <v>268</v>
      </c>
      <c r="B139" s="144"/>
      <c r="C139" s="12"/>
      <c r="D139" s="12"/>
      <c r="E139" s="12"/>
      <c r="F139" s="12"/>
      <c r="G139" s="12"/>
      <c r="H139" s="134">
        <f>H133+H137</f>
        <v>1153.851625</v>
      </c>
      <c r="I139" s="5"/>
    </row>
    <row r="140" spans="1:9" x14ac:dyDescent="0.2">
      <c r="A140" s="8"/>
      <c r="B140" s="12"/>
      <c r="C140" s="12"/>
      <c r="D140" s="12"/>
      <c r="E140" s="12"/>
      <c r="F140" s="12"/>
      <c r="G140" s="12"/>
      <c r="H140" s="12"/>
      <c r="I140" s="5"/>
    </row>
    <row r="141" spans="1:9" x14ac:dyDescent="0.2">
      <c r="A141" s="157" t="s">
        <v>42</v>
      </c>
      <c r="B141" s="144"/>
      <c r="C141" s="12"/>
      <c r="D141" s="12"/>
      <c r="E141" s="12"/>
      <c r="F141" s="12"/>
      <c r="G141" s="12"/>
      <c r="H141" s="12"/>
      <c r="I141" s="5"/>
    </row>
    <row r="142" spans="1:9" x14ac:dyDescent="0.2">
      <c r="B142" s="118">
        <f>B110</f>
        <v>71.050000000000011</v>
      </c>
      <c r="C142" s="13">
        <f>_ftnref5</f>
        <v>7.04</v>
      </c>
      <c r="D142" s="13">
        <f>(B142-C142)/12</f>
        <v>5.3341666666666674</v>
      </c>
      <c r="E142" s="13">
        <f>E110</f>
        <v>0.3</v>
      </c>
      <c r="F142" s="13">
        <f>D142*E142</f>
        <v>1.6002500000000002</v>
      </c>
      <c r="G142" s="12">
        <v>22</v>
      </c>
      <c r="H142" s="13">
        <f>F142*G142</f>
        <v>35.205500000000001</v>
      </c>
    </row>
    <row r="143" spans="1:9" x14ac:dyDescent="0.2">
      <c r="A143" s="5" t="s">
        <v>275</v>
      </c>
      <c r="B143" s="144"/>
      <c r="C143" s="10"/>
      <c r="D143" s="10"/>
      <c r="E143" s="10"/>
      <c r="F143" s="12"/>
      <c r="G143" s="144"/>
      <c r="H143" s="134">
        <f>H142*0.85</f>
        <v>29.924675000000001</v>
      </c>
      <c r="I143" s="247"/>
    </row>
    <row r="144" spans="1:9" ht="15" x14ac:dyDescent="0.2">
      <c r="B144" s="155"/>
      <c r="C144" s="12"/>
      <c r="D144" s="12"/>
      <c r="E144" s="12"/>
      <c r="F144" s="12"/>
      <c r="G144" s="12"/>
      <c r="H144" s="12"/>
      <c r="I144" s="5"/>
    </row>
    <row r="145" spans="1:9" x14ac:dyDescent="0.2">
      <c r="A145" s="157" t="s">
        <v>269</v>
      </c>
      <c r="B145" s="144"/>
      <c r="C145" s="12"/>
      <c r="D145" s="12"/>
      <c r="E145" s="12"/>
      <c r="F145" s="12"/>
      <c r="G145" s="12"/>
      <c r="H145" s="12"/>
      <c r="I145" s="5"/>
    </row>
    <row r="146" spans="1:9" x14ac:dyDescent="0.2">
      <c r="B146" s="118">
        <f>B111</f>
        <v>79.839999999999989</v>
      </c>
      <c r="C146" s="13">
        <f>_ftnref6</f>
        <v>7.3199999999999985</v>
      </c>
      <c r="D146" s="13">
        <f>(B146-C146)/12</f>
        <v>6.043333333333333</v>
      </c>
      <c r="E146" s="13">
        <f>E111</f>
        <v>0.26</v>
      </c>
      <c r="F146" s="13">
        <f>D146*E146</f>
        <v>1.5712666666666666</v>
      </c>
      <c r="G146" s="12">
        <v>96</v>
      </c>
      <c r="H146" s="13">
        <f>F146*G146</f>
        <v>150.8416</v>
      </c>
    </row>
    <row r="147" spans="1:9" x14ac:dyDescent="0.2">
      <c r="A147" s="5" t="s">
        <v>275</v>
      </c>
      <c r="B147" s="144"/>
      <c r="C147" s="10"/>
      <c r="D147" s="10"/>
      <c r="E147" s="12"/>
      <c r="F147" s="144"/>
      <c r="G147" s="144"/>
      <c r="H147" s="134">
        <f>H146*0.85</f>
        <v>128.21536</v>
      </c>
    </row>
    <row r="148" spans="1:9" x14ac:dyDescent="0.2">
      <c r="B148" s="154"/>
      <c r="C148" s="12"/>
      <c r="D148" s="12"/>
      <c r="E148" s="12"/>
      <c r="F148" s="12"/>
      <c r="G148" s="12"/>
      <c r="H148" s="12"/>
    </row>
    <row r="149" spans="1:9" x14ac:dyDescent="0.2">
      <c r="A149" s="15"/>
      <c r="B149" s="150"/>
      <c r="C149" s="150"/>
      <c r="D149" s="150"/>
      <c r="E149" s="156"/>
      <c r="F149" s="150"/>
      <c r="G149" s="150"/>
      <c r="H149" s="150"/>
      <c r="I149" s="15"/>
    </row>
    <row r="150" spans="1:9" x14ac:dyDescent="0.2">
      <c r="A150" s="15"/>
      <c r="B150" s="150"/>
      <c r="C150" s="150"/>
      <c r="D150" s="150"/>
      <c r="E150" s="156"/>
      <c r="F150" s="150"/>
      <c r="G150" s="150"/>
      <c r="H150" s="150"/>
      <c r="I150" s="15"/>
    </row>
    <row r="151" spans="1:9" x14ac:dyDescent="0.2">
      <c r="A151" s="15"/>
      <c r="B151" s="150"/>
      <c r="C151" s="150"/>
      <c r="D151" s="150"/>
      <c r="E151" s="156"/>
      <c r="F151" s="150"/>
      <c r="G151" s="150"/>
      <c r="H151" s="150"/>
      <c r="I151" s="15"/>
    </row>
    <row r="152" spans="1:9" x14ac:dyDescent="0.2">
      <c r="A152" s="15"/>
      <c r="B152" s="150"/>
      <c r="C152" s="150"/>
      <c r="D152" s="150"/>
      <c r="E152" s="156"/>
      <c r="F152" s="150"/>
      <c r="G152" s="150"/>
      <c r="H152" s="150"/>
      <c r="I152" s="15"/>
    </row>
    <row r="153" spans="1:9" x14ac:dyDescent="0.2">
      <c r="A153" s="15"/>
      <c r="B153" s="150"/>
      <c r="C153" s="150"/>
      <c r="D153" s="150"/>
      <c r="E153" s="156"/>
      <c r="F153" s="150"/>
      <c r="G153" s="150"/>
      <c r="H153" s="150"/>
      <c r="I153" s="15"/>
    </row>
    <row r="154" spans="1:9" x14ac:dyDescent="0.2">
      <c r="A154" s="15"/>
      <c r="B154" s="150"/>
      <c r="C154" s="150"/>
      <c r="D154" s="150"/>
      <c r="E154" s="156"/>
      <c r="F154" s="150"/>
      <c r="G154" s="150"/>
      <c r="H154" s="150"/>
      <c r="I154" s="15"/>
    </row>
    <row r="155" spans="1:9" x14ac:dyDescent="0.2">
      <c r="A155" s="15"/>
      <c r="B155" s="150"/>
      <c r="C155" s="150"/>
      <c r="D155" s="150"/>
      <c r="E155" s="156"/>
      <c r="F155" s="150"/>
      <c r="G155" s="150"/>
      <c r="H155" s="150"/>
      <c r="I155" s="15"/>
    </row>
    <row r="156" spans="1:9" x14ac:dyDescent="0.2">
      <c r="A156" s="15"/>
      <c r="B156" s="150"/>
      <c r="C156" s="150"/>
      <c r="D156" s="150"/>
      <c r="E156" s="156"/>
      <c r="F156" s="150"/>
      <c r="G156" s="150"/>
      <c r="H156" s="150"/>
      <c r="I156" s="15"/>
    </row>
    <row r="157" spans="1:9" x14ac:dyDescent="0.2">
      <c r="A157" s="15"/>
      <c r="B157" s="150"/>
      <c r="C157" s="150"/>
      <c r="D157" s="150"/>
      <c r="E157" s="156"/>
      <c r="F157" s="150"/>
      <c r="G157" s="150"/>
      <c r="H157" s="150"/>
      <c r="I157" s="15"/>
    </row>
    <row r="158" spans="1:9" x14ac:dyDescent="0.2">
      <c r="A158" s="15"/>
      <c r="B158" s="150"/>
      <c r="C158" s="150"/>
      <c r="D158" s="150"/>
      <c r="E158" s="156"/>
      <c r="F158" s="150"/>
      <c r="G158" s="150"/>
      <c r="H158" s="150"/>
      <c r="I158" s="15"/>
    </row>
    <row r="159" spans="1:9" x14ac:dyDescent="0.2">
      <c r="A159" s="15"/>
      <c r="B159" s="150"/>
      <c r="C159" s="150"/>
      <c r="D159" s="150"/>
      <c r="E159" s="156"/>
      <c r="F159" s="150"/>
      <c r="G159" s="150"/>
      <c r="H159" s="150"/>
      <c r="I159" s="15"/>
    </row>
    <row r="160" spans="1:9" x14ac:dyDescent="0.2">
      <c r="A160" s="15"/>
      <c r="B160" s="150"/>
      <c r="C160" s="150"/>
      <c r="D160" s="150"/>
      <c r="E160" s="156"/>
      <c r="F160" s="150"/>
      <c r="G160" s="150"/>
      <c r="H160" s="150"/>
      <c r="I160" s="15"/>
    </row>
    <row r="161" spans="1:9" x14ac:dyDescent="0.2">
      <c r="A161" s="15"/>
      <c r="B161" s="150"/>
      <c r="C161" s="150"/>
      <c r="D161" s="150"/>
      <c r="E161" s="156"/>
      <c r="F161" s="150"/>
      <c r="G161" s="150"/>
      <c r="H161" s="150"/>
      <c r="I161" s="15"/>
    </row>
    <row r="162" spans="1:9" x14ac:dyDescent="0.2">
      <c r="A162" s="15"/>
      <c r="B162" s="150"/>
      <c r="C162" s="150"/>
      <c r="D162" s="150"/>
      <c r="E162" s="156"/>
      <c r="F162" s="150"/>
      <c r="G162" s="150"/>
      <c r="H162" s="150"/>
      <c r="I162" s="15"/>
    </row>
    <row r="163" spans="1:9" x14ac:dyDescent="0.2">
      <c r="A163" s="15"/>
      <c r="B163" s="150"/>
      <c r="C163" s="150"/>
      <c r="D163" s="150"/>
      <c r="E163" s="156"/>
      <c r="F163" s="150"/>
      <c r="G163" s="150"/>
      <c r="H163" s="150"/>
      <c r="I163" s="15"/>
    </row>
    <row r="164" spans="1:9" x14ac:dyDescent="0.2">
      <c r="A164" s="15"/>
      <c r="B164" s="150"/>
      <c r="C164" s="150"/>
      <c r="D164" s="150"/>
      <c r="E164" s="156"/>
      <c r="F164" s="150"/>
      <c r="G164" s="150"/>
      <c r="H164" s="150"/>
      <c r="I164" s="15"/>
    </row>
    <row r="165" spans="1:9" x14ac:dyDescent="0.2">
      <c r="A165" s="15"/>
      <c r="B165" s="150"/>
      <c r="C165" s="150"/>
      <c r="D165" s="150"/>
      <c r="E165" s="156"/>
      <c r="F165" s="150"/>
      <c r="G165" s="150"/>
      <c r="H165" s="150"/>
      <c r="I165" s="15"/>
    </row>
    <row r="166" spans="1:9" x14ac:dyDescent="0.2">
      <c r="A166" s="15"/>
      <c r="B166" s="150"/>
      <c r="C166" s="150"/>
      <c r="D166" s="150"/>
      <c r="E166" s="156"/>
      <c r="F166" s="150"/>
      <c r="G166" s="150"/>
      <c r="H166" s="150"/>
      <c r="I166" s="15"/>
    </row>
    <row r="167" spans="1:9" x14ac:dyDescent="0.2">
      <c r="A167" s="15"/>
      <c r="B167" s="150"/>
      <c r="C167" s="150"/>
      <c r="D167" s="150"/>
      <c r="E167" s="156"/>
      <c r="F167" s="150"/>
      <c r="G167" s="150"/>
      <c r="H167" s="150"/>
      <c r="I167" s="15"/>
    </row>
    <row r="168" spans="1:9" x14ac:dyDescent="0.2">
      <c r="A168" s="15"/>
      <c r="B168" s="150"/>
      <c r="C168" s="150"/>
      <c r="D168" s="150"/>
      <c r="E168" s="156"/>
      <c r="F168" s="150"/>
      <c r="G168" s="150"/>
      <c r="H168" s="150"/>
      <c r="I168" s="15"/>
    </row>
    <row r="169" spans="1:9" x14ac:dyDescent="0.2">
      <c r="A169" s="15"/>
      <c r="B169" s="150"/>
      <c r="C169" s="150"/>
      <c r="D169" s="150"/>
      <c r="E169" s="156"/>
      <c r="F169" s="150"/>
      <c r="G169" s="150"/>
      <c r="H169" s="150"/>
      <c r="I169" s="15"/>
    </row>
    <row r="170" spans="1:9" x14ac:dyDescent="0.2">
      <c r="A170" s="15"/>
      <c r="B170" s="150"/>
      <c r="C170" s="150"/>
      <c r="D170" s="150"/>
      <c r="E170" s="156"/>
      <c r="F170" s="150"/>
      <c r="G170" s="150"/>
      <c r="H170" s="150"/>
      <c r="I170" s="15"/>
    </row>
    <row r="171" spans="1:9" x14ac:dyDescent="0.2">
      <c r="A171" s="15"/>
      <c r="B171" s="150"/>
      <c r="C171" s="150"/>
      <c r="D171" s="150"/>
      <c r="E171" s="156"/>
      <c r="F171" s="150"/>
      <c r="G171" s="150"/>
      <c r="H171" s="150"/>
      <c r="I171" s="15"/>
    </row>
    <row r="172" spans="1:9" x14ac:dyDescent="0.2">
      <c r="A172" s="15"/>
      <c r="B172" s="150"/>
      <c r="C172" s="150"/>
      <c r="D172" s="150"/>
      <c r="E172" s="156"/>
      <c r="F172" s="150"/>
      <c r="G172" s="150"/>
      <c r="H172" s="150"/>
      <c r="I172" s="15"/>
    </row>
    <row r="173" spans="1:9" x14ac:dyDescent="0.2">
      <c r="A173" s="15"/>
      <c r="B173" s="150"/>
      <c r="C173" s="150"/>
      <c r="D173" s="150"/>
      <c r="E173" s="156"/>
      <c r="F173" s="150"/>
      <c r="G173" s="150"/>
      <c r="H173" s="150"/>
      <c r="I173" s="15"/>
    </row>
    <row r="174" spans="1:9" x14ac:dyDescent="0.2">
      <c r="A174" s="15"/>
      <c r="B174" s="150"/>
      <c r="C174" s="150"/>
      <c r="D174" s="150"/>
      <c r="E174" s="156"/>
      <c r="F174" s="150"/>
      <c r="G174" s="150"/>
      <c r="H174" s="150"/>
      <c r="I174" s="15"/>
    </row>
    <row r="175" spans="1:9" x14ac:dyDescent="0.2">
      <c r="A175" s="15"/>
      <c r="B175" s="150"/>
      <c r="C175" s="150"/>
      <c r="D175" s="150"/>
      <c r="E175" s="156"/>
      <c r="F175" s="150"/>
      <c r="G175" s="150"/>
      <c r="H175" s="150"/>
      <c r="I175" s="15"/>
    </row>
    <row r="176" spans="1:9" x14ac:dyDescent="0.2">
      <c r="A176" s="15"/>
      <c r="B176" s="150"/>
      <c r="C176" s="150"/>
      <c r="D176" s="150"/>
      <c r="E176" s="156"/>
      <c r="F176" s="150"/>
      <c r="G176" s="150"/>
      <c r="H176" s="150"/>
      <c r="I176" s="15"/>
    </row>
    <row r="177" spans="1:9" x14ac:dyDescent="0.2">
      <c r="A177" s="15"/>
      <c r="B177" s="150"/>
      <c r="C177" s="150"/>
      <c r="D177" s="150"/>
      <c r="E177" s="156"/>
      <c r="F177" s="150"/>
      <c r="G177" s="150"/>
      <c r="H177" s="150"/>
      <c r="I177" s="15"/>
    </row>
    <row r="178" spans="1:9" x14ac:dyDescent="0.2">
      <c r="A178" s="15"/>
      <c r="B178" s="150"/>
      <c r="C178" s="150"/>
      <c r="D178" s="150"/>
      <c r="E178" s="156"/>
      <c r="F178" s="150"/>
      <c r="G178" s="150"/>
      <c r="H178" s="150"/>
      <c r="I178" s="15"/>
    </row>
    <row r="179" spans="1:9" x14ac:dyDescent="0.2">
      <c r="A179" s="15"/>
      <c r="B179" s="150"/>
      <c r="C179" s="150"/>
      <c r="D179" s="150"/>
      <c r="E179" s="156"/>
      <c r="F179" s="150"/>
      <c r="G179" s="150"/>
      <c r="H179" s="150"/>
      <c r="I179" s="15"/>
    </row>
    <row r="180" spans="1:9" x14ac:dyDescent="0.2">
      <c r="A180" s="15"/>
      <c r="B180" s="150"/>
      <c r="C180" s="150"/>
      <c r="D180" s="150"/>
      <c r="E180" s="156"/>
      <c r="F180" s="150"/>
      <c r="G180" s="150"/>
      <c r="H180" s="150"/>
      <c r="I180" s="15"/>
    </row>
    <row r="181" spans="1:9" x14ac:dyDescent="0.2">
      <c r="A181" s="15"/>
      <c r="B181" s="150"/>
      <c r="C181" s="150"/>
      <c r="D181" s="150"/>
      <c r="E181" s="156"/>
      <c r="F181" s="150"/>
      <c r="G181" s="150"/>
      <c r="H181" s="150"/>
      <c r="I181" s="15"/>
    </row>
    <row r="182" spans="1:9" x14ac:dyDescent="0.2">
      <c r="A182" s="15"/>
      <c r="B182" s="150"/>
      <c r="C182" s="150"/>
      <c r="D182" s="150"/>
      <c r="E182" s="156"/>
      <c r="F182" s="150"/>
      <c r="G182" s="150"/>
      <c r="H182" s="150"/>
      <c r="I182" s="15"/>
    </row>
    <row r="183" spans="1:9" x14ac:dyDescent="0.2">
      <c r="A183" s="15"/>
      <c r="B183" s="150"/>
      <c r="C183" s="150"/>
      <c r="D183" s="150"/>
      <c r="E183" s="156"/>
      <c r="F183" s="150"/>
      <c r="G183" s="150"/>
      <c r="H183" s="150"/>
      <c r="I183" s="15"/>
    </row>
    <row r="184" spans="1:9" x14ac:dyDescent="0.2">
      <c r="A184" s="15"/>
      <c r="B184" s="150"/>
      <c r="C184" s="150"/>
      <c r="D184" s="150"/>
      <c r="E184" s="156"/>
      <c r="F184" s="150"/>
      <c r="G184" s="150"/>
      <c r="H184" s="150"/>
      <c r="I184" s="15"/>
    </row>
    <row r="185" spans="1:9" x14ac:dyDescent="0.2">
      <c r="A185" s="15"/>
      <c r="B185" s="150"/>
      <c r="C185" s="150"/>
      <c r="D185" s="150"/>
      <c r="E185" s="156"/>
      <c r="F185" s="150"/>
      <c r="G185" s="150"/>
      <c r="H185" s="150"/>
      <c r="I185" s="15"/>
    </row>
    <row r="186" spans="1:9" x14ac:dyDescent="0.2">
      <c r="A186" s="15"/>
      <c r="B186" s="150"/>
      <c r="C186" s="150"/>
      <c r="D186" s="150"/>
      <c r="E186" s="156"/>
      <c r="F186" s="150"/>
      <c r="G186" s="150"/>
      <c r="H186" s="150"/>
      <c r="I186" s="15"/>
    </row>
    <row r="187" spans="1:9" x14ac:dyDescent="0.2">
      <c r="A187" s="15"/>
      <c r="B187" s="150"/>
      <c r="C187" s="150"/>
      <c r="D187" s="150"/>
      <c r="E187" s="156"/>
      <c r="F187" s="150"/>
      <c r="G187" s="150"/>
      <c r="H187" s="150"/>
      <c r="I187" s="15"/>
    </row>
    <row r="188" spans="1:9" x14ac:dyDescent="0.2">
      <c r="A188" s="15"/>
      <c r="B188" s="150"/>
      <c r="C188" s="150"/>
      <c r="D188" s="150"/>
      <c r="E188" s="156"/>
      <c r="F188" s="150"/>
      <c r="G188" s="150"/>
      <c r="H188" s="150"/>
      <c r="I188" s="15"/>
    </row>
    <row r="189" spans="1:9" x14ac:dyDescent="0.2">
      <c r="A189" s="15"/>
      <c r="B189" s="150"/>
      <c r="C189" s="150"/>
      <c r="D189" s="150"/>
      <c r="E189" s="156"/>
      <c r="F189" s="150"/>
      <c r="G189" s="150"/>
      <c r="H189" s="150"/>
      <c r="I189" s="15"/>
    </row>
    <row r="190" spans="1:9" x14ac:dyDescent="0.2">
      <c r="A190" s="15"/>
      <c r="B190" s="150"/>
      <c r="C190" s="150"/>
      <c r="D190" s="150"/>
      <c r="E190" s="156"/>
      <c r="F190" s="150"/>
      <c r="G190" s="150"/>
      <c r="H190" s="150"/>
      <c r="I190" s="15"/>
    </row>
    <row r="191" spans="1:9" x14ac:dyDescent="0.2">
      <c r="A191" s="15"/>
      <c r="B191" s="150"/>
      <c r="C191" s="150"/>
      <c r="D191" s="150"/>
      <c r="E191" s="156"/>
      <c r="F191" s="150"/>
      <c r="G191" s="150"/>
      <c r="H191" s="150"/>
      <c r="I191" s="15"/>
    </row>
    <row r="192" spans="1:9" x14ac:dyDescent="0.2">
      <c r="A192" s="15"/>
      <c r="B192" s="150"/>
      <c r="C192" s="150"/>
      <c r="D192" s="150"/>
      <c r="E192" s="156"/>
      <c r="F192" s="150"/>
      <c r="G192" s="150"/>
      <c r="H192" s="150"/>
      <c r="I192" s="15"/>
    </row>
    <row r="193" spans="1:9" x14ac:dyDescent="0.2">
      <c r="A193" s="15"/>
      <c r="B193" s="150"/>
      <c r="C193" s="150"/>
      <c r="D193" s="150"/>
      <c r="E193" s="156"/>
      <c r="F193" s="150"/>
      <c r="G193" s="150"/>
      <c r="H193" s="150"/>
      <c r="I193" s="15"/>
    </row>
    <row r="194" spans="1:9" x14ac:dyDescent="0.2">
      <c r="A194" s="15"/>
      <c r="B194" s="150"/>
      <c r="C194" s="150"/>
      <c r="D194" s="150"/>
      <c r="E194" s="156"/>
      <c r="F194" s="150"/>
      <c r="G194" s="150"/>
      <c r="H194" s="150"/>
      <c r="I194" s="15"/>
    </row>
    <row r="195" spans="1:9" x14ac:dyDescent="0.2">
      <c r="A195" s="15"/>
      <c r="B195" s="150"/>
      <c r="C195" s="150"/>
      <c r="D195" s="150"/>
      <c r="E195" s="156"/>
      <c r="F195" s="150"/>
      <c r="G195" s="150"/>
      <c r="H195" s="150"/>
      <c r="I195" s="15"/>
    </row>
    <row r="196" spans="1:9" x14ac:dyDescent="0.2">
      <c r="A196" s="15"/>
      <c r="B196" s="150"/>
      <c r="C196" s="150"/>
      <c r="D196" s="150"/>
      <c r="E196" s="156"/>
      <c r="F196" s="150"/>
      <c r="G196" s="150"/>
      <c r="H196" s="150"/>
      <c r="I196" s="15"/>
    </row>
    <row r="197" spans="1:9" x14ac:dyDescent="0.2">
      <c r="A197" s="15"/>
      <c r="B197" s="150"/>
      <c r="C197" s="150"/>
      <c r="D197" s="150"/>
      <c r="E197" s="156"/>
      <c r="F197" s="150"/>
      <c r="G197" s="150"/>
      <c r="H197" s="150"/>
      <c r="I197" s="15"/>
    </row>
    <row r="198" spans="1:9" x14ac:dyDescent="0.2">
      <c r="A198" s="15"/>
      <c r="B198" s="150"/>
      <c r="C198" s="150"/>
      <c r="D198" s="150"/>
      <c r="E198" s="156"/>
      <c r="F198" s="150"/>
      <c r="G198" s="150"/>
      <c r="H198" s="150"/>
      <c r="I198" s="15"/>
    </row>
    <row r="199" spans="1:9" x14ac:dyDescent="0.2">
      <c r="A199" s="15"/>
      <c r="B199" s="150"/>
      <c r="C199" s="150"/>
      <c r="D199" s="150"/>
      <c r="E199" s="156"/>
      <c r="F199" s="150"/>
      <c r="G199" s="150"/>
      <c r="H199" s="150"/>
      <c r="I199" s="15"/>
    </row>
    <row r="200" spans="1:9" x14ac:dyDescent="0.2">
      <c r="A200" s="15"/>
      <c r="B200" s="150"/>
      <c r="C200" s="150"/>
      <c r="D200" s="150"/>
      <c r="E200" s="156"/>
      <c r="F200" s="150"/>
      <c r="G200" s="150"/>
      <c r="H200" s="150"/>
      <c r="I200" s="15"/>
    </row>
    <row r="201" spans="1:9" x14ac:dyDescent="0.2">
      <c r="A201" s="15"/>
      <c r="B201" s="150"/>
      <c r="C201" s="150"/>
      <c r="D201" s="150"/>
      <c r="E201" s="156"/>
      <c r="F201" s="150"/>
      <c r="G201" s="150"/>
      <c r="H201" s="150"/>
      <c r="I201" s="15"/>
    </row>
    <row r="202" spans="1:9" x14ac:dyDescent="0.2">
      <c r="A202" s="15"/>
      <c r="B202" s="150"/>
      <c r="C202" s="150"/>
      <c r="D202" s="150"/>
      <c r="E202" s="156"/>
      <c r="F202" s="150"/>
      <c r="G202" s="150"/>
      <c r="H202" s="150"/>
      <c r="I202" s="15"/>
    </row>
    <row r="203" spans="1:9" x14ac:dyDescent="0.2">
      <c r="A203" s="15"/>
      <c r="B203" s="150"/>
      <c r="C203" s="150"/>
      <c r="D203" s="150"/>
      <c r="E203" s="156"/>
      <c r="F203" s="150"/>
      <c r="G203" s="150"/>
      <c r="H203" s="150"/>
      <c r="I203" s="15"/>
    </row>
    <row r="204" spans="1:9" x14ac:dyDescent="0.2">
      <c r="A204" s="15"/>
      <c r="B204" s="150"/>
      <c r="C204" s="150"/>
      <c r="D204" s="150"/>
      <c r="E204" s="156"/>
      <c r="F204" s="150"/>
      <c r="G204" s="150"/>
      <c r="H204" s="150"/>
      <c r="I204" s="15"/>
    </row>
    <row r="205" spans="1:9" x14ac:dyDescent="0.2">
      <c r="A205" s="15"/>
      <c r="B205" s="150"/>
      <c r="C205" s="150"/>
      <c r="D205" s="150"/>
      <c r="E205" s="156"/>
      <c r="F205" s="150"/>
      <c r="G205" s="150"/>
      <c r="H205" s="150"/>
      <c r="I205" s="15"/>
    </row>
    <row r="206" spans="1:9" x14ac:dyDescent="0.2">
      <c r="A206" s="15"/>
      <c r="B206" s="150"/>
      <c r="C206" s="150"/>
      <c r="D206" s="150"/>
      <c r="E206" s="156"/>
      <c r="F206" s="150"/>
      <c r="G206" s="150"/>
      <c r="H206" s="150"/>
      <c r="I206" s="15"/>
    </row>
    <row r="207" spans="1:9" x14ac:dyDescent="0.2">
      <c r="A207" s="15"/>
      <c r="B207" s="150"/>
      <c r="C207" s="150"/>
      <c r="D207" s="150"/>
      <c r="E207" s="156"/>
      <c r="F207" s="150"/>
      <c r="G207" s="150"/>
      <c r="H207" s="150"/>
      <c r="I207" s="15"/>
    </row>
    <row r="208" spans="1:9" x14ac:dyDescent="0.2">
      <c r="A208" s="15"/>
      <c r="B208" s="150"/>
      <c r="C208" s="150"/>
      <c r="D208" s="150"/>
      <c r="E208" s="156"/>
      <c r="F208" s="150"/>
      <c r="G208" s="150"/>
      <c r="H208" s="150"/>
      <c r="I208" s="15"/>
    </row>
    <row r="209" spans="1:9" x14ac:dyDescent="0.2">
      <c r="A209" s="15"/>
      <c r="B209" s="150"/>
      <c r="C209" s="150"/>
      <c r="D209" s="150"/>
      <c r="E209" s="156"/>
      <c r="F209" s="150"/>
      <c r="G209" s="150"/>
      <c r="H209" s="150"/>
      <c r="I209" s="15"/>
    </row>
    <row r="210" spans="1:9" x14ac:dyDescent="0.2">
      <c r="A210" s="15"/>
      <c r="B210" s="150"/>
      <c r="C210" s="150"/>
      <c r="D210" s="150"/>
      <c r="E210" s="156"/>
      <c r="F210" s="150"/>
      <c r="G210" s="150"/>
      <c r="H210" s="150"/>
      <c r="I210" s="15"/>
    </row>
    <row r="211" spans="1:9" x14ac:dyDescent="0.2">
      <c r="A211" s="15"/>
      <c r="B211" s="150"/>
      <c r="C211" s="150"/>
      <c r="D211" s="150"/>
      <c r="E211" s="156"/>
      <c r="F211" s="150"/>
      <c r="G211" s="150"/>
      <c r="H211" s="150"/>
      <c r="I211" s="15"/>
    </row>
    <row r="212" spans="1:9" x14ac:dyDescent="0.2">
      <c r="A212" s="15"/>
      <c r="B212" s="150"/>
      <c r="C212" s="150"/>
      <c r="D212" s="150"/>
      <c r="E212" s="156"/>
      <c r="F212" s="150"/>
      <c r="G212" s="150"/>
      <c r="H212" s="150"/>
      <c r="I212" s="15"/>
    </row>
    <row r="213" spans="1:9" x14ac:dyDescent="0.2">
      <c r="A213" s="15"/>
      <c r="B213" s="150"/>
      <c r="C213" s="150"/>
      <c r="D213" s="150"/>
      <c r="E213" s="156"/>
      <c r="F213" s="150"/>
      <c r="G213" s="150"/>
      <c r="H213" s="150"/>
      <c r="I213" s="15"/>
    </row>
    <row r="214" spans="1:9" x14ac:dyDescent="0.2">
      <c r="A214" s="15"/>
      <c r="B214" s="150"/>
      <c r="C214" s="150"/>
      <c r="D214" s="150"/>
      <c r="E214" s="156"/>
      <c r="F214" s="150"/>
      <c r="G214" s="150"/>
      <c r="H214" s="150"/>
      <c r="I214" s="15"/>
    </row>
    <row r="215" spans="1:9" x14ac:dyDescent="0.2">
      <c r="A215" s="15"/>
      <c r="B215" s="150"/>
      <c r="C215" s="150"/>
      <c r="D215" s="150"/>
      <c r="E215" s="156"/>
      <c r="F215" s="150"/>
      <c r="G215" s="150"/>
      <c r="H215" s="150"/>
      <c r="I215" s="15"/>
    </row>
    <row r="216" spans="1:9" x14ac:dyDescent="0.2">
      <c r="A216" s="15"/>
      <c r="B216" s="150"/>
      <c r="C216" s="150"/>
      <c r="D216" s="150"/>
      <c r="E216" s="156"/>
      <c r="F216" s="150"/>
      <c r="G216" s="150"/>
      <c r="H216" s="150"/>
      <c r="I216" s="15"/>
    </row>
    <row r="217" spans="1:9" x14ac:dyDescent="0.2">
      <c r="A217" s="15"/>
      <c r="B217" s="150"/>
      <c r="C217" s="150"/>
      <c r="D217" s="150"/>
      <c r="E217" s="156"/>
      <c r="F217" s="150"/>
      <c r="G217" s="150"/>
      <c r="H217" s="150"/>
      <c r="I217" s="15"/>
    </row>
    <row r="218" spans="1:9" x14ac:dyDescent="0.2">
      <c r="A218" s="15"/>
      <c r="B218" s="150"/>
      <c r="C218" s="150"/>
      <c r="D218" s="150"/>
      <c r="E218" s="156"/>
      <c r="F218" s="150"/>
      <c r="G218" s="150"/>
      <c r="H218" s="150"/>
      <c r="I218" s="15"/>
    </row>
    <row r="219" spans="1:9" x14ac:dyDescent="0.2">
      <c r="A219" s="15"/>
      <c r="B219" s="150"/>
      <c r="C219" s="150"/>
      <c r="D219" s="150"/>
      <c r="E219" s="156"/>
      <c r="F219" s="150"/>
      <c r="G219" s="150"/>
      <c r="H219" s="150"/>
      <c r="I219" s="15"/>
    </row>
    <row r="220" spans="1:9" x14ac:dyDescent="0.2">
      <c r="A220" s="15"/>
      <c r="B220" s="150"/>
      <c r="C220" s="150"/>
      <c r="D220" s="150"/>
      <c r="E220" s="156"/>
      <c r="F220" s="150"/>
      <c r="G220" s="150"/>
      <c r="H220" s="150"/>
      <c r="I220" s="15"/>
    </row>
    <row r="221" spans="1:9" x14ac:dyDescent="0.2">
      <c r="A221" s="15"/>
      <c r="B221" s="150"/>
      <c r="C221" s="150"/>
      <c r="D221" s="150"/>
      <c r="E221" s="156"/>
      <c r="F221" s="150"/>
      <c r="G221" s="150"/>
      <c r="H221" s="150"/>
      <c r="I221" s="15"/>
    </row>
    <row r="222" spans="1:9" x14ac:dyDescent="0.2">
      <c r="A222" s="15"/>
      <c r="B222" s="15"/>
      <c r="C222" s="15"/>
      <c r="D222" s="15"/>
      <c r="E222" s="16"/>
      <c r="F222" s="15"/>
      <c r="G222" s="15"/>
      <c r="H222" s="15"/>
      <c r="I222" s="15"/>
    </row>
    <row r="223" spans="1:9" x14ac:dyDescent="0.2">
      <c r="A223" s="15"/>
      <c r="B223" s="15"/>
      <c r="C223" s="15"/>
      <c r="D223" s="15"/>
      <c r="E223" s="16"/>
      <c r="F223" s="15"/>
      <c r="G223" s="15"/>
      <c r="H223" s="15"/>
      <c r="I223" s="15"/>
    </row>
    <row r="224" spans="1:9" x14ac:dyDescent="0.2">
      <c r="A224" s="15"/>
      <c r="B224" s="15"/>
      <c r="C224" s="15"/>
      <c r="D224" s="15"/>
      <c r="E224" s="16"/>
      <c r="F224" s="15"/>
      <c r="G224" s="15"/>
      <c r="H224" s="15"/>
      <c r="I224" s="15"/>
    </row>
    <row r="225" spans="1:9" x14ac:dyDescent="0.2">
      <c r="A225" s="15"/>
      <c r="B225" s="15"/>
      <c r="C225" s="15"/>
      <c r="D225" s="15"/>
      <c r="E225" s="16"/>
      <c r="F225" s="15"/>
      <c r="G225" s="15"/>
      <c r="H225" s="15"/>
      <c r="I225" s="15"/>
    </row>
    <row r="226" spans="1:9" x14ac:dyDescent="0.2">
      <c r="A226" s="15"/>
      <c r="B226" s="15"/>
      <c r="C226" s="15"/>
      <c r="D226" s="15"/>
      <c r="E226" s="16"/>
      <c r="F226" s="15"/>
      <c r="G226" s="15"/>
      <c r="H226" s="15"/>
      <c r="I226" s="15"/>
    </row>
    <row r="227" spans="1:9" x14ac:dyDescent="0.2">
      <c r="A227" s="15"/>
      <c r="B227" s="15"/>
      <c r="C227" s="15"/>
      <c r="D227" s="15"/>
      <c r="E227" s="16"/>
      <c r="F227" s="15"/>
      <c r="G227" s="15"/>
      <c r="H227" s="15"/>
      <c r="I227" s="15"/>
    </row>
    <row r="228" spans="1:9" x14ac:dyDescent="0.2">
      <c r="A228" s="15"/>
      <c r="B228" s="15"/>
      <c r="C228" s="15"/>
      <c r="D228" s="15"/>
      <c r="E228" s="16"/>
      <c r="F228" s="15"/>
      <c r="G228" s="15"/>
      <c r="H228" s="15"/>
      <c r="I228" s="15"/>
    </row>
    <row r="229" spans="1:9" x14ac:dyDescent="0.2">
      <c r="A229" s="15"/>
      <c r="B229" s="15"/>
      <c r="C229" s="15"/>
      <c r="D229" s="15"/>
      <c r="E229" s="16"/>
      <c r="F229" s="15"/>
      <c r="G229" s="15"/>
      <c r="H229" s="15"/>
      <c r="I229" s="15"/>
    </row>
    <row r="230" spans="1:9" x14ac:dyDescent="0.2">
      <c r="A230" s="15"/>
      <c r="B230" s="15"/>
      <c r="C230" s="15"/>
      <c r="D230" s="15"/>
      <c r="E230" s="16"/>
      <c r="F230" s="15"/>
      <c r="G230" s="15"/>
      <c r="H230" s="15"/>
      <c r="I230" s="15"/>
    </row>
    <row r="231" spans="1:9" x14ac:dyDescent="0.2">
      <c r="A231" s="15"/>
      <c r="B231" s="15"/>
      <c r="C231" s="15"/>
      <c r="D231" s="15"/>
      <c r="E231" s="16"/>
      <c r="F231" s="15"/>
      <c r="G231" s="15"/>
      <c r="H231" s="15"/>
      <c r="I231" s="15"/>
    </row>
    <row r="232" spans="1:9" x14ac:dyDescent="0.2">
      <c r="A232" s="15"/>
      <c r="B232" s="15"/>
      <c r="C232" s="15"/>
      <c r="D232" s="15"/>
      <c r="E232" s="16"/>
      <c r="F232" s="15"/>
      <c r="G232" s="15"/>
      <c r="H232" s="15"/>
      <c r="I232" s="15"/>
    </row>
    <row r="233" spans="1:9" x14ac:dyDescent="0.2">
      <c r="A233" s="15"/>
      <c r="B233" s="15"/>
      <c r="C233" s="15"/>
      <c r="D233" s="15"/>
      <c r="E233" s="16"/>
      <c r="F233" s="15"/>
      <c r="G233" s="15"/>
      <c r="H233" s="15"/>
      <c r="I233" s="15"/>
    </row>
    <row r="234" spans="1:9" x14ac:dyDescent="0.2">
      <c r="A234" s="15"/>
      <c r="B234" s="15"/>
      <c r="C234" s="15"/>
      <c r="D234" s="15"/>
      <c r="E234" s="16"/>
      <c r="F234" s="15"/>
      <c r="G234" s="15"/>
      <c r="H234" s="15"/>
      <c r="I234" s="15"/>
    </row>
    <row r="235" spans="1:9" x14ac:dyDescent="0.2">
      <c r="A235" s="15"/>
      <c r="B235" s="15"/>
      <c r="C235" s="15"/>
      <c r="D235" s="15"/>
      <c r="E235" s="16"/>
      <c r="F235" s="15"/>
      <c r="G235" s="15"/>
      <c r="H235" s="15"/>
      <c r="I235" s="15"/>
    </row>
    <row r="236" spans="1:9" x14ac:dyDescent="0.2">
      <c r="A236" s="15"/>
      <c r="B236" s="15"/>
      <c r="C236" s="15"/>
      <c r="D236" s="15"/>
      <c r="E236" s="16"/>
      <c r="F236" s="15"/>
      <c r="G236" s="15"/>
      <c r="H236" s="15"/>
      <c r="I236" s="15"/>
    </row>
    <row r="237" spans="1:9" x14ac:dyDescent="0.2">
      <c r="A237" s="15"/>
      <c r="B237" s="15"/>
      <c r="C237" s="15"/>
      <c r="D237" s="15"/>
      <c r="E237" s="16"/>
      <c r="F237" s="15"/>
      <c r="G237" s="15"/>
      <c r="H237" s="15"/>
      <c r="I237" s="15"/>
    </row>
    <row r="238" spans="1:9" x14ac:dyDescent="0.2">
      <c r="A238" s="15"/>
      <c r="B238" s="15"/>
      <c r="C238" s="15"/>
      <c r="D238" s="15"/>
      <c r="E238" s="16"/>
      <c r="F238" s="15"/>
      <c r="G238" s="15"/>
      <c r="H238" s="15"/>
      <c r="I238" s="15"/>
    </row>
    <row r="239" spans="1:9" x14ac:dyDescent="0.2">
      <c r="A239" s="15"/>
      <c r="B239" s="15"/>
      <c r="C239" s="15"/>
      <c r="D239" s="15"/>
      <c r="E239" s="16"/>
      <c r="F239" s="15"/>
      <c r="G239" s="15"/>
      <c r="H239" s="15"/>
      <c r="I239" s="15"/>
    </row>
    <row r="240" spans="1:9" x14ac:dyDescent="0.2">
      <c r="A240" s="15"/>
      <c r="B240" s="15"/>
      <c r="C240" s="15"/>
      <c r="D240" s="15"/>
      <c r="E240" s="16"/>
      <c r="F240" s="15"/>
      <c r="G240" s="15"/>
      <c r="H240" s="15"/>
      <c r="I240" s="15"/>
    </row>
    <row r="241" spans="1:9" x14ac:dyDescent="0.2">
      <c r="A241" s="15"/>
      <c r="B241" s="15"/>
      <c r="C241" s="15"/>
      <c r="D241" s="15"/>
      <c r="E241" s="16"/>
      <c r="F241" s="15"/>
      <c r="G241" s="15"/>
      <c r="H241" s="15"/>
      <c r="I241" s="15"/>
    </row>
    <row r="242" spans="1:9" x14ac:dyDescent="0.2">
      <c r="A242" s="15"/>
      <c r="B242" s="15"/>
      <c r="C242" s="15"/>
      <c r="D242" s="15"/>
      <c r="E242" s="16"/>
      <c r="F242" s="15"/>
      <c r="G242" s="15"/>
      <c r="H242" s="15"/>
      <c r="I242" s="15"/>
    </row>
    <row r="243" spans="1:9" x14ac:dyDescent="0.2">
      <c r="A243" s="15"/>
      <c r="B243" s="15"/>
      <c r="C243" s="15"/>
      <c r="D243" s="15"/>
      <c r="E243" s="16"/>
      <c r="F243" s="15"/>
      <c r="G243" s="15"/>
      <c r="H243" s="15"/>
      <c r="I243" s="15"/>
    </row>
    <row r="244" spans="1:9" x14ac:dyDescent="0.2">
      <c r="A244" s="15"/>
      <c r="B244" s="15"/>
      <c r="C244" s="15"/>
      <c r="D244" s="15"/>
      <c r="E244" s="16"/>
      <c r="F244" s="15"/>
      <c r="G244" s="15"/>
      <c r="H244" s="15"/>
      <c r="I244" s="15"/>
    </row>
    <row r="245" spans="1:9" x14ac:dyDescent="0.2">
      <c r="A245" s="15"/>
      <c r="B245" s="15"/>
      <c r="C245" s="15"/>
      <c r="D245" s="15"/>
      <c r="E245" s="16"/>
      <c r="F245" s="15"/>
      <c r="G245" s="15"/>
      <c r="H245" s="15"/>
      <c r="I245" s="15"/>
    </row>
    <row r="246" spans="1:9" x14ac:dyDescent="0.2">
      <c r="A246" s="15"/>
      <c r="B246" s="15"/>
      <c r="C246" s="15"/>
      <c r="D246" s="15"/>
      <c r="E246" s="16"/>
      <c r="F246" s="15"/>
      <c r="G246" s="15"/>
      <c r="H246" s="15"/>
      <c r="I246" s="15"/>
    </row>
    <row r="247" spans="1:9" x14ac:dyDescent="0.2">
      <c r="A247" s="15"/>
      <c r="B247" s="15"/>
      <c r="C247" s="15"/>
      <c r="D247" s="15"/>
      <c r="E247" s="16"/>
      <c r="F247" s="15"/>
      <c r="G247" s="15"/>
      <c r="H247" s="15"/>
      <c r="I247" s="15"/>
    </row>
    <row r="248" spans="1:9" x14ac:dyDescent="0.2">
      <c r="A248" s="15"/>
      <c r="B248" s="15"/>
      <c r="C248" s="15"/>
      <c r="D248" s="15"/>
      <c r="E248" s="16"/>
      <c r="F248" s="15"/>
      <c r="G248" s="15"/>
      <c r="H248" s="15"/>
      <c r="I248" s="15"/>
    </row>
    <row r="249" spans="1:9" x14ac:dyDescent="0.2">
      <c r="A249" s="15"/>
      <c r="B249" s="15"/>
      <c r="C249" s="15"/>
      <c r="D249" s="15"/>
      <c r="E249" s="16"/>
      <c r="F249" s="15"/>
      <c r="G249" s="15"/>
      <c r="H249" s="15"/>
      <c r="I249" s="15"/>
    </row>
    <row r="250" spans="1:9" x14ac:dyDescent="0.2">
      <c r="A250" s="15"/>
      <c r="B250" s="15"/>
      <c r="C250" s="15"/>
      <c r="D250" s="15"/>
      <c r="E250" s="16"/>
      <c r="F250" s="15"/>
      <c r="G250" s="15"/>
      <c r="H250" s="15"/>
      <c r="I250" s="15"/>
    </row>
    <row r="251" spans="1:9" x14ac:dyDescent="0.2">
      <c r="A251" s="15"/>
      <c r="B251" s="15"/>
      <c r="C251" s="15"/>
      <c r="D251" s="15"/>
      <c r="E251" s="16"/>
      <c r="F251" s="15"/>
      <c r="G251" s="15"/>
      <c r="H251" s="15"/>
      <c r="I251" s="15"/>
    </row>
    <row r="252" spans="1:9" x14ac:dyDescent="0.2">
      <c r="A252" s="15"/>
      <c r="B252" s="15"/>
      <c r="C252" s="15"/>
      <c r="D252" s="15"/>
      <c r="E252" s="16"/>
      <c r="F252" s="15"/>
      <c r="G252" s="15"/>
      <c r="H252" s="15"/>
      <c r="I252" s="15"/>
    </row>
    <row r="253" spans="1:9" x14ac:dyDescent="0.2">
      <c r="A253" s="15"/>
      <c r="B253" s="15"/>
      <c r="C253" s="15"/>
      <c r="D253" s="15"/>
      <c r="E253" s="16"/>
      <c r="F253" s="15"/>
      <c r="G253" s="15"/>
      <c r="H253" s="15"/>
      <c r="I253" s="15"/>
    </row>
    <row r="254" spans="1:9" x14ac:dyDescent="0.2">
      <c r="A254" s="15"/>
      <c r="B254" s="15"/>
      <c r="C254" s="15"/>
      <c r="D254" s="15"/>
      <c r="E254" s="16"/>
      <c r="F254" s="15"/>
      <c r="G254" s="15"/>
      <c r="H254" s="15"/>
      <c r="I254" s="15"/>
    </row>
    <row r="255" spans="1:9" x14ac:dyDescent="0.2">
      <c r="A255" s="15"/>
      <c r="B255" s="15"/>
      <c r="C255" s="15"/>
      <c r="D255" s="15"/>
      <c r="E255" s="16"/>
      <c r="F255" s="15"/>
      <c r="G255" s="15"/>
      <c r="H255" s="15"/>
      <c r="I255" s="15"/>
    </row>
    <row r="256" spans="1:9" x14ac:dyDescent="0.2">
      <c r="A256" s="15"/>
      <c r="B256" s="15"/>
      <c r="C256" s="15"/>
      <c r="D256" s="15"/>
      <c r="E256" s="16"/>
      <c r="F256" s="15"/>
      <c r="G256" s="15"/>
      <c r="H256" s="15"/>
      <c r="I256" s="15"/>
    </row>
    <row r="257" spans="1:9" x14ac:dyDescent="0.2">
      <c r="A257" s="15"/>
      <c r="B257" s="15"/>
      <c r="C257" s="15"/>
      <c r="D257" s="15"/>
      <c r="E257" s="16"/>
      <c r="F257" s="15"/>
      <c r="G257" s="15"/>
      <c r="H257" s="15"/>
      <c r="I257" s="15"/>
    </row>
    <row r="258" spans="1:9" x14ac:dyDescent="0.2">
      <c r="A258" s="15"/>
      <c r="B258" s="15"/>
      <c r="C258" s="15"/>
      <c r="D258" s="15"/>
      <c r="E258" s="16"/>
      <c r="F258" s="15"/>
      <c r="G258" s="15"/>
      <c r="H258" s="15"/>
      <c r="I258" s="15"/>
    </row>
    <row r="259" spans="1:9" x14ac:dyDescent="0.2">
      <c r="A259" s="15"/>
      <c r="B259" s="15"/>
      <c r="C259" s="15"/>
      <c r="D259" s="15"/>
      <c r="E259" s="16"/>
      <c r="F259" s="15"/>
      <c r="G259" s="15"/>
      <c r="H259" s="15"/>
      <c r="I259" s="15"/>
    </row>
    <row r="260" spans="1:9" x14ac:dyDescent="0.2">
      <c r="A260" s="15"/>
      <c r="B260" s="15"/>
      <c r="C260" s="15"/>
      <c r="D260" s="15"/>
      <c r="E260" s="16"/>
      <c r="F260" s="15"/>
      <c r="G260" s="15"/>
      <c r="H260" s="15"/>
      <c r="I260" s="15"/>
    </row>
    <row r="261" spans="1:9" x14ac:dyDescent="0.2">
      <c r="A261" s="15"/>
      <c r="B261" s="15"/>
      <c r="C261" s="15"/>
      <c r="D261" s="15"/>
      <c r="E261" s="16"/>
      <c r="F261" s="15"/>
      <c r="G261" s="15"/>
      <c r="H261" s="15"/>
      <c r="I261" s="15"/>
    </row>
    <row r="262" spans="1:9" x14ac:dyDescent="0.2">
      <c r="A262" s="15"/>
      <c r="B262" s="15"/>
      <c r="C262" s="15"/>
      <c r="D262" s="15"/>
      <c r="E262" s="16"/>
      <c r="F262" s="15"/>
      <c r="G262" s="15"/>
      <c r="H262" s="15"/>
      <c r="I262" s="15"/>
    </row>
    <row r="263" spans="1:9" x14ac:dyDescent="0.2">
      <c r="A263" s="15"/>
      <c r="B263" s="15"/>
      <c r="C263" s="15"/>
      <c r="D263" s="15"/>
      <c r="E263" s="16"/>
      <c r="F263" s="15"/>
      <c r="G263" s="15"/>
      <c r="H263" s="15"/>
      <c r="I263" s="15"/>
    </row>
    <row r="264" spans="1:9" x14ac:dyDescent="0.2">
      <c r="A264" s="15"/>
      <c r="B264" s="15"/>
      <c r="C264" s="15"/>
      <c r="D264" s="15"/>
      <c r="E264" s="16"/>
      <c r="F264" s="15"/>
      <c r="G264" s="15"/>
      <c r="H264" s="15"/>
      <c r="I264" s="15"/>
    </row>
    <row r="265" spans="1:9" x14ac:dyDescent="0.2">
      <c r="A265" s="15"/>
      <c r="B265" s="15"/>
      <c r="C265" s="15"/>
      <c r="D265" s="15"/>
      <c r="E265" s="16"/>
      <c r="F265" s="15"/>
      <c r="G265" s="15"/>
      <c r="H265" s="15"/>
      <c r="I265" s="15"/>
    </row>
    <row r="266" spans="1:9" x14ac:dyDescent="0.2">
      <c r="A266" s="15"/>
      <c r="B266" s="15"/>
      <c r="C266" s="15"/>
      <c r="D266" s="15"/>
      <c r="E266" s="16"/>
      <c r="F266" s="15"/>
      <c r="G266" s="15"/>
      <c r="H266" s="15"/>
      <c r="I266" s="15"/>
    </row>
    <row r="267" spans="1:9" x14ac:dyDescent="0.2">
      <c r="A267" s="15"/>
      <c r="B267" s="15"/>
      <c r="C267" s="15"/>
      <c r="D267" s="15"/>
      <c r="E267" s="16"/>
      <c r="F267" s="15"/>
      <c r="G267" s="15"/>
      <c r="H267" s="15"/>
      <c r="I267" s="15"/>
    </row>
    <row r="268" spans="1:9" x14ac:dyDescent="0.2">
      <c r="A268" s="15"/>
      <c r="B268" s="15"/>
      <c r="C268" s="15"/>
      <c r="D268" s="15"/>
      <c r="E268" s="16"/>
      <c r="F268" s="15"/>
      <c r="G268" s="15"/>
      <c r="H268" s="15"/>
      <c r="I268" s="15"/>
    </row>
    <row r="269" spans="1:9" x14ac:dyDescent="0.2">
      <c r="A269" s="15"/>
      <c r="B269" s="15"/>
      <c r="C269" s="15"/>
      <c r="D269" s="15"/>
      <c r="E269" s="16"/>
      <c r="F269" s="15"/>
      <c r="G269" s="15"/>
      <c r="H269" s="15"/>
      <c r="I269" s="15"/>
    </row>
    <row r="270" spans="1:9" x14ac:dyDescent="0.2">
      <c r="A270" s="15"/>
      <c r="B270" s="15"/>
      <c r="C270" s="15"/>
      <c r="D270" s="15"/>
      <c r="E270" s="16"/>
      <c r="F270" s="15"/>
      <c r="G270" s="15"/>
      <c r="H270" s="15"/>
      <c r="I270" s="15"/>
    </row>
    <row r="271" spans="1:9" x14ac:dyDescent="0.2">
      <c r="A271" s="15"/>
      <c r="B271" s="15"/>
      <c r="C271" s="15"/>
      <c r="D271" s="15"/>
      <c r="E271" s="16"/>
      <c r="F271" s="15"/>
      <c r="G271" s="15"/>
      <c r="H271" s="15"/>
      <c r="I271" s="15"/>
    </row>
    <row r="272" spans="1:9" x14ac:dyDescent="0.2">
      <c r="A272" s="15"/>
      <c r="B272" s="15"/>
      <c r="C272" s="15"/>
      <c r="D272" s="15"/>
      <c r="E272" s="16"/>
      <c r="F272" s="15"/>
      <c r="G272" s="15"/>
      <c r="H272" s="15"/>
      <c r="I272" s="15"/>
    </row>
    <row r="273" spans="1:9" x14ac:dyDescent="0.2">
      <c r="A273" s="15"/>
      <c r="B273" s="15"/>
      <c r="C273" s="15"/>
      <c r="D273" s="15"/>
      <c r="E273" s="16"/>
      <c r="F273" s="15"/>
      <c r="G273" s="15"/>
      <c r="H273" s="15"/>
      <c r="I273" s="15"/>
    </row>
    <row r="274" spans="1:9" x14ac:dyDescent="0.2">
      <c r="A274" s="15"/>
      <c r="B274" s="15"/>
      <c r="C274" s="15"/>
      <c r="D274" s="15"/>
      <c r="E274" s="16"/>
      <c r="F274" s="15"/>
      <c r="G274" s="15"/>
      <c r="H274" s="15"/>
      <c r="I274" s="15"/>
    </row>
    <row r="275" spans="1:9" x14ac:dyDescent="0.2">
      <c r="A275" s="15"/>
      <c r="B275" s="15"/>
      <c r="C275" s="15"/>
      <c r="D275" s="15"/>
      <c r="E275" s="16"/>
      <c r="F275" s="15"/>
      <c r="G275" s="15"/>
      <c r="H275" s="15"/>
      <c r="I275" s="15"/>
    </row>
    <row r="276" spans="1:9" x14ac:dyDescent="0.2">
      <c r="A276" s="15"/>
      <c r="B276" s="15"/>
      <c r="C276" s="15"/>
      <c r="D276" s="15"/>
      <c r="E276" s="16"/>
      <c r="F276" s="15"/>
      <c r="G276" s="15"/>
      <c r="H276" s="15"/>
      <c r="I276" s="15"/>
    </row>
    <row r="277" spans="1:9" x14ac:dyDescent="0.2">
      <c r="A277" s="15"/>
      <c r="B277" s="15"/>
      <c r="C277" s="15"/>
      <c r="D277" s="15"/>
      <c r="E277" s="16"/>
      <c r="F277" s="15"/>
      <c r="G277" s="15"/>
      <c r="H277" s="15"/>
      <c r="I277" s="15"/>
    </row>
    <row r="278" spans="1:9" x14ac:dyDescent="0.2">
      <c r="A278" s="15"/>
      <c r="B278" s="15"/>
      <c r="C278" s="15"/>
      <c r="D278" s="15"/>
      <c r="E278" s="16"/>
      <c r="F278" s="15"/>
      <c r="G278" s="15"/>
      <c r="H278" s="15"/>
      <c r="I278" s="15"/>
    </row>
    <row r="279" spans="1:9" x14ac:dyDescent="0.2">
      <c r="A279" s="15"/>
      <c r="B279" s="15"/>
      <c r="C279" s="15"/>
      <c r="D279" s="15"/>
      <c r="E279" s="16"/>
      <c r="F279" s="15"/>
      <c r="G279" s="15"/>
      <c r="H279" s="15"/>
      <c r="I279" s="15"/>
    </row>
    <row r="280" spans="1:9" x14ac:dyDescent="0.2">
      <c r="A280" s="15"/>
      <c r="B280" s="15"/>
      <c r="C280" s="15"/>
      <c r="D280" s="15"/>
      <c r="E280" s="16"/>
      <c r="F280" s="15"/>
      <c r="G280" s="15"/>
      <c r="H280" s="15"/>
      <c r="I280" s="15"/>
    </row>
    <row r="281" spans="1:9" x14ac:dyDescent="0.2">
      <c r="A281" s="15"/>
      <c r="B281" s="15"/>
      <c r="C281" s="15"/>
      <c r="D281" s="15"/>
      <c r="E281" s="16"/>
      <c r="F281" s="15"/>
      <c r="G281" s="15"/>
      <c r="H281" s="15"/>
      <c r="I281" s="15"/>
    </row>
    <row r="282" spans="1:9" x14ac:dyDescent="0.2">
      <c r="A282" s="15"/>
      <c r="B282" s="15"/>
      <c r="C282" s="15"/>
      <c r="D282" s="15"/>
      <c r="E282" s="16"/>
      <c r="F282" s="15"/>
      <c r="G282" s="15"/>
      <c r="H282" s="15"/>
      <c r="I282" s="15"/>
    </row>
    <row r="283" spans="1:9" x14ac:dyDescent="0.2">
      <c r="A283" s="15"/>
      <c r="B283" s="15"/>
      <c r="C283" s="15"/>
      <c r="D283" s="15"/>
      <c r="E283" s="16"/>
      <c r="F283" s="15"/>
      <c r="G283" s="15"/>
      <c r="H283" s="15"/>
      <c r="I283" s="15"/>
    </row>
    <row r="284" spans="1:9" x14ac:dyDescent="0.2">
      <c r="A284" s="15"/>
      <c r="B284" s="15"/>
      <c r="C284" s="15"/>
      <c r="D284" s="15"/>
      <c r="E284" s="16"/>
      <c r="F284" s="15"/>
      <c r="G284" s="15"/>
      <c r="H284" s="15"/>
      <c r="I284" s="15"/>
    </row>
    <row r="285" spans="1:9" x14ac:dyDescent="0.2">
      <c r="A285" s="15"/>
      <c r="B285" s="15"/>
      <c r="C285" s="15"/>
      <c r="D285" s="15"/>
      <c r="E285" s="16"/>
      <c r="F285" s="15"/>
      <c r="G285" s="15"/>
      <c r="H285" s="15"/>
      <c r="I285" s="15"/>
    </row>
    <row r="286" spans="1:9" x14ac:dyDescent="0.2">
      <c r="A286" s="15"/>
      <c r="B286" s="15"/>
      <c r="C286" s="15"/>
      <c r="D286" s="15"/>
      <c r="E286" s="16"/>
      <c r="F286" s="15"/>
      <c r="G286" s="15"/>
      <c r="H286" s="15"/>
      <c r="I286" s="15"/>
    </row>
    <row r="287" spans="1:9" x14ac:dyDescent="0.2">
      <c r="A287" s="15"/>
      <c r="B287" s="15"/>
      <c r="C287" s="15"/>
      <c r="D287" s="15"/>
      <c r="E287" s="16"/>
      <c r="F287" s="15"/>
      <c r="G287" s="15"/>
      <c r="H287" s="15"/>
      <c r="I287" s="15"/>
    </row>
    <row r="288" spans="1:9" x14ac:dyDescent="0.2">
      <c r="A288" s="15"/>
      <c r="B288" s="15"/>
      <c r="C288" s="15"/>
      <c r="D288" s="15"/>
      <c r="E288" s="16"/>
      <c r="F288" s="15"/>
      <c r="G288" s="15"/>
      <c r="H288" s="15"/>
      <c r="I288" s="15"/>
    </row>
    <row r="289" spans="1:9" x14ac:dyDescent="0.2">
      <c r="A289" s="15"/>
      <c r="B289" s="15"/>
      <c r="C289" s="15"/>
      <c r="D289" s="15"/>
      <c r="E289" s="16"/>
      <c r="F289" s="15"/>
      <c r="G289" s="15"/>
      <c r="H289" s="15"/>
      <c r="I289" s="15"/>
    </row>
    <row r="290" spans="1:9" x14ac:dyDescent="0.2">
      <c r="A290" s="15"/>
      <c r="B290" s="15"/>
      <c r="C290" s="15"/>
      <c r="D290" s="15"/>
      <c r="E290" s="16"/>
      <c r="F290" s="15"/>
      <c r="G290" s="15"/>
      <c r="H290" s="15"/>
      <c r="I290" s="15"/>
    </row>
    <row r="291" spans="1:9" x14ac:dyDescent="0.2">
      <c r="A291" s="15"/>
      <c r="B291" s="15"/>
      <c r="C291" s="15"/>
      <c r="D291" s="15"/>
      <c r="E291" s="16"/>
      <c r="F291" s="15"/>
      <c r="G291" s="15"/>
      <c r="H291" s="15"/>
      <c r="I291" s="15"/>
    </row>
    <row r="292" spans="1:9" x14ac:dyDescent="0.2">
      <c r="A292" s="15"/>
      <c r="B292" s="15"/>
      <c r="C292" s="15"/>
      <c r="D292" s="15"/>
      <c r="E292" s="16"/>
      <c r="F292" s="15"/>
      <c r="G292" s="15"/>
      <c r="H292" s="15"/>
      <c r="I292" s="15"/>
    </row>
    <row r="293" spans="1:9" x14ac:dyDescent="0.2">
      <c r="A293" s="15"/>
      <c r="B293" s="15"/>
      <c r="C293" s="15"/>
      <c r="D293" s="15"/>
      <c r="E293" s="16"/>
      <c r="F293" s="15"/>
      <c r="G293" s="15"/>
      <c r="H293" s="15"/>
      <c r="I293" s="15"/>
    </row>
    <row r="294" spans="1:9" x14ac:dyDescent="0.2">
      <c r="A294" s="15"/>
      <c r="B294" s="15"/>
      <c r="C294" s="15"/>
      <c r="D294" s="15"/>
      <c r="E294" s="16"/>
      <c r="F294" s="15"/>
      <c r="G294" s="15"/>
      <c r="H294" s="15"/>
      <c r="I294" s="15"/>
    </row>
    <row r="295" spans="1:9" x14ac:dyDescent="0.2">
      <c r="A295" s="15"/>
      <c r="B295" s="15"/>
      <c r="C295" s="15"/>
      <c r="D295" s="15"/>
      <c r="E295" s="16"/>
      <c r="F295" s="15"/>
      <c r="G295" s="15"/>
      <c r="H295" s="15"/>
      <c r="I295" s="15"/>
    </row>
    <row r="296" spans="1:9" x14ac:dyDescent="0.2">
      <c r="A296" s="15"/>
      <c r="B296" s="15"/>
      <c r="C296" s="15"/>
      <c r="D296" s="15"/>
      <c r="E296" s="16"/>
      <c r="F296" s="15"/>
      <c r="G296" s="15"/>
      <c r="H296" s="15"/>
      <c r="I296" s="15"/>
    </row>
    <row r="297" spans="1:9" x14ac:dyDescent="0.2">
      <c r="A297" s="15"/>
      <c r="B297" s="15"/>
      <c r="C297" s="15"/>
      <c r="D297" s="15"/>
      <c r="E297" s="16"/>
      <c r="F297" s="15"/>
      <c r="G297" s="15"/>
      <c r="H297" s="15"/>
      <c r="I297" s="15"/>
    </row>
    <row r="298" spans="1:9" x14ac:dyDescent="0.2">
      <c r="A298" s="15"/>
      <c r="B298" s="15"/>
      <c r="C298" s="15"/>
      <c r="D298" s="15"/>
      <c r="E298" s="16"/>
      <c r="F298" s="15"/>
      <c r="G298" s="15"/>
      <c r="H298" s="15"/>
      <c r="I298" s="15"/>
    </row>
    <row r="299" spans="1:9" x14ac:dyDescent="0.2">
      <c r="A299" s="15"/>
      <c r="B299" s="15"/>
      <c r="C299" s="15"/>
      <c r="D299" s="15"/>
      <c r="E299" s="16"/>
      <c r="F299" s="15"/>
      <c r="G299" s="15"/>
      <c r="H299" s="15"/>
      <c r="I299" s="15"/>
    </row>
    <row r="300" spans="1:9" x14ac:dyDescent="0.2">
      <c r="A300" s="15"/>
      <c r="B300" s="15"/>
      <c r="C300" s="15"/>
      <c r="D300" s="15"/>
      <c r="E300" s="16"/>
      <c r="F300" s="15"/>
      <c r="G300" s="15"/>
      <c r="H300" s="15"/>
      <c r="I300" s="15"/>
    </row>
    <row r="301" spans="1:9" x14ac:dyDescent="0.2">
      <c r="A301" s="15"/>
      <c r="B301" s="15"/>
      <c r="C301" s="15"/>
      <c r="D301" s="15"/>
      <c r="E301" s="16"/>
      <c r="F301" s="15"/>
      <c r="G301" s="15"/>
      <c r="H301" s="15"/>
      <c r="I301" s="15"/>
    </row>
    <row r="302" spans="1:9" x14ac:dyDescent="0.2">
      <c r="A302" s="15"/>
      <c r="B302" s="15"/>
      <c r="C302" s="15"/>
      <c r="D302" s="15"/>
      <c r="E302" s="16"/>
      <c r="F302" s="15"/>
      <c r="G302" s="15"/>
      <c r="H302" s="15"/>
      <c r="I302" s="15"/>
    </row>
    <row r="303" spans="1:9" x14ac:dyDescent="0.2">
      <c r="A303" s="15"/>
      <c r="B303" s="15"/>
      <c r="C303" s="15"/>
      <c r="D303" s="15"/>
      <c r="E303" s="16"/>
      <c r="F303" s="15"/>
      <c r="G303" s="15"/>
      <c r="H303" s="15"/>
      <c r="I303" s="15"/>
    </row>
    <row r="304" spans="1:9" x14ac:dyDescent="0.2">
      <c r="A304" s="15"/>
      <c r="B304" s="15"/>
      <c r="C304" s="15"/>
      <c r="D304" s="15"/>
      <c r="E304" s="16"/>
      <c r="F304" s="15"/>
      <c r="G304" s="15"/>
      <c r="H304" s="15"/>
      <c r="I304" s="15"/>
    </row>
    <row r="305" spans="1:9" x14ac:dyDescent="0.2">
      <c r="A305" s="15"/>
      <c r="B305" s="15"/>
      <c r="C305" s="15"/>
      <c r="D305" s="15"/>
      <c r="E305" s="16"/>
      <c r="F305" s="15"/>
      <c r="G305" s="15"/>
      <c r="H305" s="15"/>
      <c r="I305" s="15"/>
    </row>
    <row r="306" spans="1:9" x14ac:dyDescent="0.2">
      <c r="A306" s="15"/>
      <c r="B306" s="15"/>
      <c r="C306" s="15"/>
      <c r="D306" s="15"/>
      <c r="E306" s="16"/>
      <c r="F306" s="15"/>
      <c r="G306" s="15"/>
      <c r="H306" s="15"/>
      <c r="I306" s="15"/>
    </row>
    <row r="307" spans="1:9" x14ac:dyDescent="0.2">
      <c r="A307" s="15"/>
      <c r="B307" s="15"/>
      <c r="C307" s="15"/>
      <c r="D307" s="15"/>
      <c r="E307" s="16"/>
      <c r="F307" s="15"/>
      <c r="G307" s="15"/>
      <c r="H307" s="15"/>
      <c r="I307" s="15"/>
    </row>
    <row r="308" spans="1:9" x14ac:dyDescent="0.2">
      <c r="A308" s="15"/>
      <c r="B308" s="15"/>
      <c r="C308" s="15"/>
      <c r="D308" s="15"/>
      <c r="E308" s="16"/>
      <c r="F308" s="15"/>
      <c r="G308" s="15"/>
      <c r="H308" s="15"/>
      <c r="I308" s="15"/>
    </row>
    <row r="309" spans="1:9" x14ac:dyDescent="0.2">
      <c r="A309" s="15"/>
      <c r="B309" s="15"/>
      <c r="C309" s="15"/>
      <c r="D309" s="15"/>
      <c r="E309" s="16"/>
      <c r="F309" s="15"/>
      <c r="G309" s="15"/>
      <c r="H309" s="15"/>
      <c r="I309" s="15"/>
    </row>
    <row r="310" spans="1:9" x14ac:dyDescent="0.2">
      <c r="A310" s="15"/>
      <c r="B310" s="15"/>
      <c r="C310" s="15"/>
      <c r="D310" s="15"/>
      <c r="E310" s="16"/>
      <c r="F310" s="15"/>
      <c r="G310" s="15"/>
      <c r="H310" s="15"/>
      <c r="I310" s="15"/>
    </row>
    <row r="311" spans="1:9" x14ac:dyDescent="0.2">
      <c r="A311" s="15"/>
      <c r="B311" s="15"/>
      <c r="C311" s="15"/>
      <c r="D311" s="15"/>
      <c r="E311" s="16"/>
      <c r="F311" s="15"/>
      <c r="G311" s="15"/>
      <c r="H311" s="15"/>
      <c r="I311" s="15"/>
    </row>
    <row r="312" spans="1:9" x14ac:dyDescent="0.2">
      <c r="A312" s="15"/>
      <c r="B312" s="15"/>
      <c r="C312" s="15"/>
      <c r="D312" s="15"/>
      <c r="E312" s="16"/>
      <c r="F312" s="15"/>
      <c r="G312" s="15"/>
      <c r="H312" s="15"/>
      <c r="I312" s="15"/>
    </row>
    <row r="313" spans="1:9" x14ac:dyDescent="0.2">
      <c r="A313" s="15"/>
      <c r="B313" s="15"/>
      <c r="C313" s="15"/>
      <c r="D313" s="15"/>
      <c r="E313" s="16"/>
      <c r="F313" s="15"/>
      <c r="G313" s="15"/>
      <c r="H313" s="15"/>
      <c r="I313" s="15"/>
    </row>
    <row r="314" spans="1:9" x14ac:dyDescent="0.2">
      <c r="A314" s="15"/>
      <c r="B314" s="15"/>
      <c r="C314" s="15"/>
      <c r="D314" s="15"/>
      <c r="E314" s="16"/>
      <c r="F314" s="15"/>
      <c r="G314" s="15"/>
      <c r="H314" s="15"/>
      <c r="I314" s="15"/>
    </row>
    <row r="315" spans="1:9" x14ac:dyDescent="0.2">
      <c r="A315" s="15"/>
      <c r="B315" s="15"/>
      <c r="C315" s="15"/>
      <c r="D315" s="15"/>
      <c r="E315" s="16"/>
      <c r="F315" s="15"/>
      <c r="G315" s="15"/>
      <c r="H315" s="15"/>
      <c r="I315" s="15"/>
    </row>
    <row r="316" spans="1:9" x14ac:dyDescent="0.2">
      <c r="A316" s="15"/>
      <c r="B316" s="15"/>
      <c r="C316" s="15"/>
      <c r="D316" s="15"/>
      <c r="E316" s="16"/>
      <c r="F316" s="15"/>
      <c r="G316" s="15"/>
      <c r="H316" s="15"/>
      <c r="I316" s="15"/>
    </row>
    <row r="317" spans="1:9" x14ac:dyDescent="0.2">
      <c r="A317" s="15"/>
      <c r="B317" s="15"/>
      <c r="C317" s="15"/>
      <c r="D317" s="15"/>
      <c r="E317" s="16"/>
      <c r="F317" s="15"/>
      <c r="G317" s="15"/>
      <c r="H317" s="15"/>
      <c r="I317" s="15"/>
    </row>
    <row r="318" spans="1:9" x14ac:dyDescent="0.2">
      <c r="A318" s="15"/>
      <c r="B318" s="15"/>
      <c r="C318" s="15"/>
      <c r="D318" s="15"/>
      <c r="E318" s="16"/>
      <c r="F318" s="15"/>
      <c r="G318" s="15"/>
      <c r="H318" s="15"/>
      <c r="I318" s="15"/>
    </row>
    <row r="319" spans="1:9" x14ac:dyDescent="0.2">
      <c r="A319" s="15"/>
      <c r="B319" s="15"/>
      <c r="C319" s="15"/>
      <c r="D319" s="15"/>
      <c r="E319" s="16"/>
      <c r="F319" s="15"/>
      <c r="G319" s="15"/>
      <c r="H319" s="15"/>
      <c r="I319" s="15"/>
    </row>
    <row r="320" spans="1:9" x14ac:dyDescent="0.2">
      <c r="A320" s="15"/>
      <c r="B320" s="15"/>
      <c r="C320" s="15"/>
      <c r="D320" s="15"/>
      <c r="E320" s="16"/>
      <c r="F320" s="15"/>
      <c r="G320" s="15"/>
      <c r="H320" s="15"/>
      <c r="I320" s="15"/>
    </row>
    <row r="321" spans="1:9" x14ac:dyDescent="0.2">
      <c r="A321" s="15"/>
      <c r="B321" s="15"/>
      <c r="C321" s="15"/>
      <c r="D321" s="15"/>
      <c r="E321" s="16"/>
      <c r="F321" s="15"/>
      <c r="G321" s="15"/>
      <c r="H321" s="15"/>
      <c r="I321" s="15"/>
    </row>
    <row r="322" spans="1:9" x14ac:dyDescent="0.2">
      <c r="A322" s="15"/>
      <c r="B322" s="15"/>
      <c r="C322" s="15"/>
      <c r="D322" s="15"/>
      <c r="E322" s="16"/>
      <c r="F322" s="15"/>
      <c r="G322" s="15"/>
      <c r="H322" s="15"/>
      <c r="I322" s="15"/>
    </row>
    <row r="323" spans="1:9" x14ac:dyDescent="0.2">
      <c r="A323" s="15"/>
      <c r="B323" s="15"/>
      <c r="C323" s="15"/>
      <c r="D323" s="15"/>
      <c r="E323" s="16"/>
      <c r="F323" s="15"/>
      <c r="G323" s="15"/>
      <c r="H323" s="15"/>
      <c r="I323" s="15"/>
    </row>
    <row r="324" spans="1:9" x14ac:dyDescent="0.2">
      <c r="A324" s="15"/>
      <c r="B324" s="15"/>
      <c r="C324" s="15"/>
      <c r="D324" s="15"/>
      <c r="E324" s="16"/>
      <c r="F324" s="15"/>
      <c r="G324" s="15"/>
      <c r="H324" s="15"/>
      <c r="I324" s="15"/>
    </row>
    <row r="325" spans="1:9" x14ac:dyDescent="0.2">
      <c r="A325" s="15"/>
      <c r="B325" s="15"/>
      <c r="C325" s="15"/>
      <c r="D325" s="15"/>
      <c r="E325" s="16"/>
      <c r="F325" s="15"/>
      <c r="G325" s="15"/>
      <c r="H325" s="15"/>
      <c r="I325" s="15"/>
    </row>
    <row r="326" spans="1:9" x14ac:dyDescent="0.2">
      <c r="A326" s="15"/>
      <c r="B326" s="15"/>
      <c r="C326" s="15"/>
      <c r="D326" s="15"/>
      <c r="E326" s="16"/>
      <c r="F326" s="15"/>
      <c r="G326" s="15"/>
      <c r="H326" s="15"/>
      <c r="I326" s="15"/>
    </row>
    <row r="327" spans="1:9" x14ac:dyDescent="0.2">
      <c r="A327" s="15"/>
      <c r="B327" s="15"/>
      <c r="C327" s="15"/>
      <c r="D327" s="15"/>
      <c r="E327" s="16"/>
      <c r="F327" s="15"/>
      <c r="G327" s="15"/>
      <c r="H327" s="15"/>
      <c r="I327" s="15"/>
    </row>
    <row r="328" spans="1:9" x14ac:dyDescent="0.2">
      <c r="A328" s="15"/>
      <c r="B328" s="15"/>
      <c r="C328" s="15"/>
      <c r="D328" s="15"/>
      <c r="E328" s="16"/>
      <c r="F328" s="15"/>
      <c r="G328" s="15"/>
      <c r="H328" s="15"/>
      <c r="I328" s="15"/>
    </row>
    <row r="329" spans="1:9" x14ac:dyDescent="0.2">
      <c r="A329" s="15"/>
      <c r="B329" s="15"/>
      <c r="C329" s="15"/>
      <c r="D329" s="15"/>
      <c r="E329" s="16"/>
      <c r="F329" s="15"/>
      <c r="G329" s="15"/>
      <c r="H329" s="15"/>
      <c r="I329" s="15"/>
    </row>
    <row r="330" spans="1:9" x14ac:dyDescent="0.2">
      <c r="A330" s="15"/>
      <c r="B330" s="15"/>
      <c r="C330" s="15"/>
      <c r="D330" s="15"/>
      <c r="E330" s="16"/>
      <c r="F330" s="15"/>
      <c r="G330" s="15"/>
      <c r="H330" s="15"/>
      <c r="I330" s="15"/>
    </row>
    <row r="331" spans="1:9" x14ac:dyDescent="0.2">
      <c r="A331" s="15"/>
      <c r="B331" s="15"/>
      <c r="C331" s="15"/>
      <c r="D331" s="15"/>
      <c r="E331" s="16"/>
      <c r="F331" s="15"/>
      <c r="G331" s="15"/>
      <c r="H331" s="15"/>
      <c r="I331" s="15"/>
    </row>
    <row r="332" spans="1:9" x14ac:dyDescent="0.2">
      <c r="A332" s="15"/>
      <c r="B332" s="15"/>
      <c r="C332" s="15"/>
      <c r="D332" s="15"/>
      <c r="E332" s="16"/>
      <c r="F332" s="15"/>
      <c r="G332" s="15"/>
      <c r="H332" s="15"/>
      <c r="I332" s="15"/>
    </row>
    <row r="333" spans="1:9" x14ac:dyDescent="0.2">
      <c r="A333" s="15"/>
      <c r="B333" s="15"/>
      <c r="C333" s="15"/>
      <c r="D333" s="15"/>
      <c r="E333" s="16"/>
      <c r="F333" s="15"/>
      <c r="G333" s="15"/>
      <c r="H333" s="15"/>
      <c r="I333" s="15"/>
    </row>
    <row r="334" spans="1:9" x14ac:dyDescent="0.2">
      <c r="A334" s="15"/>
      <c r="B334" s="15"/>
      <c r="C334" s="15"/>
      <c r="D334" s="15"/>
      <c r="E334" s="16"/>
      <c r="F334" s="15"/>
      <c r="G334" s="15"/>
      <c r="H334" s="15"/>
      <c r="I334" s="15"/>
    </row>
    <row r="335" spans="1:9" x14ac:dyDescent="0.2">
      <c r="A335" s="15"/>
      <c r="B335" s="15"/>
      <c r="C335" s="15"/>
      <c r="D335" s="15"/>
      <c r="E335" s="16"/>
      <c r="F335" s="15"/>
      <c r="G335" s="15"/>
      <c r="H335" s="15"/>
      <c r="I335" s="15"/>
    </row>
    <row r="336" spans="1:9" x14ac:dyDescent="0.2">
      <c r="A336" s="15"/>
      <c r="B336" s="15"/>
      <c r="C336" s="15"/>
      <c r="D336" s="15"/>
      <c r="E336" s="16"/>
      <c r="F336" s="15"/>
      <c r="G336" s="15"/>
      <c r="H336" s="15"/>
      <c r="I336" s="15"/>
    </row>
    <row r="337" spans="1:9" x14ac:dyDescent="0.2">
      <c r="A337" s="15"/>
      <c r="B337" s="15"/>
      <c r="C337" s="15"/>
      <c r="D337" s="15"/>
      <c r="E337" s="16"/>
      <c r="F337" s="15"/>
      <c r="G337" s="15"/>
      <c r="H337" s="15"/>
      <c r="I337" s="15"/>
    </row>
    <row r="338" spans="1:9" x14ac:dyDescent="0.2">
      <c r="A338" s="15"/>
      <c r="B338" s="15"/>
      <c r="C338" s="15"/>
      <c r="D338" s="15"/>
      <c r="E338" s="16"/>
      <c r="F338" s="15"/>
      <c r="G338" s="15"/>
      <c r="H338" s="15"/>
      <c r="I338" s="15"/>
    </row>
    <row r="339" spans="1:9" x14ac:dyDescent="0.2">
      <c r="A339" s="15"/>
      <c r="B339" s="15"/>
      <c r="C339" s="15"/>
      <c r="D339" s="15"/>
      <c r="E339" s="16"/>
      <c r="F339" s="15"/>
      <c r="G339" s="15"/>
      <c r="H339" s="15"/>
      <c r="I339" s="15"/>
    </row>
    <row r="340" spans="1:9" x14ac:dyDescent="0.2">
      <c r="A340" s="15"/>
      <c r="B340" s="15"/>
      <c r="C340" s="15"/>
      <c r="D340" s="15"/>
      <c r="E340" s="16"/>
      <c r="F340" s="15"/>
      <c r="G340" s="15"/>
      <c r="H340" s="15"/>
      <c r="I340" s="15"/>
    </row>
    <row r="341" spans="1:9" x14ac:dyDescent="0.2">
      <c r="A341" s="15"/>
      <c r="B341" s="15"/>
      <c r="C341" s="15"/>
      <c r="D341" s="15"/>
      <c r="E341" s="16"/>
      <c r="F341" s="15"/>
      <c r="G341" s="15"/>
      <c r="H341" s="15"/>
      <c r="I341" s="15"/>
    </row>
    <row r="342" spans="1:9" x14ac:dyDescent="0.2">
      <c r="A342" s="15"/>
      <c r="B342" s="15"/>
      <c r="C342" s="15"/>
      <c r="D342" s="15"/>
      <c r="E342" s="16"/>
      <c r="F342" s="15"/>
      <c r="G342" s="15"/>
      <c r="H342" s="15"/>
      <c r="I342" s="15"/>
    </row>
    <row r="343" spans="1:9" x14ac:dyDescent="0.2">
      <c r="A343" s="15"/>
      <c r="B343" s="15"/>
      <c r="C343" s="15"/>
      <c r="D343" s="15"/>
      <c r="E343" s="16"/>
      <c r="F343" s="15"/>
      <c r="G343" s="15"/>
      <c r="H343" s="15"/>
      <c r="I343" s="15"/>
    </row>
    <row r="344" spans="1:9" x14ac:dyDescent="0.2">
      <c r="A344" s="15"/>
      <c r="B344" s="15"/>
      <c r="C344" s="15"/>
      <c r="D344" s="15"/>
      <c r="E344" s="16"/>
      <c r="F344" s="15"/>
      <c r="G344" s="15"/>
      <c r="H344" s="15"/>
      <c r="I344" s="15"/>
    </row>
    <row r="345" spans="1:9" x14ac:dyDescent="0.2">
      <c r="A345" s="15"/>
      <c r="B345" s="15"/>
      <c r="C345" s="15"/>
      <c r="D345" s="15"/>
      <c r="E345" s="16"/>
      <c r="F345" s="15"/>
      <c r="G345" s="15"/>
      <c r="H345" s="15"/>
      <c r="I345" s="15"/>
    </row>
    <row r="346" spans="1:9" x14ac:dyDescent="0.2">
      <c r="A346" s="15"/>
      <c r="B346" s="15"/>
      <c r="C346" s="15"/>
      <c r="D346" s="15"/>
      <c r="E346" s="16"/>
      <c r="F346" s="15"/>
      <c r="G346" s="15"/>
      <c r="H346" s="15"/>
      <c r="I346" s="15"/>
    </row>
    <row r="347" spans="1:9" x14ac:dyDescent="0.2">
      <c r="A347" s="15"/>
      <c r="B347" s="15"/>
      <c r="C347" s="15"/>
      <c r="D347" s="15"/>
      <c r="E347" s="16"/>
      <c r="F347" s="15"/>
      <c r="G347" s="15"/>
      <c r="H347" s="15"/>
      <c r="I347" s="15"/>
    </row>
    <row r="348" spans="1:9" x14ac:dyDescent="0.2">
      <c r="A348" s="15"/>
      <c r="B348" s="15"/>
      <c r="C348" s="15"/>
      <c r="D348" s="15"/>
      <c r="E348" s="16"/>
      <c r="F348" s="15"/>
      <c r="G348" s="15"/>
      <c r="H348" s="15"/>
      <c r="I348" s="15"/>
    </row>
    <row r="349" spans="1:9" x14ac:dyDescent="0.2">
      <c r="A349" s="15"/>
      <c r="B349" s="15"/>
      <c r="C349" s="15"/>
      <c r="D349" s="15"/>
      <c r="E349" s="16"/>
      <c r="F349" s="15"/>
      <c r="G349" s="15"/>
      <c r="H349" s="15"/>
      <c r="I349" s="15"/>
    </row>
    <row r="350" spans="1:9" x14ac:dyDescent="0.2">
      <c r="A350" s="15"/>
      <c r="B350" s="15"/>
      <c r="C350" s="15"/>
      <c r="D350" s="15"/>
      <c r="E350" s="16"/>
      <c r="F350" s="15"/>
      <c r="G350" s="15"/>
      <c r="H350" s="15"/>
      <c r="I350" s="15"/>
    </row>
    <row r="351" spans="1:9" x14ac:dyDescent="0.2">
      <c r="A351" s="15"/>
      <c r="B351" s="15"/>
      <c r="C351" s="15"/>
      <c r="D351" s="15"/>
      <c r="E351" s="16"/>
      <c r="F351" s="15"/>
      <c r="G351" s="15"/>
      <c r="H351" s="15"/>
      <c r="I351" s="15"/>
    </row>
    <row r="352" spans="1:9" x14ac:dyDescent="0.2">
      <c r="A352" s="15"/>
      <c r="B352" s="15"/>
      <c r="C352" s="15"/>
      <c r="D352" s="15"/>
      <c r="E352" s="16"/>
      <c r="F352" s="15"/>
      <c r="G352" s="15"/>
      <c r="H352" s="15"/>
      <c r="I352" s="15"/>
    </row>
    <row r="353" spans="1:9" x14ac:dyDescent="0.2">
      <c r="A353" s="15"/>
      <c r="B353" s="15"/>
      <c r="C353" s="15"/>
      <c r="D353" s="15"/>
      <c r="E353" s="16"/>
      <c r="F353" s="15"/>
      <c r="G353" s="15"/>
      <c r="H353" s="15"/>
      <c r="I353" s="15"/>
    </row>
    <row r="354" spans="1:9" x14ac:dyDescent="0.2">
      <c r="A354" s="15"/>
      <c r="B354" s="15"/>
      <c r="C354" s="15"/>
      <c r="D354" s="15"/>
      <c r="E354" s="16"/>
      <c r="F354" s="15"/>
      <c r="G354" s="15"/>
      <c r="H354" s="15"/>
      <c r="I354" s="15"/>
    </row>
    <row r="355" spans="1:9" x14ac:dyDescent="0.2">
      <c r="A355" s="15"/>
      <c r="B355" s="15"/>
      <c r="C355" s="15"/>
      <c r="D355" s="15"/>
      <c r="E355" s="16"/>
      <c r="F355" s="15"/>
      <c r="G355" s="15"/>
      <c r="H355" s="15"/>
      <c r="I355" s="15"/>
    </row>
    <row r="356" spans="1:9" x14ac:dyDescent="0.2">
      <c r="A356" s="15"/>
      <c r="B356" s="15"/>
      <c r="C356" s="15"/>
      <c r="D356" s="15"/>
      <c r="E356" s="16"/>
      <c r="F356" s="15"/>
      <c r="G356" s="15"/>
      <c r="H356" s="15"/>
      <c r="I356" s="15"/>
    </row>
    <row r="357" spans="1:9" x14ac:dyDescent="0.2">
      <c r="A357" s="15"/>
      <c r="B357" s="15"/>
      <c r="C357" s="15"/>
      <c r="D357" s="15"/>
      <c r="E357" s="16"/>
      <c r="F357" s="15"/>
      <c r="G357" s="15"/>
      <c r="H357" s="15"/>
      <c r="I357" s="15"/>
    </row>
    <row r="358" spans="1:9" x14ac:dyDescent="0.2">
      <c r="A358" s="15"/>
      <c r="B358" s="15"/>
      <c r="C358" s="15"/>
      <c r="D358" s="15"/>
      <c r="E358" s="16"/>
      <c r="F358" s="15"/>
      <c r="G358" s="15"/>
      <c r="H358" s="15"/>
      <c r="I358" s="15"/>
    </row>
    <row r="359" spans="1:9" x14ac:dyDescent="0.2">
      <c r="A359" s="15"/>
      <c r="B359" s="15"/>
      <c r="C359" s="15"/>
      <c r="D359" s="15"/>
      <c r="E359" s="16"/>
      <c r="F359" s="15"/>
      <c r="G359" s="15"/>
      <c r="H359" s="15"/>
      <c r="I359" s="15"/>
    </row>
    <row r="360" spans="1:9" x14ac:dyDescent="0.2">
      <c r="A360" s="15"/>
      <c r="B360" s="15"/>
      <c r="C360" s="15"/>
      <c r="D360" s="15"/>
      <c r="E360" s="16"/>
      <c r="F360" s="15"/>
      <c r="G360" s="15"/>
      <c r="H360" s="15"/>
      <c r="I360" s="15"/>
    </row>
    <row r="361" spans="1:9" x14ac:dyDescent="0.2">
      <c r="A361" s="15"/>
      <c r="B361" s="15"/>
      <c r="C361" s="15"/>
      <c r="D361" s="15"/>
      <c r="E361" s="16"/>
      <c r="F361" s="15"/>
      <c r="G361" s="15"/>
      <c r="H361" s="15"/>
      <c r="I361" s="15"/>
    </row>
    <row r="362" spans="1:9" x14ac:dyDescent="0.2">
      <c r="A362" s="15"/>
      <c r="B362" s="15"/>
      <c r="C362" s="15"/>
      <c r="D362" s="15"/>
      <c r="E362" s="16"/>
      <c r="F362" s="15"/>
      <c r="G362" s="15"/>
      <c r="H362" s="15"/>
      <c r="I362" s="15"/>
    </row>
    <row r="363" spans="1:9" x14ac:dyDescent="0.2">
      <c r="A363" s="15"/>
      <c r="B363" s="15"/>
      <c r="C363" s="15"/>
      <c r="D363" s="15"/>
      <c r="E363" s="16"/>
      <c r="F363" s="15"/>
      <c r="G363" s="15"/>
      <c r="H363" s="15"/>
      <c r="I363" s="15"/>
    </row>
    <row r="364" spans="1:9" x14ac:dyDescent="0.2">
      <c r="A364" s="15"/>
      <c r="B364" s="15"/>
      <c r="C364" s="15"/>
      <c r="D364" s="15"/>
      <c r="E364" s="16"/>
      <c r="F364" s="15"/>
      <c r="G364" s="15"/>
      <c r="H364" s="15"/>
      <c r="I364" s="15"/>
    </row>
    <row r="365" spans="1:9" x14ac:dyDescent="0.2">
      <c r="A365" s="15"/>
      <c r="B365" s="15"/>
      <c r="C365" s="15"/>
      <c r="D365" s="15"/>
      <c r="E365" s="16"/>
      <c r="F365" s="15"/>
      <c r="G365" s="15"/>
      <c r="H365" s="15"/>
      <c r="I365" s="15"/>
    </row>
    <row r="366" spans="1:9" x14ac:dyDescent="0.2">
      <c r="A366" s="15"/>
      <c r="B366" s="15"/>
      <c r="C366" s="15"/>
      <c r="D366" s="15"/>
      <c r="E366" s="16"/>
      <c r="F366" s="15"/>
      <c r="G366" s="15"/>
      <c r="H366" s="15"/>
      <c r="I366" s="15"/>
    </row>
    <row r="367" spans="1:9" x14ac:dyDescent="0.2">
      <c r="A367" s="15"/>
      <c r="B367" s="15"/>
      <c r="C367" s="15"/>
      <c r="D367" s="15"/>
      <c r="E367" s="16"/>
      <c r="F367" s="15"/>
      <c r="G367" s="15"/>
      <c r="H367" s="15"/>
      <c r="I367" s="15"/>
    </row>
    <row r="368" spans="1:9" x14ac:dyDescent="0.2">
      <c r="A368" s="15"/>
      <c r="B368" s="15"/>
      <c r="C368" s="15"/>
      <c r="D368" s="15"/>
      <c r="E368" s="16"/>
      <c r="F368" s="15"/>
      <c r="G368" s="15"/>
      <c r="H368" s="15"/>
      <c r="I368" s="15"/>
    </row>
    <row r="369" spans="1:9" x14ac:dyDescent="0.2">
      <c r="A369" s="15"/>
      <c r="B369" s="15"/>
      <c r="C369" s="15"/>
      <c r="D369" s="15"/>
      <c r="E369" s="16"/>
      <c r="F369" s="15"/>
      <c r="G369" s="15"/>
      <c r="H369" s="15"/>
      <c r="I369" s="15"/>
    </row>
    <row r="370" spans="1:9" x14ac:dyDescent="0.2">
      <c r="A370" s="15"/>
      <c r="B370" s="15"/>
      <c r="C370" s="15"/>
      <c r="D370" s="15"/>
      <c r="E370" s="16"/>
      <c r="F370" s="15"/>
      <c r="G370" s="15"/>
      <c r="H370" s="15"/>
      <c r="I370" s="15"/>
    </row>
    <row r="371" spans="1:9" x14ac:dyDescent="0.2">
      <c r="A371" s="15"/>
      <c r="B371" s="15"/>
      <c r="C371" s="15"/>
      <c r="D371" s="15"/>
      <c r="E371" s="16"/>
      <c r="F371" s="15"/>
      <c r="G371" s="15"/>
      <c r="H371" s="15"/>
      <c r="I371" s="15"/>
    </row>
    <row r="372" spans="1:9" x14ac:dyDescent="0.2">
      <c r="A372" s="15"/>
      <c r="B372" s="15"/>
      <c r="C372" s="15"/>
      <c r="D372" s="15"/>
      <c r="E372" s="16"/>
      <c r="F372" s="15"/>
      <c r="G372" s="15"/>
      <c r="H372" s="15"/>
      <c r="I372" s="15"/>
    </row>
    <row r="373" spans="1:9" x14ac:dyDescent="0.2">
      <c r="A373" s="15"/>
      <c r="B373" s="15"/>
      <c r="C373" s="15"/>
      <c r="D373" s="15"/>
      <c r="E373" s="16"/>
      <c r="F373" s="15"/>
      <c r="G373" s="15"/>
      <c r="H373" s="15"/>
      <c r="I373" s="15"/>
    </row>
    <row r="374" spans="1:9" x14ac:dyDescent="0.2">
      <c r="A374" s="15"/>
      <c r="B374" s="15"/>
      <c r="C374" s="15"/>
      <c r="D374" s="15"/>
      <c r="E374" s="16"/>
      <c r="F374" s="15"/>
      <c r="G374" s="15"/>
      <c r="H374" s="15"/>
      <c r="I374" s="15"/>
    </row>
    <row r="375" spans="1:9" x14ac:dyDescent="0.2">
      <c r="A375" s="15"/>
      <c r="B375" s="15"/>
      <c r="C375" s="15"/>
      <c r="D375" s="15"/>
      <c r="E375" s="16"/>
      <c r="F375" s="15"/>
      <c r="G375" s="15"/>
      <c r="H375" s="15"/>
      <c r="I375" s="15"/>
    </row>
    <row r="376" spans="1:9" x14ac:dyDescent="0.2">
      <c r="A376" s="15"/>
      <c r="B376" s="15"/>
      <c r="C376" s="15"/>
      <c r="D376" s="15"/>
      <c r="E376" s="16"/>
      <c r="F376" s="15"/>
      <c r="G376" s="15"/>
      <c r="H376" s="15"/>
      <c r="I376" s="15"/>
    </row>
    <row r="377" spans="1:9" x14ac:dyDescent="0.2">
      <c r="A377" s="15"/>
      <c r="B377" s="15"/>
      <c r="C377" s="15"/>
      <c r="D377" s="15"/>
      <c r="E377" s="16"/>
      <c r="F377" s="15"/>
      <c r="G377" s="15"/>
      <c r="H377" s="15"/>
      <c r="I377" s="15"/>
    </row>
    <row r="378" spans="1:9" x14ac:dyDescent="0.2">
      <c r="A378" s="15"/>
      <c r="B378" s="15"/>
      <c r="C378" s="15"/>
      <c r="D378" s="15"/>
      <c r="E378" s="16"/>
      <c r="F378" s="15"/>
      <c r="G378" s="15"/>
      <c r="H378" s="15"/>
      <c r="I378" s="15"/>
    </row>
    <row r="379" spans="1:9" x14ac:dyDescent="0.2">
      <c r="A379" s="15"/>
      <c r="B379" s="15"/>
      <c r="C379" s="15"/>
      <c r="D379" s="15"/>
      <c r="E379" s="16"/>
      <c r="F379" s="15"/>
      <c r="G379" s="15"/>
      <c r="H379" s="15"/>
      <c r="I379" s="15"/>
    </row>
    <row r="380" spans="1:9" x14ac:dyDescent="0.2">
      <c r="A380" s="15"/>
      <c r="B380" s="15"/>
      <c r="C380" s="15"/>
      <c r="D380" s="15"/>
      <c r="E380" s="16"/>
      <c r="F380" s="15"/>
      <c r="G380" s="15"/>
      <c r="H380" s="15"/>
      <c r="I380" s="15"/>
    </row>
    <row r="381" spans="1:9" x14ac:dyDescent="0.2">
      <c r="A381" s="15"/>
      <c r="B381" s="15"/>
      <c r="C381" s="15"/>
      <c r="D381" s="15"/>
      <c r="E381" s="16"/>
      <c r="F381" s="15"/>
      <c r="G381" s="15"/>
      <c r="H381" s="15"/>
      <c r="I381" s="15"/>
    </row>
    <row r="382" spans="1:9" x14ac:dyDescent="0.2">
      <c r="A382" s="15"/>
      <c r="B382" s="15"/>
      <c r="C382" s="15"/>
      <c r="D382" s="15"/>
      <c r="E382" s="16"/>
      <c r="F382" s="15"/>
      <c r="G382" s="15"/>
      <c r="H382" s="15"/>
      <c r="I382" s="15"/>
    </row>
    <row r="383" spans="1:9" x14ac:dyDescent="0.2">
      <c r="A383" s="15"/>
      <c r="B383" s="15"/>
      <c r="C383" s="15"/>
      <c r="D383" s="15"/>
      <c r="E383" s="16"/>
      <c r="F383" s="15"/>
      <c r="G383" s="15"/>
      <c r="H383" s="15"/>
      <c r="I383" s="15"/>
    </row>
    <row r="384" spans="1:9" x14ac:dyDescent="0.2">
      <c r="A384" s="15"/>
      <c r="B384" s="15"/>
      <c r="C384" s="15"/>
      <c r="D384" s="15"/>
      <c r="E384" s="16"/>
      <c r="F384" s="15"/>
      <c r="G384" s="15"/>
      <c r="H384" s="15"/>
      <c r="I384" s="15"/>
    </row>
    <row r="385" spans="1:9" x14ac:dyDescent="0.2">
      <c r="A385" s="15"/>
      <c r="B385" s="15"/>
      <c r="C385" s="15"/>
      <c r="D385" s="15"/>
      <c r="E385" s="16"/>
      <c r="F385" s="15"/>
      <c r="G385" s="15"/>
      <c r="H385" s="15"/>
      <c r="I385" s="15"/>
    </row>
    <row r="386" spans="1:9" x14ac:dyDescent="0.2">
      <c r="A386" s="15"/>
      <c r="B386" s="15"/>
      <c r="C386" s="15"/>
      <c r="D386" s="15"/>
      <c r="E386" s="16"/>
      <c r="F386" s="15"/>
      <c r="G386" s="15"/>
      <c r="H386" s="15"/>
      <c r="I386" s="15"/>
    </row>
    <row r="387" spans="1:9" x14ac:dyDescent="0.2">
      <c r="A387" s="15"/>
      <c r="B387" s="15"/>
      <c r="C387" s="15"/>
      <c r="D387" s="15"/>
      <c r="E387" s="16"/>
      <c r="F387" s="15"/>
      <c r="G387" s="15"/>
      <c r="H387" s="15"/>
      <c r="I387" s="15"/>
    </row>
    <row r="388" spans="1:9" x14ac:dyDescent="0.2">
      <c r="A388" s="15"/>
      <c r="B388" s="15"/>
      <c r="C388" s="15"/>
      <c r="D388" s="15"/>
      <c r="E388" s="16"/>
      <c r="F388" s="15"/>
      <c r="G388" s="15"/>
      <c r="H388" s="15"/>
      <c r="I388" s="15"/>
    </row>
    <row r="389" spans="1:9" x14ac:dyDescent="0.2">
      <c r="A389" s="15"/>
      <c r="B389" s="15"/>
      <c r="C389" s="15"/>
      <c r="D389" s="15"/>
      <c r="E389" s="16"/>
      <c r="F389" s="15"/>
      <c r="G389" s="15"/>
      <c r="H389" s="15"/>
      <c r="I389" s="15"/>
    </row>
    <row r="390" spans="1:9" x14ac:dyDescent="0.2">
      <c r="A390" s="15"/>
      <c r="B390" s="15"/>
      <c r="C390" s="15"/>
      <c r="D390" s="15"/>
      <c r="E390" s="16"/>
      <c r="F390" s="15"/>
      <c r="G390" s="15"/>
      <c r="H390" s="15"/>
      <c r="I390" s="15"/>
    </row>
    <row r="391" spans="1:9" x14ac:dyDescent="0.2">
      <c r="A391" s="15"/>
      <c r="B391" s="15"/>
      <c r="C391" s="15"/>
      <c r="D391" s="15"/>
      <c r="E391" s="16"/>
      <c r="F391" s="15"/>
      <c r="G391" s="15"/>
      <c r="H391" s="15"/>
      <c r="I391" s="15"/>
    </row>
    <row r="392" spans="1:9" x14ac:dyDescent="0.2">
      <c r="A392" s="15"/>
      <c r="B392" s="15"/>
      <c r="C392" s="15"/>
      <c r="D392" s="15"/>
      <c r="E392" s="16"/>
      <c r="F392" s="15"/>
      <c r="G392" s="15"/>
      <c r="H392" s="15"/>
      <c r="I392" s="15"/>
    </row>
    <row r="393" spans="1:9" x14ac:dyDescent="0.2">
      <c r="A393" s="15"/>
      <c r="B393" s="15"/>
      <c r="C393" s="15"/>
      <c r="D393" s="15"/>
      <c r="E393" s="16"/>
      <c r="F393" s="15"/>
      <c r="G393" s="15"/>
      <c r="H393" s="15"/>
      <c r="I393" s="15"/>
    </row>
    <row r="394" spans="1:9" x14ac:dyDescent="0.2">
      <c r="A394" s="15"/>
      <c r="B394" s="15"/>
      <c r="C394" s="15"/>
      <c r="D394" s="15"/>
      <c r="E394" s="16"/>
      <c r="F394" s="15"/>
      <c r="G394" s="15"/>
      <c r="H394" s="15"/>
      <c r="I394" s="15"/>
    </row>
    <row r="395" spans="1:9" x14ac:dyDescent="0.2">
      <c r="A395" s="15"/>
      <c r="B395" s="15"/>
      <c r="C395" s="15"/>
      <c r="D395" s="15"/>
      <c r="E395" s="16"/>
      <c r="F395" s="15"/>
      <c r="G395" s="15"/>
      <c r="H395" s="15"/>
      <c r="I395" s="15"/>
    </row>
    <row r="396" spans="1:9" x14ac:dyDescent="0.2">
      <c r="A396" s="15"/>
      <c r="B396" s="15"/>
      <c r="C396" s="15"/>
      <c r="D396" s="15"/>
      <c r="E396" s="16"/>
      <c r="F396" s="15"/>
      <c r="G396" s="15"/>
      <c r="H396" s="15"/>
      <c r="I396" s="15"/>
    </row>
    <row r="397" spans="1:9" x14ac:dyDescent="0.2">
      <c r="A397" s="15"/>
      <c r="B397" s="15"/>
      <c r="C397" s="15"/>
      <c r="D397" s="15"/>
      <c r="E397" s="16"/>
      <c r="F397" s="15"/>
      <c r="G397" s="15"/>
      <c r="H397" s="15"/>
      <c r="I397" s="15"/>
    </row>
    <row r="398" spans="1:9" x14ac:dyDescent="0.2">
      <c r="A398" s="15"/>
      <c r="B398" s="15"/>
      <c r="C398" s="15"/>
      <c r="D398" s="15"/>
      <c r="E398" s="16"/>
      <c r="F398" s="15"/>
      <c r="G398" s="15"/>
      <c r="H398" s="15"/>
      <c r="I398" s="15"/>
    </row>
    <row r="399" spans="1:9" x14ac:dyDescent="0.2">
      <c r="A399" s="15"/>
      <c r="B399" s="15"/>
      <c r="C399" s="15"/>
      <c r="D399" s="15"/>
      <c r="E399" s="16"/>
      <c r="F399" s="15"/>
      <c r="G399" s="15"/>
      <c r="H399" s="15"/>
      <c r="I399" s="15"/>
    </row>
    <row r="400" spans="1:9" x14ac:dyDescent="0.2">
      <c r="A400" s="15"/>
      <c r="B400" s="15"/>
      <c r="C400" s="15"/>
      <c r="D400" s="15"/>
      <c r="E400" s="16"/>
      <c r="F400" s="15"/>
      <c r="G400" s="15"/>
      <c r="H400" s="15"/>
      <c r="I400" s="15"/>
    </row>
    <row r="401" spans="1:9" x14ac:dyDescent="0.2">
      <c r="A401" s="15"/>
      <c r="B401" s="15"/>
      <c r="C401" s="15"/>
      <c r="D401" s="15"/>
      <c r="E401" s="16"/>
      <c r="F401" s="15"/>
      <c r="G401" s="15"/>
      <c r="H401" s="15"/>
      <c r="I401" s="15"/>
    </row>
    <row r="402" spans="1:9" x14ac:dyDescent="0.2">
      <c r="A402" s="15"/>
      <c r="B402" s="15"/>
      <c r="C402" s="15"/>
      <c r="D402" s="15"/>
      <c r="E402" s="16"/>
      <c r="F402" s="15"/>
      <c r="G402" s="15"/>
      <c r="H402" s="15"/>
      <c r="I402" s="15"/>
    </row>
    <row r="403" spans="1:9" x14ac:dyDescent="0.2">
      <c r="A403" s="15"/>
      <c r="B403" s="15"/>
      <c r="C403" s="15"/>
      <c r="D403" s="15"/>
      <c r="E403" s="16"/>
      <c r="F403" s="15"/>
      <c r="G403" s="15"/>
      <c r="H403" s="15"/>
      <c r="I403" s="15"/>
    </row>
    <row r="404" spans="1:9" x14ac:dyDescent="0.2">
      <c r="A404" s="15"/>
      <c r="B404" s="15"/>
      <c r="C404" s="15"/>
      <c r="D404" s="15"/>
      <c r="E404" s="16"/>
      <c r="F404" s="15"/>
      <c r="G404" s="15"/>
      <c r="H404" s="15"/>
      <c r="I404" s="15"/>
    </row>
    <row r="405" spans="1:9" x14ac:dyDescent="0.2">
      <c r="A405" s="15"/>
      <c r="B405" s="15"/>
      <c r="C405" s="15"/>
      <c r="D405" s="15"/>
      <c r="E405" s="16"/>
      <c r="F405" s="15"/>
      <c r="G405" s="15"/>
      <c r="H405" s="15"/>
      <c r="I405" s="15"/>
    </row>
    <row r="406" spans="1:9" x14ac:dyDescent="0.2">
      <c r="A406" s="15"/>
      <c r="B406" s="15"/>
      <c r="C406" s="15"/>
      <c r="D406" s="15"/>
      <c r="E406" s="16"/>
      <c r="F406" s="15"/>
      <c r="G406" s="15"/>
      <c r="H406" s="15"/>
      <c r="I406" s="15"/>
    </row>
    <row r="407" spans="1:9" x14ac:dyDescent="0.2">
      <c r="A407" s="15"/>
      <c r="B407" s="15"/>
      <c r="C407" s="15"/>
      <c r="D407" s="15"/>
      <c r="E407" s="16"/>
      <c r="F407" s="15"/>
      <c r="G407" s="15"/>
      <c r="H407" s="15"/>
      <c r="I407" s="15"/>
    </row>
    <row r="408" spans="1:9" x14ac:dyDescent="0.2">
      <c r="A408" s="15"/>
      <c r="B408" s="15"/>
      <c r="C408" s="15"/>
      <c r="D408" s="15"/>
      <c r="E408" s="16"/>
      <c r="F408" s="15"/>
      <c r="G408" s="15"/>
      <c r="H408" s="15"/>
      <c r="I408" s="15"/>
    </row>
    <row r="409" spans="1:9" x14ac:dyDescent="0.2">
      <c r="A409" s="15"/>
      <c r="B409" s="15"/>
      <c r="C409" s="15"/>
      <c r="D409" s="15"/>
      <c r="E409" s="16"/>
      <c r="F409" s="15"/>
      <c r="G409" s="15"/>
      <c r="H409" s="15"/>
      <c r="I409" s="15"/>
    </row>
    <row r="410" spans="1:9" x14ac:dyDescent="0.2">
      <c r="A410" s="15"/>
      <c r="B410" s="15"/>
      <c r="C410" s="15"/>
      <c r="D410" s="15"/>
      <c r="E410" s="16"/>
      <c r="F410" s="15"/>
      <c r="G410" s="15"/>
      <c r="H410" s="15"/>
      <c r="I410" s="15"/>
    </row>
    <row r="411" spans="1:9" x14ac:dyDescent="0.2">
      <c r="A411" s="15"/>
      <c r="B411" s="15"/>
      <c r="C411" s="15"/>
      <c r="D411" s="15"/>
      <c r="E411" s="16"/>
      <c r="F411" s="15"/>
      <c r="G411" s="15"/>
      <c r="H411" s="15"/>
      <c r="I411" s="15"/>
    </row>
    <row r="412" spans="1:9" x14ac:dyDescent="0.2">
      <c r="A412" s="15"/>
      <c r="B412" s="15"/>
      <c r="C412" s="15"/>
      <c r="D412" s="15"/>
      <c r="E412" s="16"/>
      <c r="F412" s="15"/>
      <c r="G412" s="15"/>
      <c r="H412" s="15"/>
      <c r="I412" s="15"/>
    </row>
    <row r="413" spans="1:9" x14ac:dyDescent="0.2">
      <c r="A413" s="15"/>
      <c r="B413" s="15"/>
      <c r="C413" s="15"/>
      <c r="D413" s="15"/>
      <c r="E413" s="16"/>
      <c r="F413" s="15"/>
      <c r="G413" s="15"/>
      <c r="H413" s="15"/>
      <c r="I413" s="15"/>
    </row>
    <row r="414" spans="1:9" x14ac:dyDescent="0.2">
      <c r="A414" s="15"/>
      <c r="B414" s="15"/>
      <c r="C414" s="15"/>
      <c r="D414" s="15"/>
      <c r="E414" s="16"/>
      <c r="F414" s="15"/>
      <c r="G414" s="15"/>
      <c r="H414" s="15"/>
      <c r="I414" s="15"/>
    </row>
    <row r="415" spans="1:9" x14ac:dyDescent="0.2">
      <c r="A415" s="15"/>
      <c r="B415" s="15"/>
      <c r="C415" s="15"/>
      <c r="D415" s="15"/>
      <c r="E415" s="16"/>
      <c r="F415" s="15"/>
      <c r="G415" s="15"/>
      <c r="H415" s="15"/>
      <c r="I415" s="15"/>
    </row>
    <row r="416" spans="1:9" x14ac:dyDescent="0.2">
      <c r="A416" s="15"/>
      <c r="B416" s="15"/>
      <c r="C416" s="15"/>
      <c r="D416" s="15"/>
      <c r="E416" s="16"/>
      <c r="F416" s="15"/>
      <c r="G416" s="15"/>
      <c r="H416" s="15"/>
      <c r="I416" s="15"/>
    </row>
    <row r="417" spans="1:9" x14ac:dyDescent="0.2">
      <c r="A417" s="15"/>
      <c r="B417" s="15"/>
      <c r="C417" s="15"/>
      <c r="D417" s="15"/>
      <c r="E417" s="16"/>
      <c r="F417" s="15"/>
      <c r="G417" s="15"/>
      <c r="H417" s="15"/>
      <c r="I417" s="15"/>
    </row>
    <row r="418" spans="1:9" x14ac:dyDescent="0.2">
      <c r="A418" s="15"/>
      <c r="B418" s="15"/>
      <c r="C418" s="15"/>
      <c r="D418" s="15"/>
      <c r="E418" s="16"/>
      <c r="F418" s="15"/>
      <c r="G418" s="15"/>
      <c r="H418" s="15"/>
      <c r="I418" s="15"/>
    </row>
    <row r="419" spans="1:9" x14ac:dyDescent="0.2">
      <c r="A419" s="15"/>
      <c r="B419" s="15"/>
      <c r="C419" s="15"/>
      <c r="D419" s="15"/>
      <c r="E419" s="16"/>
      <c r="F419" s="15"/>
      <c r="G419" s="15"/>
      <c r="H419" s="15"/>
      <c r="I419" s="15"/>
    </row>
    <row r="420" spans="1:9" x14ac:dyDescent="0.2">
      <c r="A420" s="15"/>
      <c r="B420" s="15"/>
      <c r="C420" s="15"/>
      <c r="D420" s="15"/>
      <c r="E420" s="16"/>
      <c r="F420" s="15"/>
      <c r="G420" s="15"/>
      <c r="H420" s="15"/>
      <c r="I420" s="15"/>
    </row>
    <row r="421" spans="1:9" x14ac:dyDescent="0.2">
      <c r="A421" s="15"/>
      <c r="B421" s="15"/>
      <c r="C421" s="15"/>
      <c r="D421" s="15"/>
      <c r="E421" s="16"/>
      <c r="F421" s="15"/>
      <c r="G421" s="15"/>
      <c r="H421" s="15"/>
      <c r="I421" s="15"/>
    </row>
    <row r="422" spans="1:9" x14ac:dyDescent="0.2">
      <c r="A422" s="15"/>
      <c r="B422" s="15"/>
      <c r="C422" s="15"/>
      <c r="D422" s="15"/>
      <c r="E422" s="16"/>
      <c r="F422" s="15"/>
      <c r="G422" s="15"/>
      <c r="H422" s="15"/>
      <c r="I422" s="15"/>
    </row>
    <row r="423" spans="1:9" x14ac:dyDescent="0.2">
      <c r="A423" s="15"/>
      <c r="B423" s="15"/>
      <c r="C423" s="15"/>
      <c r="D423" s="15"/>
      <c r="E423" s="16"/>
      <c r="F423" s="15"/>
      <c r="G423" s="15"/>
      <c r="H423" s="15"/>
      <c r="I423" s="15"/>
    </row>
    <row r="424" spans="1:9" x14ac:dyDescent="0.2">
      <c r="A424" s="15"/>
      <c r="B424" s="15"/>
      <c r="C424" s="15"/>
      <c r="D424" s="15"/>
      <c r="E424" s="16"/>
      <c r="F424" s="15"/>
      <c r="G424" s="15"/>
      <c r="H424" s="15"/>
      <c r="I424" s="15"/>
    </row>
    <row r="425" spans="1:9" x14ac:dyDescent="0.2">
      <c r="A425" s="15"/>
      <c r="B425" s="15"/>
      <c r="C425" s="15"/>
      <c r="D425" s="15"/>
      <c r="E425" s="16"/>
      <c r="F425" s="15"/>
      <c r="G425" s="15"/>
      <c r="H425" s="15"/>
      <c r="I425" s="15"/>
    </row>
    <row r="426" spans="1:9" x14ac:dyDescent="0.2">
      <c r="A426" s="15"/>
      <c r="B426" s="15"/>
      <c r="C426" s="15"/>
      <c r="D426" s="15"/>
      <c r="E426" s="16"/>
      <c r="F426" s="15"/>
      <c r="G426" s="15"/>
      <c r="H426" s="15"/>
      <c r="I426" s="15"/>
    </row>
    <row r="427" spans="1:9" x14ac:dyDescent="0.2">
      <c r="A427" s="15"/>
      <c r="B427" s="15"/>
      <c r="C427" s="15"/>
      <c r="D427" s="15"/>
      <c r="E427" s="16"/>
      <c r="F427" s="15"/>
      <c r="G427" s="15"/>
      <c r="H427" s="15"/>
      <c r="I427" s="15"/>
    </row>
    <row r="428" spans="1:9" x14ac:dyDescent="0.2">
      <c r="A428" s="15"/>
      <c r="B428" s="15"/>
      <c r="C428" s="15"/>
      <c r="D428" s="15"/>
      <c r="E428" s="16"/>
      <c r="F428" s="15"/>
      <c r="G428" s="15"/>
      <c r="H428" s="15"/>
      <c r="I428" s="15"/>
    </row>
    <row r="429" spans="1:9" x14ac:dyDescent="0.2">
      <c r="A429" s="15"/>
      <c r="B429" s="15"/>
      <c r="C429" s="15"/>
      <c r="D429" s="15"/>
      <c r="E429" s="16"/>
      <c r="F429" s="15"/>
      <c r="G429" s="15"/>
      <c r="H429" s="15"/>
      <c r="I429" s="15"/>
    </row>
    <row r="430" spans="1:9" x14ac:dyDescent="0.2">
      <c r="A430" s="15"/>
      <c r="B430" s="15"/>
      <c r="C430" s="15"/>
      <c r="D430" s="15"/>
      <c r="E430" s="16"/>
      <c r="F430" s="15"/>
      <c r="G430" s="15"/>
      <c r="H430" s="15"/>
      <c r="I430" s="15"/>
    </row>
    <row r="431" spans="1:9" x14ac:dyDescent="0.2">
      <c r="A431" s="15"/>
      <c r="B431" s="15"/>
      <c r="C431" s="15"/>
      <c r="D431" s="15"/>
      <c r="E431" s="16"/>
      <c r="F431" s="15"/>
      <c r="G431" s="15"/>
      <c r="H431" s="15"/>
      <c r="I431" s="15"/>
    </row>
    <row r="432" spans="1:9" x14ac:dyDescent="0.2">
      <c r="A432" s="15"/>
      <c r="B432" s="15"/>
      <c r="C432" s="15"/>
      <c r="D432" s="15"/>
      <c r="E432" s="16"/>
      <c r="F432" s="15"/>
      <c r="G432" s="15"/>
      <c r="H432" s="15"/>
      <c r="I432" s="15"/>
    </row>
    <row r="433" spans="1:9" x14ac:dyDescent="0.2">
      <c r="A433" s="15"/>
      <c r="B433" s="15"/>
      <c r="C433" s="15"/>
      <c r="D433" s="15"/>
      <c r="E433" s="16"/>
      <c r="F433" s="15"/>
      <c r="G433" s="15"/>
      <c r="H433" s="15"/>
      <c r="I433" s="15"/>
    </row>
    <row r="434" spans="1:9" x14ac:dyDescent="0.2">
      <c r="A434" s="15"/>
      <c r="B434" s="15"/>
      <c r="C434" s="15"/>
      <c r="D434" s="15"/>
      <c r="E434" s="16"/>
      <c r="F434" s="15"/>
      <c r="G434" s="15"/>
      <c r="H434" s="15"/>
      <c r="I434" s="15"/>
    </row>
    <row r="435" spans="1:9" x14ac:dyDescent="0.2">
      <c r="A435" s="15"/>
      <c r="B435" s="15"/>
      <c r="C435" s="15"/>
      <c r="D435" s="15"/>
      <c r="E435" s="16"/>
      <c r="F435" s="15"/>
      <c r="G435" s="15"/>
      <c r="H435" s="15"/>
      <c r="I435" s="15"/>
    </row>
    <row r="436" spans="1:9" x14ac:dyDescent="0.2">
      <c r="A436" s="15"/>
      <c r="B436" s="15"/>
      <c r="C436" s="15"/>
      <c r="D436" s="15"/>
      <c r="E436" s="16"/>
      <c r="F436" s="15"/>
      <c r="G436" s="15"/>
      <c r="H436" s="15"/>
      <c r="I436" s="15"/>
    </row>
    <row r="437" spans="1:9" x14ac:dyDescent="0.2">
      <c r="A437" s="15"/>
      <c r="B437" s="15"/>
      <c r="C437" s="15"/>
      <c r="D437" s="15"/>
      <c r="E437" s="16"/>
      <c r="F437" s="15"/>
      <c r="G437" s="15"/>
      <c r="H437" s="15"/>
      <c r="I437" s="15"/>
    </row>
    <row r="438" spans="1:9" x14ac:dyDescent="0.2">
      <c r="A438" s="15"/>
      <c r="B438" s="15"/>
      <c r="C438" s="15"/>
      <c r="D438" s="15"/>
      <c r="E438" s="16"/>
      <c r="F438" s="15"/>
      <c r="G438" s="15"/>
      <c r="H438" s="15"/>
      <c r="I438" s="15"/>
    </row>
    <row r="439" spans="1:9" x14ac:dyDescent="0.2">
      <c r="A439" s="15"/>
      <c r="B439" s="15"/>
      <c r="C439" s="15"/>
      <c r="D439" s="15"/>
      <c r="E439" s="16"/>
      <c r="F439" s="15"/>
      <c r="G439" s="15"/>
      <c r="H439" s="15"/>
      <c r="I439" s="15"/>
    </row>
    <row r="440" spans="1:9" x14ac:dyDescent="0.2">
      <c r="A440" s="15"/>
      <c r="B440" s="15"/>
      <c r="C440" s="15"/>
      <c r="D440" s="15"/>
      <c r="E440" s="16"/>
      <c r="F440" s="15"/>
      <c r="G440" s="15"/>
      <c r="H440" s="15"/>
      <c r="I440" s="15"/>
    </row>
    <row r="441" spans="1:9" x14ac:dyDescent="0.2">
      <c r="A441" s="15"/>
      <c r="B441" s="15"/>
      <c r="C441" s="15"/>
      <c r="D441" s="15"/>
      <c r="E441" s="16"/>
      <c r="F441" s="15"/>
      <c r="G441" s="15"/>
      <c r="H441" s="15"/>
      <c r="I441" s="15"/>
    </row>
    <row r="442" spans="1:9" x14ac:dyDescent="0.2">
      <c r="A442" s="15"/>
      <c r="B442" s="15"/>
      <c r="C442" s="15"/>
      <c r="D442" s="15"/>
      <c r="E442" s="16"/>
      <c r="F442" s="15"/>
      <c r="G442" s="15"/>
      <c r="H442" s="15"/>
      <c r="I442" s="15"/>
    </row>
    <row r="443" spans="1:9" x14ac:dyDescent="0.2">
      <c r="A443" s="15"/>
      <c r="B443" s="15"/>
      <c r="C443" s="15"/>
      <c r="D443" s="15"/>
      <c r="E443" s="16"/>
      <c r="F443" s="15"/>
      <c r="G443" s="15"/>
      <c r="H443" s="15"/>
      <c r="I443" s="15"/>
    </row>
    <row r="444" spans="1:9" x14ac:dyDescent="0.2">
      <c r="A444" s="15"/>
      <c r="B444" s="15"/>
      <c r="C444" s="15"/>
      <c r="D444" s="15"/>
      <c r="E444" s="16"/>
      <c r="F444" s="15"/>
      <c r="G444" s="15"/>
      <c r="H444" s="15"/>
      <c r="I444" s="15"/>
    </row>
    <row r="445" spans="1:9" x14ac:dyDescent="0.2">
      <c r="A445" s="15"/>
      <c r="B445" s="15"/>
      <c r="C445" s="15"/>
      <c r="D445" s="15"/>
      <c r="E445" s="16"/>
      <c r="F445" s="15"/>
      <c r="G445" s="15"/>
      <c r="H445" s="15"/>
      <c r="I445" s="15"/>
    </row>
    <row r="446" spans="1:9" x14ac:dyDescent="0.2">
      <c r="A446" s="15"/>
      <c r="B446" s="15"/>
      <c r="C446" s="15"/>
      <c r="D446" s="15"/>
      <c r="E446" s="16"/>
      <c r="F446" s="15"/>
      <c r="G446" s="15"/>
      <c r="H446" s="15"/>
      <c r="I446" s="15"/>
    </row>
    <row r="447" spans="1:9" x14ac:dyDescent="0.2">
      <c r="A447" s="15"/>
      <c r="B447" s="15"/>
      <c r="C447" s="15"/>
      <c r="D447" s="15"/>
      <c r="E447" s="16"/>
      <c r="F447" s="15"/>
      <c r="G447" s="15"/>
      <c r="H447" s="15"/>
      <c r="I447" s="15"/>
    </row>
    <row r="448" spans="1:9" x14ac:dyDescent="0.2">
      <c r="A448" s="15"/>
      <c r="B448" s="15"/>
      <c r="C448" s="15"/>
      <c r="D448" s="15"/>
      <c r="E448" s="16"/>
      <c r="F448" s="15"/>
      <c r="G448" s="15"/>
      <c r="H448" s="15"/>
      <c r="I448" s="15"/>
    </row>
    <row r="449" spans="1:9" x14ac:dyDescent="0.2">
      <c r="A449" s="15"/>
      <c r="B449" s="15"/>
      <c r="C449" s="15"/>
      <c r="D449" s="15"/>
      <c r="E449" s="16"/>
      <c r="F449" s="15"/>
      <c r="G449" s="15"/>
      <c r="H449" s="15"/>
      <c r="I449" s="15"/>
    </row>
    <row r="450" spans="1:9" x14ac:dyDescent="0.2">
      <c r="A450" s="15"/>
      <c r="B450" s="15"/>
      <c r="C450" s="15"/>
      <c r="D450" s="15"/>
      <c r="E450" s="16"/>
      <c r="F450" s="15"/>
      <c r="G450" s="15"/>
      <c r="H450" s="15"/>
      <c r="I450" s="15"/>
    </row>
    <row r="451" spans="1:9" x14ac:dyDescent="0.2">
      <c r="A451" s="15"/>
      <c r="B451" s="15"/>
      <c r="C451" s="15"/>
      <c r="D451" s="15"/>
      <c r="E451" s="16"/>
      <c r="F451" s="15"/>
      <c r="G451" s="15"/>
      <c r="H451" s="15"/>
      <c r="I451" s="15"/>
    </row>
    <row r="452" spans="1:9" x14ac:dyDescent="0.2">
      <c r="A452" s="15"/>
      <c r="B452" s="15"/>
      <c r="C452" s="15"/>
      <c r="D452" s="15"/>
      <c r="E452" s="16"/>
      <c r="F452" s="15"/>
      <c r="G452" s="15"/>
      <c r="H452" s="15"/>
      <c r="I452" s="15"/>
    </row>
    <row r="453" spans="1:9" x14ac:dyDescent="0.2">
      <c r="A453" s="15"/>
      <c r="B453" s="15"/>
      <c r="C453" s="15"/>
      <c r="D453" s="15"/>
      <c r="E453" s="16"/>
      <c r="F453" s="15"/>
      <c r="G453" s="15"/>
      <c r="H453" s="15"/>
      <c r="I453" s="15"/>
    </row>
    <row r="454" spans="1:9" x14ac:dyDescent="0.2">
      <c r="A454" s="15"/>
      <c r="B454" s="15"/>
      <c r="C454" s="15"/>
      <c r="D454" s="15"/>
      <c r="E454" s="16"/>
      <c r="F454" s="15"/>
      <c r="G454" s="15"/>
      <c r="H454" s="15"/>
      <c r="I454" s="15"/>
    </row>
    <row r="455" spans="1:9" x14ac:dyDescent="0.2">
      <c r="A455" s="15"/>
      <c r="B455" s="15"/>
      <c r="C455" s="15"/>
      <c r="D455" s="15"/>
      <c r="E455" s="16"/>
      <c r="F455" s="15"/>
      <c r="G455" s="15"/>
      <c r="H455" s="15"/>
      <c r="I455" s="15"/>
    </row>
    <row r="456" spans="1:9" x14ac:dyDescent="0.2">
      <c r="A456" s="15"/>
      <c r="B456" s="15"/>
      <c r="C456" s="15"/>
      <c r="D456" s="15"/>
      <c r="E456" s="16"/>
      <c r="F456" s="15"/>
      <c r="G456" s="15"/>
      <c r="H456" s="15"/>
      <c r="I456" s="15"/>
    </row>
    <row r="457" spans="1:9" x14ac:dyDescent="0.2">
      <c r="A457" s="15"/>
      <c r="B457" s="15"/>
      <c r="C457" s="15"/>
      <c r="D457" s="15"/>
      <c r="E457" s="16"/>
      <c r="F457" s="15"/>
      <c r="G457" s="15"/>
      <c r="H457" s="15"/>
      <c r="I457" s="15"/>
    </row>
    <row r="458" spans="1:9" x14ac:dyDescent="0.2">
      <c r="A458" s="15"/>
      <c r="B458" s="15"/>
      <c r="C458" s="15"/>
      <c r="D458" s="15"/>
      <c r="E458" s="16"/>
      <c r="F458" s="15"/>
      <c r="G458" s="15"/>
      <c r="H458" s="15"/>
      <c r="I458" s="15"/>
    </row>
    <row r="459" spans="1:9" x14ac:dyDescent="0.2">
      <c r="A459" s="15"/>
      <c r="B459" s="15"/>
      <c r="C459" s="15"/>
      <c r="D459" s="15"/>
      <c r="E459" s="16"/>
      <c r="F459" s="15"/>
      <c r="G459" s="15"/>
      <c r="H459" s="15"/>
      <c r="I459" s="15"/>
    </row>
    <row r="460" spans="1:9" x14ac:dyDescent="0.2">
      <c r="A460" s="15"/>
      <c r="B460" s="15"/>
      <c r="C460" s="15"/>
      <c r="D460" s="15"/>
      <c r="E460" s="16"/>
      <c r="F460" s="15"/>
      <c r="G460" s="15"/>
      <c r="H460" s="15"/>
      <c r="I460" s="15"/>
    </row>
    <row r="461" spans="1:9" x14ac:dyDescent="0.2">
      <c r="A461" s="15"/>
      <c r="B461" s="15"/>
      <c r="C461" s="15"/>
      <c r="D461" s="15"/>
      <c r="E461" s="16"/>
      <c r="F461" s="15"/>
      <c r="G461" s="15"/>
      <c r="H461" s="15"/>
      <c r="I461" s="15"/>
    </row>
    <row r="462" spans="1:9" x14ac:dyDescent="0.2">
      <c r="A462" s="15"/>
      <c r="B462" s="15"/>
      <c r="C462" s="15"/>
      <c r="D462" s="15"/>
      <c r="E462" s="16"/>
      <c r="F462" s="15"/>
      <c r="G462" s="15"/>
      <c r="H462" s="15"/>
      <c r="I462" s="15"/>
    </row>
    <row r="463" spans="1:9" x14ac:dyDescent="0.2">
      <c r="A463" s="15"/>
      <c r="B463" s="15"/>
      <c r="C463" s="15"/>
      <c r="D463" s="15"/>
      <c r="E463" s="16"/>
      <c r="F463" s="15"/>
      <c r="G463" s="15"/>
      <c r="H463" s="15"/>
      <c r="I463" s="15"/>
    </row>
    <row r="464" spans="1:9" x14ac:dyDescent="0.2">
      <c r="A464" s="15"/>
      <c r="B464" s="15"/>
      <c r="C464" s="15"/>
      <c r="D464" s="15"/>
      <c r="E464" s="16"/>
      <c r="F464" s="15"/>
      <c r="G464" s="15"/>
      <c r="H464" s="15"/>
      <c r="I464" s="15"/>
    </row>
    <row r="465" spans="1:9" x14ac:dyDescent="0.2">
      <c r="A465" s="15"/>
      <c r="B465" s="15"/>
      <c r="C465" s="15"/>
      <c r="D465" s="15"/>
      <c r="E465" s="16"/>
      <c r="F465" s="15"/>
      <c r="G465" s="15"/>
      <c r="H465" s="15"/>
      <c r="I465" s="15"/>
    </row>
    <row r="466" spans="1:9" x14ac:dyDescent="0.2">
      <c r="A466" s="15"/>
      <c r="B466" s="15"/>
      <c r="C466" s="15"/>
      <c r="D466" s="15"/>
      <c r="E466" s="16"/>
      <c r="F466" s="15"/>
      <c r="G466" s="15"/>
      <c r="H466" s="15"/>
      <c r="I466" s="15"/>
    </row>
    <row r="467" spans="1:9" x14ac:dyDescent="0.2">
      <c r="A467" s="15"/>
      <c r="B467" s="15"/>
      <c r="C467" s="15"/>
      <c r="D467" s="15"/>
      <c r="E467" s="16"/>
      <c r="F467" s="15"/>
      <c r="G467" s="15"/>
      <c r="H467" s="15"/>
      <c r="I467" s="15"/>
    </row>
    <row r="468" spans="1:9" x14ac:dyDescent="0.2">
      <c r="A468" s="15"/>
      <c r="B468" s="15"/>
      <c r="C468" s="15"/>
      <c r="D468" s="15"/>
      <c r="E468" s="16"/>
      <c r="F468" s="15"/>
      <c r="G468" s="15"/>
      <c r="H468" s="15"/>
      <c r="I468" s="15"/>
    </row>
    <row r="469" spans="1:9" x14ac:dyDescent="0.2">
      <c r="A469" s="15"/>
      <c r="B469" s="15"/>
      <c r="C469" s="15"/>
      <c r="D469" s="15"/>
      <c r="E469" s="16"/>
      <c r="F469" s="15"/>
      <c r="G469" s="15"/>
      <c r="H469" s="15"/>
      <c r="I469" s="15"/>
    </row>
    <row r="470" spans="1:9" x14ac:dyDescent="0.2">
      <c r="A470" s="15"/>
      <c r="B470" s="15"/>
      <c r="C470" s="15"/>
      <c r="D470" s="15"/>
      <c r="E470" s="16"/>
      <c r="F470" s="15"/>
      <c r="G470" s="15"/>
      <c r="H470" s="15"/>
      <c r="I470" s="15"/>
    </row>
    <row r="471" spans="1:9" x14ac:dyDescent="0.2">
      <c r="A471" s="15"/>
      <c r="B471" s="15"/>
      <c r="C471" s="15"/>
      <c r="D471" s="15"/>
      <c r="E471" s="16"/>
      <c r="F471" s="15"/>
      <c r="G471" s="15"/>
      <c r="H471" s="15"/>
      <c r="I471" s="15"/>
    </row>
    <row r="472" spans="1:9" x14ac:dyDescent="0.2">
      <c r="A472" s="15"/>
      <c r="B472" s="15"/>
      <c r="C472" s="15"/>
      <c r="D472" s="15"/>
      <c r="E472" s="16"/>
      <c r="F472" s="15"/>
      <c r="G472" s="15"/>
      <c r="H472" s="15"/>
      <c r="I472" s="15"/>
    </row>
    <row r="473" spans="1:9" x14ac:dyDescent="0.2">
      <c r="A473" s="15"/>
      <c r="B473" s="15"/>
      <c r="C473" s="15"/>
      <c r="D473" s="15"/>
      <c r="E473" s="16"/>
      <c r="F473" s="15"/>
      <c r="G473" s="15"/>
      <c r="H473" s="15"/>
      <c r="I473" s="15"/>
    </row>
    <row r="474" spans="1:9" x14ac:dyDescent="0.2">
      <c r="A474" s="15"/>
      <c r="B474" s="15"/>
      <c r="C474" s="15"/>
      <c r="D474" s="15"/>
      <c r="E474" s="16"/>
      <c r="F474" s="15"/>
      <c r="G474" s="15"/>
      <c r="H474" s="15"/>
      <c r="I474" s="15"/>
    </row>
    <row r="475" spans="1:9" x14ac:dyDescent="0.2">
      <c r="A475" s="15"/>
      <c r="B475" s="15"/>
      <c r="C475" s="15"/>
      <c r="D475" s="15"/>
      <c r="E475" s="16"/>
      <c r="F475" s="15"/>
      <c r="G475" s="15"/>
      <c r="H475" s="15"/>
      <c r="I475" s="15"/>
    </row>
    <row r="476" spans="1:9" x14ac:dyDescent="0.2">
      <c r="A476" s="15"/>
      <c r="B476" s="15"/>
      <c r="C476" s="15"/>
      <c r="D476" s="15"/>
      <c r="E476" s="16"/>
      <c r="F476" s="15"/>
      <c r="G476" s="15"/>
      <c r="H476" s="15"/>
      <c r="I476" s="15"/>
    </row>
    <row r="477" spans="1:9" x14ac:dyDescent="0.2">
      <c r="A477" s="15"/>
      <c r="B477" s="15"/>
      <c r="C477" s="15"/>
      <c r="D477" s="15"/>
      <c r="E477" s="16"/>
      <c r="F477" s="15"/>
      <c r="G477" s="15"/>
      <c r="H477" s="15"/>
      <c r="I477" s="15"/>
    </row>
    <row r="478" spans="1:9" x14ac:dyDescent="0.2">
      <c r="A478" s="15"/>
      <c r="B478" s="15"/>
      <c r="C478" s="15"/>
      <c r="D478" s="15"/>
      <c r="E478" s="16"/>
      <c r="F478" s="15"/>
      <c r="G478" s="15"/>
      <c r="H478" s="15"/>
      <c r="I478" s="15"/>
    </row>
    <row r="479" spans="1:9" x14ac:dyDescent="0.2">
      <c r="A479" s="15"/>
      <c r="B479" s="15"/>
      <c r="C479" s="15"/>
      <c r="D479" s="15"/>
      <c r="E479" s="16"/>
      <c r="F479" s="15"/>
      <c r="G479" s="15"/>
      <c r="H479" s="15"/>
      <c r="I479" s="15"/>
    </row>
    <row r="480" spans="1:9" x14ac:dyDescent="0.2">
      <c r="A480" s="15"/>
      <c r="B480" s="15"/>
      <c r="C480" s="15"/>
      <c r="D480" s="15"/>
      <c r="E480" s="16"/>
      <c r="F480" s="15"/>
      <c r="G480" s="15"/>
      <c r="H480" s="15"/>
      <c r="I480" s="15"/>
    </row>
    <row r="481" spans="1:9" x14ac:dyDescent="0.2">
      <c r="A481" s="15"/>
      <c r="B481" s="15"/>
      <c r="C481" s="15"/>
      <c r="D481" s="15"/>
      <c r="E481" s="16"/>
      <c r="F481" s="15"/>
      <c r="G481" s="15"/>
      <c r="H481" s="15"/>
      <c r="I481" s="15"/>
    </row>
    <row r="482" spans="1:9" x14ac:dyDescent="0.2">
      <c r="A482" s="15"/>
      <c r="B482" s="15"/>
      <c r="C482" s="15"/>
      <c r="D482" s="15"/>
      <c r="E482" s="16"/>
      <c r="F482" s="15"/>
      <c r="G482" s="15"/>
      <c r="H482" s="15"/>
      <c r="I482" s="15"/>
    </row>
    <row r="483" spans="1:9" x14ac:dyDescent="0.2">
      <c r="A483" s="15"/>
      <c r="B483" s="15"/>
      <c r="C483" s="15"/>
      <c r="D483" s="15"/>
      <c r="E483" s="16"/>
      <c r="F483" s="15"/>
      <c r="G483" s="15"/>
      <c r="H483" s="15"/>
      <c r="I483" s="15"/>
    </row>
    <row r="484" spans="1:9" x14ac:dyDescent="0.2">
      <c r="A484" s="15"/>
      <c r="B484" s="15"/>
      <c r="C484" s="15"/>
      <c r="D484" s="15"/>
      <c r="E484" s="16"/>
      <c r="F484" s="15"/>
      <c r="G484" s="15"/>
      <c r="H484" s="15"/>
      <c r="I484" s="15"/>
    </row>
    <row r="485" spans="1:9" x14ac:dyDescent="0.2">
      <c r="A485" s="15"/>
      <c r="B485" s="15"/>
      <c r="C485" s="15"/>
      <c r="D485" s="15"/>
      <c r="E485" s="16"/>
      <c r="F485" s="15"/>
      <c r="G485" s="15"/>
      <c r="H485" s="15"/>
      <c r="I485" s="15"/>
    </row>
    <row r="486" spans="1:9" x14ac:dyDescent="0.2">
      <c r="A486" s="15"/>
      <c r="B486" s="15"/>
      <c r="C486" s="15"/>
      <c r="D486" s="15"/>
      <c r="E486" s="16"/>
      <c r="F486" s="15"/>
      <c r="G486" s="15"/>
      <c r="H486" s="15"/>
      <c r="I486" s="15"/>
    </row>
    <row r="487" spans="1:9" x14ac:dyDescent="0.2">
      <c r="A487" s="15"/>
      <c r="B487" s="15"/>
      <c r="C487" s="15"/>
      <c r="D487" s="15"/>
      <c r="E487" s="16"/>
      <c r="F487" s="15"/>
      <c r="G487" s="15"/>
      <c r="H487" s="15"/>
      <c r="I487" s="15"/>
    </row>
    <row r="488" spans="1:9" x14ac:dyDescent="0.2">
      <c r="A488" s="15"/>
      <c r="B488" s="15"/>
      <c r="C488" s="15"/>
      <c r="D488" s="15"/>
      <c r="E488" s="16"/>
      <c r="F488" s="15"/>
      <c r="G488" s="15"/>
      <c r="H488" s="15"/>
      <c r="I488" s="15"/>
    </row>
    <row r="489" spans="1:9" x14ac:dyDescent="0.2">
      <c r="A489" s="15"/>
      <c r="B489" s="15"/>
      <c r="C489" s="15"/>
      <c r="D489" s="15"/>
      <c r="E489" s="16"/>
      <c r="F489" s="15"/>
      <c r="G489" s="15"/>
      <c r="H489" s="15"/>
      <c r="I489" s="15"/>
    </row>
    <row r="490" spans="1:9" x14ac:dyDescent="0.2">
      <c r="A490" s="15"/>
      <c r="B490" s="15"/>
      <c r="C490" s="15"/>
      <c r="D490" s="15"/>
      <c r="E490" s="16"/>
      <c r="F490" s="15"/>
      <c r="G490" s="15"/>
      <c r="H490" s="15"/>
      <c r="I490" s="15"/>
    </row>
    <row r="491" spans="1:9" x14ac:dyDescent="0.2">
      <c r="A491" s="15"/>
      <c r="B491" s="15"/>
      <c r="C491" s="15"/>
      <c r="D491" s="15"/>
      <c r="E491" s="16"/>
      <c r="F491" s="15"/>
      <c r="G491" s="15"/>
      <c r="H491" s="15"/>
      <c r="I491" s="15"/>
    </row>
    <row r="492" spans="1:9" x14ac:dyDescent="0.2">
      <c r="A492" s="15"/>
      <c r="B492" s="15"/>
      <c r="C492" s="15"/>
      <c r="D492" s="15"/>
      <c r="E492" s="16"/>
      <c r="F492" s="15"/>
      <c r="G492" s="15"/>
      <c r="H492" s="15"/>
      <c r="I492" s="15"/>
    </row>
    <row r="493" spans="1:9" x14ac:dyDescent="0.2">
      <c r="A493" s="15"/>
      <c r="B493" s="15"/>
      <c r="C493" s="15"/>
      <c r="D493" s="15"/>
      <c r="E493" s="16"/>
      <c r="F493" s="15"/>
      <c r="G493" s="15"/>
      <c r="H493" s="15"/>
      <c r="I493" s="15"/>
    </row>
    <row r="494" spans="1:9" x14ac:dyDescent="0.2">
      <c r="A494" s="15"/>
      <c r="B494" s="15"/>
      <c r="C494" s="15"/>
      <c r="D494" s="15"/>
      <c r="E494" s="16"/>
      <c r="F494" s="15"/>
      <c r="G494" s="15"/>
      <c r="H494" s="15"/>
      <c r="I494" s="15"/>
    </row>
    <row r="495" spans="1:9" x14ac:dyDescent="0.2">
      <c r="A495" s="15"/>
      <c r="B495" s="15"/>
      <c r="C495" s="15"/>
      <c r="D495" s="15"/>
      <c r="E495" s="16"/>
      <c r="F495" s="15"/>
      <c r="G495" s="15"/>
      <c r="H495" s="15"/>
      <c r="I495" s="15"/>
    </row>
    <row r="496" spans="1:9" x14ac:dyDescent="0.2">
      <c r="A496" s="15"/>
      <c r="B496" s="15"/>
      <c r="C496" s="15"/>
      <c r="D496" s="15"/>
      <c r="E496" s="16"/>
      <c r="F496" s="15"/>
      <c r="G496" s="15"/>
      <c r="H496" s="15"/>
      <c r="I496" s="15"/>
    </row>
    <row r="497" spans="1:9" x14ac:dyDescent="0.2">
      <c r="A497" s="15"/>
      <c r="B497" s="15"/>
      <c r="C497" s="15"/>
      <c r="D497" s="15"/>
      <c r="E497" s="16"/>
      <c r="F497" s="15"/>
      <c r="G497" s="15"/>
      <c r="H497" s="15"/>
      <c r="I497" s="15"/>
    </row>
    <row r="498" spans="1:9" x14ac:dyDescent="0.2">
      <c r="A498" s="15"/>
      <c r="B498" s="15"/>
      <c r="C498" s="15"/>
      <c r="D498" s="15"/>
      <c r="E498" s="16"/>
      <c r="F498" s="15"/>
      <c r="G498" s="15"/>
      <c r="H498" s="15"/>
      <c r="I498" s="15"/>
    </row>
    <row r="499" spans="1:9" x14ac:dyDescent="0.2">
      <c r="A499" s="15"/>
      <c r="B499" s="15"/>
      <c r="C499" s="15"/>
      <c r="D499" s="15"/>
      <c r="E499" s="16"/>
      <c r="F499" s="15"/>
      <c r="G499" s="15"/>
      <c r="H499" s="15"/>
      <c r="I499" s="15"/>
    </row>
    <row r="500" spans="1:9" x14ac:dyDescent="0.2">
      <c r="A500" s="15"/>
      <c r="B500" s="15"/>
      <c r="C500" s="15"/>
      <c r="D500" s="15"/>
      <c r="E500" s="16"/>
      <c r="F500" s="15"/>
      <c r="G500" s="15"/>
      <c r="H500" s="15"/>
      <c r="I500" s="15"/>
    </row>
    <row r="501" spans="1:9" x14ac:dyDescent="0.2">
      <c r="A501" s="15"/>
      <c r="B501" s="15"/>
      <c r="C501" s="15"/>
      <c r="D501" s="15"/>
      <c r="E501" s="16"/>
      <c r="F501" s="15"/>
      <c r="G501" s="15"/>
      <c r="H501" s="15"/>
      <c r="I501" s="15"/>
    </row>
    <row r="502" spans="1:9" x14ac:dyDescent="0.2">
      <c r="A502" s="15"/>
      <c r="B502" s="15"/>
      <c r="C502" s="15"/>
      <c r="D502" s="15"/>
      <c r="E502" s="16"/>
      <c r="F502" s="15"/>
      <c r="G502" s="15"/>
      <c r="H502" s="15"/>
      <c r="I502" s="15"/>
    </row>
    <row r="503" spans="1:9" x14ac:dyDescent="0.2">
      <c r="A503" s="15"/>
      <c r="B503" s="15"/>
      <c r="C503" s="15"/>
      <c r="D503" s="15"/>
      <c r="E503" s="16"/>
      <c r="F503" s="15"/>
      <c r="G503" s="15"/>
      <c r="H503" s="15"/>
      <c r="I503" s="15"/>
    </row>
    <row r="504" spans="1:9" x14ac:dyDescent="0.2">
      <c r="A504" s="15"/>
      <c r="B504" s="15"/>
      <c r="C504" s="15"/>
      <c r="D504" s="15"/>
      <c r="E504" s="16"/>
      <c r="F504" s="15"/>
      <c r="G504" s="15"/>
      <c r="H504" s="15"/>
      <c r="I504" s="15"/>
    </row>
    <row r="505" spans="1:9" x14ac:dyDescent="0.2">
      <c r="A505" s="15"/>
      <c r="B505" s="15"/>
      <c r="C505" s="15"/>
      <c r="D505" s="15"/>
      <c r="E505" s="16"/>
      <c r="F505" s="15"/>
      <c r="G505" s="15"/>
      <c r="H505" s="15"/>
      <c r="I505" s="15"/>
    </row>
    <row r="506" spans="1:9" x14ac:dyDescent="0.2">
      <c r="A506" s="15"/>
      <c r="B506" s="15"/>
      <c r="C506" s="15"/>
      <c r="D506" s="15"/>
      <c r="E506" s="16"/>
      <c r="F506" s="15"/>
      <c r="G506" s="15"/>
      <c r="H506" s="15"/>
      <c r="I506" s="15"/>
    </row>
    <row r="507" spans="1:9" x14ac:dyDescent="0.2">
      <c r="A507" s="15"/>
      <c r="B507" s="15"/>
      <c r="C507" s="15"/>
      <c r="D507" s="15"/>
      <c r="E507" s="16"/>
      <c r="F507" s="15"/>
      <c r="G507" s="15"/>
      <c r="H507" s="15"/>
      <c r="I507" s="15"/>
    </row>
    <row r="508" spans="1:9" x14ac:dyDescent="0.2">
      <c r="A508" s="15"/>
      <c r="B508" s="15"/>
      <c r="C508" s="15"/>
      <c r="D508" s="15"/>
      <c r="E508" s="16"/>
      <c r="F508" s="15"/>
      <c r="G508" s="15"/>
      <c r="H508" s="15"/>
      <c r="I508" s="15"/>
    </row>
    <row r="509" spans="1:9" x14ac:dyDescent="0.2">
      <c r="A509" s="15"/>
      <c r="B509" s="15"/>
      <c r="C509" s="15"/>
      <c r="D509" s="15"/>
      <c r="E509" s="16"/>
      <c r="F509" s="15"/>
      <c r="G509" s="15"/>
      <c r="H509" s="15"/>
      <c r="I509" s="15"/>
    </row>
    <row r="510" spans="1:9" x14ac:dyDescent="0.2">
      <c r="A510" s="15"/>
      <c r="B510" s="15"/>
      <c r="C510" s="15"/>
      <c r="D510" s="15"/>
      <c r="E510" s="16"/>
      <c r="F510" s="15"/>
      <c r="G510" s="15"/>
      <c r="H510" s="15"/>
      <c r="I510" s="15"/>
    </row>
    <row r="511" spans="1:9" x14ac:dyDescent="0.2">
      <c r="A511" s="15"/>
      <c r="B511" s="15"/>
      <c r="C511" s="15"/>
      <c r="D511" s="15"/>
      <c r="E511" s="16"/>
      <c r="F511" s="15"/>
      <c r="G511" s="15"/>
      <c r="H511" s="15"/>
      <c r="I511" s="15"/>
    </row>
    <row r="512" spans="1:9" x14ac:dyDescent="0.2">
      <c r="A512" s="15"/>
      <c r="B512" s="15"/>
      <c r="C512" s="15"/>
      <c r="D512" s="15"/>
      <c r="E512" s="16"/>
      <c r="F512" s="15"/>
      <c r="G512" s="15"/>
      <c r="H512" s="15"/>
      <c r="I512" s="15"/>
    </row>
    <row r="513" spans="1:9" x14ac:dyDescent="0.2">
      <c r="A513" s="15"/>
      <c r="B513" s="15"/>
      <c r="C513" s="15"/>
      <c r="D513" s="15"/>
      <c r="E513" s="16"/>
      <c r="F513" s="15"/>
      <c r="G513" s="15"/>
      <c r="H513" s="15"/>
      <c r="I513" s="15"/>
    </row>
    <row r="514" spans="1:9" x14ac:dyDescent="0.2">
      <c r="A514" s="15"/>
      <c r="B514" s="15"/>
      <c r="C514" s="15"/>
      <c r="D514" s="15"/>
      <c r="E514" s="16"/>
      <c r="F514" s="15"/>
      <c r="G514" s="15"/>
      <c r="H514" s="15"/>
      <c r="I514" s="15"/>
    </row>
    <row r="515" spans="1:9" x14ac:dyDescent="0.2">
      <c r="A515" s="15"/>
      <c r="B515" s="15"/>
      <c r="C515" s="15"/>
      <c r="D515" s="15"/>
      <c r="E515" s="16"/>
      <c r="F515" s="15"/>
      <c r="G515" s="15"/>
      <c r="H515" s="15"/>
      <c r="I515" s="15"/>
    </row>
    <row r="516" spans="1:9" x14ac:dyDescent="0.2">
      <c r="A516" s="15"/>
      <c r="B516" s="15"/>
      <c r="C516" s="15"/>
      <c r="D516" s="15"/>
      <c r="E516" s="16"/>
      <c r="F516" s="15"/>
      <c r="G516" s="15"/>
      <c r="H516" s="15"/>
      <c r="I516" s="15"/>
    </row>
    <row r="517" spans="1:9" x14ac:dyDescent="0.2">
      <c r="A517" s="15"/>
      <c r="B517" s="15"/>
      <c r="C517" s="15"/>
      <c r="D517" s="15"/>
      <c r="E517" s="16"/>
      <c r="F517" s="15"/>
      <c r="G517" s="15"/>
      <c r="H517" s="15"/>
      <c r="I517" s="15"/>
    </row>
    <row r="518" spans="1:9" x14ac:dyDescent="0.2">
      <c r="A518" s="15"/>
      <c r="B518" s="15"/>
      <c r="C518" s="15"/>
      <c r="D518" s="15"/>
      <c r="E518" s="16"/>
      <c r="F518" s="15"/>
      <c r="G518" s="15"/>
      <c r="H518" s="15"/>
      <c r="I518" s="15"/>
    </row>
    <row r="519" spans="1:9" x14ac:dyDescent="0.2">
      <c r="A519" s="15"/>
      <c r="B519" s="15"/>
      <c r="C519" s="15"/>
      <c r="D519" s="15"/>
      <c r="E519" s="16"/>
      <c r="F519" s="15"/>
      <c r="G519" s="15"/>
      <c r="H519" s="15"/>
      <c r="I519" s="15"/>
    </row>
    <row r="520" spans="1:9" x14ac:dyDescent="0.2">
      <c r="A520" s="15"/>
      <c r="B520" s="15"/>
      <c r="C520" s="15"/>
      <c r="D520" s="15"/>
      <c r="E520" s="16"/>
      <c r="F520" s="15"/>
      <c r="G520" s="15"/>
      <c r="H520" s="15"/>
      <c r="I520" s="15"/>
    </row>
    <row r="521" spans="1:9" x14ac:dyDescent="0.2">
      <c r="A521" s="15"/>
      <c r="B521" s="15"/>
      <c r="C521" s="15"/>
      <c r="D521" s="15"/>
      <c r="E521" s="16"/>
      <c r="F521" s="15"/>
      <c r="G521" s="15"/>
      <c r="H521" s="15"/>
      <c r="I521" s="15"/>
    </row>
    <row r="522" spans="1:9" x14ac:dyDescent="0.2">
      <c r="A522" s="15"/>
      <c r="B522" s="15"/>
      <c r="C522" s="15"/>
      <c r="D522" s="15"/>
      <c r="E522" s="16"/>
      <c r="F522" s="15"/>
      <c r="G522" s="15"/>
      <c r="H522" s="15"/>
      <c r="I522" s="15"/>
    </row>
    <row r="523" spans="1:9" x14ac:dyDescent="0.2">
      <c r="A523" s="15"/>
      <c r="B523" s="15"/>
      <c r="C523" s="15"/>
      <c r="D523" s="15"/>
      <c r="E523" s="16"/>
      <c r="F523" s="15"/>
      <c r="G523" s="15"/>
      <c r="H523" s="15"/>
      <c r="I523" s="15"/>
    </row>
    <row r="524" spans="1:9" x14ac:dyDescent="0.2">
      <c r="A524" s="15"/>
      <c r="B524" s="15"/>
      <c r="C524" s="15"/>
      <c r="D524" s="15"/>
      <c r="E524" s="16"/>
      <c r="F524" s="15"/>
      <c r="G524" s="15"/>
      <c r="H524" s="15"/>
      <c r="I524" s="15"/>
    </row>
    <row r="525" spans="1:9" x14ac:dyDescent="0.2">
      <c r="A525" s="15"/>
      <c r="B525" s="15"/>
      <c r="C525" s="15"/>
      <c r="D525" s="15"/>
      <c r="E525" s="16"/>
      <c r="F525" s="15"/>
      <c r="G525" s="15"/>
      <c r="H525" s="15"/>
      <c r="I525" s="15"/>
    </row>
    <row r="526" spans="1:9" x14ac:dyDescent="0.2">
      <c r="A526" s="15"/>
      <c r="B526" s="15"/>
      <c r="C526" s="15"/>
      <c r="D526" s="15"/>
      <c r="E526" s="16"/>
      <c r="F526" s="15"/>
      <c r="G526" s="15"/>
      <c r="H526" s="15"/>
      <c r="I526" s="15"/>
    </row>
    <row r="527" spans="1:9" x14ac:dyDescent="0.2">
      <c r="A527" s="15"/>
      <c r="B527" s="15"/>
      <c r="C527" s="15"/>
      <c r="D527" s="15"/>
      <c r="E527" s="16"/>
      <c r="F527" s="15"/>
      <c r="G527" s="15"/>
      <c r="H527" s="15"/>
      <c r="I527" s="15"/>
    </row>
    <row r="528" spans="1:9" x14ac:dyDescent="0.2">
      <c r="A528" s="15"/>
      <c r="B528" s="15"/>
      <c r="C528" s="15"/>
      <c r="D528" s="15"/>
      <c r="E528" s="16"/>
      <c r="F528" s="15"/>
      <c r="G528" s="15"/>
      <c r="H528" s="15"/>
      <c r="I528" s="15"/>
    </row>
    <row r="529" spans="1:9" x14ac:dyDescent="0.2">
      <c r="A529" s="15"/>
      <c r="B529" s="15"/>
      <c r="C529" s="15"/>
      <c r="D529" s="15"/>
      <c r="E529" s="16"/>
      <c r="F529" s="15"/>
      <c r="G529" s="15"/>
      <c r="H529" s="15"/>
      <c r="I529" s="15"/>
    </row>
    <row r="530" spans="1:9" x14ac:dyDescent="0.2">
      <c r="A530" s="15"/>
      <c r="B530" s="15"/>
      <c r="C530" s="15"/>
      <c r="D530" s="15"/>
      <c r="E530" s="16"/>
      <c r="F530" s="15"/>
      <c r="G530" s="15"/>
      <c r="H530" s="15"/>
      <c r="I530" s="15"/>
    </row>
    <row r="531" spans="1:9" x14ac:dyDescent="0.2">
      <c r="A531" s="15"/>
      <c r="B531" s="15"/>
      <c r="C531" s="15"/>
      <c r="D531" s="15"/>
      <c r="E531" s="16"/>
      <c r="F531" s="15"/>
      <c r="G531" s="15"/>
      <c r="H531" s="15"/>
      <c r="I531" s="15"/>
    </row>
    <row r="532" spans="1:9" x14ac:dyDescent="0.2">
      <c r="A532" s="15"/>
      <c r="B532" s="15"/>
      <c r="C532" s="15"/>
      <c r="D532" s="15"/>
      <c r="E532" s="16"/>
      <c r="F532" s="15"/>
      <c r="G532" s="15"/>
      <c r="H532" s="15"/>
      <c r="I532" s="15"/>
    </row>
    <row r="533" spans="1:9" x14ac:dyDescent="0.2">
      <c r="A533" s="15"/>
      <c r="B533" s="15"/>
      <c r="C533" s="15"/>
      <c r="D533" s="15"/>
      <c r="E533" s="16"/>
      <c r="F533" s="15"/>
      <c r="G533" s="15"/>
      <c r="H533" s="15"/>
      <c r="I533" s="15"/>
    </row>
    <row r="534" spans="1:9" x14ac:dyDescent="0.2">
      <c r="A534" s="15"/>
      <c r="B534" s="15"/>
      <c r="C534" s="15"/>
      <c r="D534" s="15"/>
      <c r="E534" s="16"/>
      <c r="F534" s="15"/>
      <c r="G534" s="15"/>
      <c r="H534" s="15"/>
      <c r="I534" s="15"/>
    </row>
    <row r="535" spans="1:9" x14ac:dyDescent="0.2">
      <c r="A535" s="15"/>
      <c r="B535" s="15"/>
      <c r="C535" s="15"/>
      <c r="D535" s="15"/>
      <c r="E535" s="16"/>
      <c r="F535" s="15"/>
      <c r="G535" s="15"/>
      <c r="H535" s="15"/>
      <c r="I535" s="15"/>
    </row>
    <row r="536" spans="1:9" x14ac:dyDescent="0.2">
      <c r="A536" s="15"/>
      <c r="B536" s="15"/>
      <c r="C536" s="15"/>
      <c r="D536" s="15"/>
      <c r="E536" s="16"/>
      <c r="F536" s="15"/>
      <c r="G536" s="15"/>
      <c r="H536" s="15"/>
      <c r="I536" s="15"/>
    </row>
    <row r="537" spans="1:9" x14ac:dyDescent="0.2">
      <c r="A537" s="15"/>
      <c r="B537" s="15"/>
      <c r="C537" s="15"/>
      <c r="D537" s="15"/>
      <c r="E537" s="16"/>
      <c r="F537" s="15"/>
      <c r="G537" s="15"/>
      <c r="H537" s="15"/>
      <c r="I537" s="15"/>
    </row>
    <row r="538" spans="1:9" x14ac:dyDescent="0.2">
      <c r="A538" s="15"/>
      <c r="B538" s="15"/>
      <c r="C538" s="15"/>
      <c r="D538" s="15"/>
      <c r="E538" s="16"/>
      <c r="F538" s="15"/>
      <c r="G538" s="15"/>
      <c r="H538" s="15"/>
      <c r="I538" s="15"/>
    </row>
  </sheetData>
  <sheetProtection formatColumns="0"/>
  <mergeCells count="7">
    <mergeCell ref="I77:J78"/>
    <mergeCell ref="C24:D25"/>
    <mergeCell ref="C49:D50"/>
    <mergeCell ref="A86:E86"/>
    <mergeCell ref="A72:G72"/>
    <mergeCell ref="G77:H78"/>
    <mergeCell ref="A73:H74"/>
  </mergeCells>
  <phoneticPr fontId="0" type="noConversion"/>
  <printOptions horizontalCentered="1" gridLines="1"/>
  <pageMargins left="0.75" right="0.25" top="0.75" bottom="0.75" header="0.5" footer="0.5"/>
  <pageSetup scale="89" orientation="portrait" r:id="rId1"/>
  <headerFooter alignWithMargins="0">
    <oddHeader>&amp;L&amp;D</oddHeader>
    <oddFooter>&amp;L&amp;F&amp;R&amp;A</oddFooter>
  </headerFooter>
  <rowBreaks count="2" manualBreakCount="2">
    <brk id="52" max="7" man="1"/>
    <brk id="96" max="7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1"/>
  <sheetViews>
    <sheetView zoomScaleNormal="100" zoomScaleSheetLayoutView="75" workbookViewId="0">
      <selection activeCell="B42" sqref="B42"/>
    </sheetView>
  </sheetViews>
  <sheetFormatPr defaultRowHeight="12.75" x14ac:dyDescent="0.2"/>
  <cols>
    <col min="1" max="1" width="38" customWidth="1"/>
    <col min="2" max="2" width="10.28515625" customWidth="1"/>
    <col min="3" max="4" width="9.28515625" bestFit="1" customWidth="1"/>
    <col min="5" max="5" width="3.5703125" customWidth="1"/>
    <col min="10" max="10" width="3.140625" customWidth="1"/>
  </cols>
  <sheetData>
    <row r="1" spans="1:12" ht="14.25" customHeight="1" x14ac:dyDescent="0.2">
      <c r="A1" s="221"/>
      <c r="B1" s="77"/>
      <c r="C1" s="46"/>
      <c r="D1" s="42"/>
      <c r="E1" s="44"/>
    </row>
    <row r="2" spans="1:12" ht="14.25" customHeight="1" x14ac:dyDescent="0.2">
      <c r="A2" s="221"/>
      <c r="B2" s="77"/>
      <c r="C2" s="46"/>
      <c r="D2" s="42"/>
      <c r="E2" s="44"/>
      <c r="H2" s="236"/>
    </row>
    <row r="3" spans="1:12" ht="14.25" customHeight="1" x14ac:dyDescent="0.2">
      <c r="A3" s="221"/>
      <c r="B3" s="77"/>
      <c r="C3" s="46"/>
      <c r="D3" s="42"/>
      <c r="E3" s="44"/>
      <c r="H3" s="235"/>
    </row>
    <row r="4" spans="1:12" ht="14.25" customHeight="1" x14ac:dyDescent="0.2">
      <c r="A4" s="221"/>
      <c r="B4" s="77"/>
      <c r="C4" s="46"/>
      <c r="D4" s="42"/>
      <c r="E4" s="44"/>
      <c r="H4" s="236"/>
    </row>
    <row r="5" spans="1:12" ht="14.25" customHeight="1" x14ac:dyDescent="0.2">
      <c r="A5" s="323" t="s">
        <v>370</v>
      </c>
      <c r="B5" s="323"/>
      <c r="C5" s="323"/>
      <c r="D5" s="323"/>
      <c r="E5" s="44"/>
    </row>
    <row r="6" spans="1:12" ht="14.25" customHeight="1" x14ac:dyDescent="0.2">
      <c r="A6" s="323"/>
      <c r="B6" s="323"/>
      <c r="C6" s="323"/>
      <c r="D6" s="323"/>
      <c r="E6" s="44"/>
    </row>
    <row r="7" spans="1:12" ht="14.25" customHeight="1" x14ac:dyDescent="0.2">
      <c r="A7" s="323" t="s">
        <v>371</v>
      </c>
      <c r="B7" s="323"/>
      <c r="C7" s="323"/>
      <c r="D7" s="323"/>
      <c r="E7" s="44"/>
    </row>
    <row r="8" spans="1:12" ht="13.15" customHeight="1" x14ac:dyDescent="0.2">
      <c r="A8" s="323"/>
      <c r="B8" s="323"/>
      <c r="C8" s="323"/>
      <c r="D8" s="323"/>
    </row>
    <row r="9" spans="1:12" x14ac:dyDescent="0.2">
      <c r="A9" s="222"/>
      <c r="B9" s="220"/>
      <c r="C9" s="220"/>
      <c r="D9" s="220"/>
      <c r="E9" s="37"/>
      <c r="F9" s="37"/>
      <c r="G9" s="37"/>
    </row>
    <row r="10" spans="1:12" ht="25.5" x14ac:dyDescent="0.2">
      <c r="A10" s="222"/>
      <c r="B10" s="129" t="s">
        <v>340</v>
      </c>
      <c r="D10" s="129"/>
      <c r="E10" s="76"/>
      <c r="F10" s="76"/>
      <c r="G10" s="76"/>
    </row>
    <row r="11" spans="1:12" x14ac:dyDescent="0.2">
      <c r="A11" s="229"/>
      <c r="B11" s="322" t="s">
        <v>136</v>
      </c>
      <c r="C11" s="322"/>
      <c r="D11" s="230"/>
      <c r="E11" s="76"/>
      <c r="F11" s="76"/>
      <c r="G11" s="76"/>
      <c r="K11" s="231"/>
    </row>
    <row r="12" spans="1:12" ht="14.25" x14ac:dyDescent="0.2">
      <c r="A12" s="68" t="s">
        <v>359</v>
      </c>
      <c r="B12" s="219">
        <v>3981.74</v>
      </c>
      <c r="C12" s="218"/>
      <c r="D12" s="31"/>
      <c r="E12" s="44">
        <v>1</v>
      </c>
      <c r="K12" s="232"/>
      <c r="L12" s="68"/>
    </row>
    <row r="13" spans="1:12" ht="14.25" x14ac:dyDescent="0.2">
      <c r="A13" t="s">
        <v>360</v>
      </c>
      <c r="B13" s="219">
        <v>600.69000000000005</v>
      </c>
      <c r="C13" s="218"/>
      <c r="D13" s="31"/>
      <c r="E13" s="44">
        <v>1</v>
      </c>
      <c r="K13" s="232"/>
    </row>
    <row r="14" spans="1:12" ht="14.25" x14ac:dyDescent="0.2">
      <c r="A14" s="2" t="s">
        <v>362</v>
      </c>
      <c r="B14" s="219">
        <v>0.06</v>
      </c>
      <c r="D14" s="31"/>
      <c r="E14" s="44">
        <v>1</v>
      </c>
      <c r="K14" s="232"/>
      <c r="L14" s="2"/>
    </row>
    <row r="15" spans="1:12" ht="14.25" x14ac:dyDescent="0.2">
      <c r="A15" s="2" t="s">
        <v>366</v>
      </c>
      <c r="B15" s="219">
        <v>63.86</v>
      </c>
      <c r="C15" s="218"/>
      <c r="D15" s="219"/>
      <c r="E15" s="44">
        <v>1</v>
      </c>
      <c r="K15" s="232"/>
      <c r="L15" s="2"/>
    </row>
    <row r="16" spans="1:12" ht="14.25" x14ac:dyDescent="0.2">
      <c r="A16" s="2" t="s">
        <v>363</v>
      </c>
      <c r="B16" s="219">
        <v>3000.1</v>
      </c>
      <c r="C16" s="218"/>
      <c r="D16" s="219"/>
      <c r="E16" s="44">
        <v>1</v>
      </c>
      <c r="K16" s="232"/>
      <c r="L16" s="2"/>
    </row>
    <row r="17" spans="1:16" ht="14.25" x14ac:dyDescent="0.2">
      <c r="A17" s="2" t="s">
        <v>364</v>
      </c>
      <c r="B17" s="219">
        <v>1665.48</v>
      </c>
      <c r="C17" s="218"/>
      <c r="D17" s="219"/>
      <c r="E17" s="44">
        <v>1</v>
      </c>
      <c r="K17" s="232"/>
      <c r="L17" s="2"/>
    </row>
    <row r="18" spans="1:16" ht="14.25" x14ac:dyDescent="0.2">
      <c r="A18" s="2" t="s">
        <v>365</v>
      </c>
      <c r="B18" s="219">
        <v>8.52</v>
      </c>
      <c r="C18" s="218"/>
      <c r="D18" s="219"/>
      <c r="E18" s="44">
        <v>1</v>
      </c>
      <c r="K18" s="232"/>
      <c r="L18" s="2"/>
    </row>
    <row r="19" spans="1:16" ht="14.25" x14ac:dyDescent="0.2">
      <c r="A19" t="s">
        <v>361</v>
      </c>
      <c r="B19" s="219">
        <v>36.65</v>
      </c>
      <c r="C19" s="218"/>
      <c r="D19" s="31"/>
      <c r="E19" s="44">
        <v>1</v>
      </c>
      <c r="K19" s="232"/>
    </row>
    <row r="20" spans="1:16" ht="14.25" x14ac:dyDescent="0.2">
      <c r="B20" s="241"/>
      <c r="C20" s="218"/>
      <c r="D20" s="31"/>
      <c r="E20" s="44"/>
    </row>
    <row r="21" spans="1:16" ht="14.25" x14ac:dyDescent="0.2">
      <c r="A21" s="26" t="s">
        <v>252</v>
      </c>
      <c r="B21" s="31">
        <f>+B12+B16+B18</f>
        <v>6990.3600000000006</v>
      </c>
      <c r="D21" s="31"/>
      <c r="E21" s="44"/>
      <c r="K21" s="232"/>
      <c r="L21" s="26"/>
    </row>
    <row r="22" spans="1:16" ht="14.25" x14ac:dyDescent="0.2">
      <c r="A22" s="26" t="s">
        <v>251</v>
      </c>
      <c r="B22" s="31">
        <f>+B12+B14+B15+B17+B18-B19</f>
        <v>5683.01</v>
      </c>
      <c r="C22" s="46"/>
      <c r="D22" s="31"/>
      <c r="E22" s="44"/>
      <c r="K22" s="232"/>
      <c r="L22" s="26"/>
    </row>
    <row r="23" spans="1:16" ht="14.25" x14ac:dyDescent="0.2">
      <c r="C23" s="46"/>
      <c r="E23" s="44"/>
    </row>
    <row r="24" spans="1:16" ht="14.25" x14ac:dyDescent="0.2">
      <c r="A24" s="128" t="s">
        <v>346</v>
      </c>
      <c r="B24" s="31"/>
    </row>
    <row r="25" spans="1:16" ht="14.25" x14ac:dyDescent="0.2">
      <c r="A25" s="128" t="s">
        <v>367</v>
      </c>
      <c r="I25" s="228"/>
    </row>
    <row r="26" spans="1:16" x14ac:dyDescent="0.2">
      <c r="I26" s="59"/>
      <c r="L26" s="2"/>
    </row>
    <row r="27" spans="1:16" x14ac:dyDescent="0.2">
      <c r="P27" s="2"/>
    </row>
    <row r="28" spans="1:16" x14ac:dyDescent="0.2">
      <c r="P28" s="2"/>
    </row>
    <row r="29" spans="1:16" x14ac:dyDescent="0.2">
      <c r="B29" s="46"/>
      <c r="P29" s="2"/>
    </row>
    <row r="30" spans="1:16" x14ac:dyDescent="0.2">
      <c r="M30" s="2"/>
      <c r="P30" s="2"/>
    </row>
    <row r="31" spans="1:16" x14ac:dyDescent="0.2">
      <c r="P31" s="2"/>
    </row>
    <row r="32" spans="1:16" x14ac:dyDescent="0.2">
      <c r="B32" s="46"/>
      <c r="P32" s="2"/>
    </row>
    <row r="33" spans="6:16" x14ac:dyDescent="0.2">
      <c r="P33" s="2"/>
    </row>
    <row r="34" spans="6:16" x14ac:dyDescent="0.2">
      <c r="H34" s="26"/>
      <c r="I34" s="26"/>
      <c r="J34" s="26"/>
      <c r="K34" s="26"/>
      <c r="L34" s="26"/>
    </row>
    <row r="35" spans="6:16" x14ac:dyDescent="0.2">
      <c r="H35" s="2"/>
    </row>
    <row r="40" spans="6:16" x14ac:dyDescent="0.2">
      <c r="F40" s="228"/>
    </row>
    <row r="41" spans="6:16" x14ac:dyDescent="0.2">
      <c r="F41" s="2"/>
      <c r="H41" s="2"/>
    </row>
  </sheetData>
  <sheetProtection algorithmName="SHA-512" hashValue="xkEEpgzGoTtl7FqjMRgl28lu1xKz2e9Fw5uxtRqqXRrHRPY6ina2HWDUvhI+p1Rd98t9F/TtLLppjqJDZkBQ0g==" saltValue="RWNESqcu6pEJVgdn7a9pAA==" spinCount="100000" sheet="1" objects="1" scenarios="1" formatColumns="0"/>
  <mergeCells count="3">
    <mergeCell ref="B11:C11"/>
    <mergeCell ref="A5:D6"/>
    <mergeCell ref="A7:D8"/>
  </mergeCells>
  <phoneticPr fontId="0" type="noConversion"/>
  <printOptions horizontalCentered="1" gridLines="1"/>
  <pageMargins left="0.75" right="0.25" top="0.75" bottom="0.75" header="0.5" footer="0.5"/>
  <pageSetup orientation="portrait" r:id="rId1"/>
  <headerFooter alignWithMargins="0">
    <oddHeader>&amp;L&amp;D</oddHeader>
    <oddFooter>&amp;L&amp;F&amp;R&amp;A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8"/>
  <sheetViews>
    <sheetView tabSelected="1" topLeftCell="A18" zoomScaleNormal="100" zoomScaleSheetLayoutView="75" workbookViewId="0">
      <selection activeCell="C30" sqref="C30"/>
    </sheetView>
  </sheetViews>
  <sheetFormatPr defaultRowHeight="12.75" x14ac:dyDescent="0.2"/>
  <cols>
    <col min="1" max="1" width="18.140625" customWidth="1"/>
    <col min="2" max="2" width="11.28515625" bestFit="1" customWidth="1"/>
    <col min="3" max="3" width="11" customWidth="1"/>
    <col min="4" max="4" width="11.85546875" bestFit="1" customWidth="1"/>
    <col min="5" max="5" width="12.140625" bestFit="1" customWidth="1"/>
    <col min="6" max="6" width="10.7109375" customWidth="1"/>
    <col min="7" max="7" width="11.7109375" bestFit="1" customWidth="1"/>
    <col min="8" max="8" width="12.140625" customWidth="1"/>
    <col min="9" max="9" width="11.28515625" customWidth="1"/>
    <col min="10" max="10" width="10.85546875" bestFit="1" customWidth="1"/>
    <col min="11" max="11" width="8.140625" customWidth="1"/>
    <col min="12" max="12" width="12.28515625" customWidth="1"/>
    <col min="13" max="13" width="11.7109375" customWidth="1"/>
  </cols>
  <sheetData>
    <row r="1" spans="1:9" ht="15.75" x14ac:dyDescent="0.25">
      <c r="A1" s="124" t="s">
        <v>253</v>
      </c>
      <c r="B1" s="37"/>
      <c r="C1" s="37"/>
      <c r="D1" s="37"/>
      <c r="E1" s="37"/>
      <c r="F1" s="37"/>
    </row>
    <row r="2" spans="1:9" ht="18" x14ac:dyDescent="0.25">
      <c r="A2" s="47" t="s">
        <v>255</v>
      </c>
      <c r="B2" s="28"/>
      <c r="C2" s="28"/>
      <c r="D2" s="48"/>
      <c r="E2" s="48"/>
    </row>
    <row r="3" spans="1:9" ht="15" x14ac:dyDescent="0.2">
      <c r="A3" s="28"/>
      <c r="B3" s="28"/>
      <c r="C3" s="324" t="s">
        <v>136</v>
      </c>
      <c r="D3" s="324"/>
      <c r="E3" s="324"/>
      <c r="F3" s="324"/>
    </row>
    <row r="4" spans="1:9" s="2" customFormat="1" ht="15" x14ac:dyDescent="0.2">
      <c r="A4" s="49"/>
      <c r="B4" s="69"/>
      <c r="C4" s="69" t="s">
        <v>137</v>
      </c>
      <c r="D4" s="69" t="s">
        <v>138</v>
      </c>
      <c r="E4" s="69" t="s">
        <v>139</v>
      </c>
      <c r="F4" s="69" t="s">
        <v>71</v>
      </c>
      <c r="I4" s="235"/>
    </row>
    <row r="5" spans="1:9" s="2" customFormat="1" ht="15" x14ac:dyDescent="0.2">
      <c r="A5" s="49"/>
      <c r="B5" s="69" t="s">
        <v>140</v>
      </c>
      <c r="C5" s="69" t="s">
        <v>141</v>
      </c>
      <c r="D5" s="69" t="s">
        <v>141</v>
      </c>
      <c r="E5" s="69" t="s">
        <v>142</v>
      </c>
      <c r="F5" s="69"/>
      <c r="I5" s="236"/>
    </row>
    <row r="6" spans="1:9" s="2" customFormat="1" x14ac:dyDescent="0.2">
      <c r="A6" s="69" t="s">
        <v>78</v>
      </c>
      <c r="B6" s="69" t="s">
        <v>143</v>
      </c>
      <c r="C6" s="69" t="s">
        <v>144</v>
      </c>
      <c r="D6" s="69" t="s">
        <v>174</v>
      </c>
      <c r="E6" s="69" t="s">
        <v>144</v>
      </c>
      <c r="F6" s="69"/>
    </row>
    <row r="7" spans="1:9" ht="15" x14ac:dyDescent="0.2">
      <c r="A7" s="28"/>
      <c r="B7" s="28"/>
      <c r="C7" s="28"/>
      <c r="D7" s="28"/>
      <c r="E7" s="49"/>
      <c r="F7" s="28"/>
    </row>
    <row r="8" spans="1:9" ht="15" customHeight="1" x14ac:dyDescent="0.2">
      <c r="A8" s="78" t="s">
        <v>57</v>
      </c>
      <c r="B8" s="50" t="s">
        <v>145</v>
      </c>
      <c r="C8" s="53">
        <f>luna!E24+luna!K24+luna!Q24+luna!W24+luna!AC24+luna!AI24</f>
        <v>1176.2473616850298</v>
      </c>
      <c r="D8" s="53"/>
      <c r="E8" s="53"/>
      <c r="F8" s="53">
        <f>SUM(C8:E8)</f>
        <v>1176.2473616850298</v>
      </c>
    </row>
    <row r="9" spans="1:9" ht="15" customHeight="1" x14ac:dyDescent="0.2">
      <c r="A9" s="28"/>
      <c r="B9" s="50" t="s">
        <v>146</v>
      </c>
      <c r="C9" s="53"/>
      <c r="D9" s="53"/>
      <c r="E9" s="53">
        <f>'stock-dom-com-ind-evap'!C57</f>
        <v>10.47</v>
      </c>
      <c r="F9" s="53">
        <f>SUM(C9:E9)</f>
        <v>10.47</v>
      </c>
    </row>
    <row r="10" spans="1:9" ht="15" customHeight="1" x14ac:dyDescent="0.2">
      <c r="A10" s="28"/>
      <c r="B10" s="50" t="s">
        <v>138</v>
      </c>
      <c r="C10" s="53"/>
      <c r="D10" s="53">
        <f>M65</f>
        <v>264.99779810087688</v>
      </c>
      <c r="E10" s="53"/>
      <c r="F10" s="53">
        <f>SUM(C10:E10)</f>
        <v>264.99779810087688</v>
      </c>
    </row>
    <row r="11" spans="1:9" ht="15" customHeight="1" x14ac:dyDescent="0.2">
      <c r="A11" s="28"/>
      <c r="B11" s="50" t="s">
        <v>71</v>
      </c>
      <c r="C11" s="53"/>
      <c r="D11" s="53"/>
      <c r="E11" s="53"/>
      <c r="F11" s="53">
        <f>SUM(F8:F10)</f>
        <v>1451.7151597859067</v>
      </c>
    </row>
    <row r="12" spans="1:9" ht="15" customHeight="1" x14ac:dyDescent="0.2">
      <c r="A12" s="79" t="s">
        <v>377</v>
      </c>
      <c r="B12" s="50"/>
      <c r="C12" s="53"/>
      <c r="D12" s="53"/>
      <c r="E12" s="53"/>
      <c r="F12" s="54"/>
    </row>
    <row r="13" spans="1:9" ht="15" customHeight="1" x14ac:dyDescent="0.2">
      <c r="A13" s="78" t="s">
        <v>65</v>
      </c>
      <c r="B13" s="50" t="s">
        <v>145</v>
      </c>
      <c r="C13" s="53">
        <f>apachearagon!E24</f>
        <v>0</v>
      </c>
      <c r="D13" s="53"/>
      <c r="E13" s="53"/>
      <c r="F13" s="53">
        <f>SUM(C13:E13)</f>
        <v>0</v>
      </c>
    </row>
    <row r="14" spans="1:9" ht="15" customHeight="1" x14ac:dyDescent="0.2">
      <c r="A14" s="28"/>
      <c r="B14" s="50" t="s">
        <v>146</v>
      </c>
      <c r="C14" s="53"/>
      <c r="D14" s="53"/>
      <c r="E14" s="53">
        <f>'stock-dom-com-ind-evap'!C58</f>
        <v>4.38</v>
      </c>
      <c r="F14" s="53">
        <f>SUM(C14:E14)</f>
        <v>4.38</v>
      </c>
    </row>
    <row r="15" spans="1:9" ht="15" customHeight="1" x14ac:dyDescent="0.2">
      <c r="A15" s="28"/>
      <c r="B15" s="50" t="s">
        <v>138</v>
      </c>
      <c r="C15" s="53"/>
      <c r="D15" s="53">
        <f>M66</f>
        <v>59.803244444444452</v>
      </c>
      <c r="E15" s="53"/>
      <c r="F15" s="53">
        <f>SUM(C15:E15)</f>
        <v>59.803244444444452</v>
      </c>
    </row>
    <row r="16" spans="1:9" ht="15" customHeight="1" x14ac:dyDescent="0.2">
      <c r="A16" s="28"/>
      <c r="B16" s="50" t="s">
        <v>71</v>
      </c>
      <c r="C16" s="53"/>
      <c r="D16" s="53"/>
      <c r="E16" s="53"/>
      <c r="F16" s="53">
        <f>SUM(F13:F15)</f>
        <v>64.183244444444455</v>
      </c>
    </row>
    <row r="17" spans="1:6" ht="15" customHeight="1" x14ac:dyDescent="0.2">
      <c r="A17" s="79" t="s">
        <v>377</v>
      </c>
      <c r="B17" s="50"/>
      <c r="C17" s="53"/>
      <c r="D17" s="53"/>
      <c r="E17" s="53"/>
      <c r="F17" s="54"/>
    </row>
    <row r="18" spans="1:6" ht="15" customHeight="1" x14ac:dyDescent="0.2">
      <c r="A18" s="78" t="s">
        <v>59</v>
      </c>
      <c r="B18" s="50" t="s">
        <v>145</v>
      </c>
      <c r="C18" s="53">
        <f>reserve!E24+reserve!K24+reserve!Q24+reserve!W24+reserve!AC24+reserve!AI24+reserve!AO24</f>
        <v>3788.6143163884872</v>
      </c>
      <c r="D18" s="53"/>
      <c r="E18" s="53"/>
      <c r="F18" s="53">
        <f>SUM(C18:E18)</f>
        <v>3788.6143163884872</v>
      </c>
    </row>
    <row r="19" spans="1:6" ht="15" customHeight="1" x14ac:dyDescent="0.2">
      <c r="A19" s="28"/>
      <c r="B19" s="50" t="s">
        <v>146</v>
      </c>
      <c r="C19" s="53"/>
      <c r="D19" s="53"/>
      <c r="E19" s="53">
        <f>'stock-dom-com-ind-evap'!C59</f>
        <v>65.5</v>
      </c>
      <c r="F19" s="53">
        <f>SUM(C19:E19)</f>
        <v>65.5</v>
      </c>
    </row>
    <row r="20" spans="1:6" ht="15" customHeight="1" x14ac:dyDescent="0.2">
      <c r="A20" s="28"/>
      <c r="B20" s="50" t="s">
        <v>138</v>
      </c>
      <c r="C20" s="53"/>
      <c r="D20" s="53">
        <f>M67</f>
        <v>248.06519288644677</v>
      </c>
      <c r="E20" s="53"/>
      <c r="F20" s="53">
        <f>SUM(C20:E20)</f>
        <v>248.06519288644677</v>
      </c>
    </row>
    <row r="21" spans="1:6" ht="15" customHeight="1" x14ac:dyDescent="0.2">
      <c r="A21" s="28"/>
      <c r="B21" s="50" t="s">
        <v>71</v>
      </c>
      <c r="C21" s="53"/>
      <c r="D21" s="53"/>
      <c r="E21" s="53"/>
      <c r="F21" s="53">
        <f>SUM(F18:F20)</f>
        <v>4102.1795092749344</v>
      </c>
    </row>
    <row r="22" spans="1:6" ht="15" customHeight="1" x14ac:dyDescent="0.2">
      <c r="A22" s="79" t="s">
        <v>377</v>
      </c>
      <c r="B22" s="50"/>
      <c r="C22" s="53"/>
      <c r="D22" s="53"/>
      <c r="E22" s="53"/>
      <c r="F22" s="54"/>
    </row>
    <row r="23" spans="1:6" ht="15" customHeight="1" x14ac:dyDescent="0.2">
      <c r="A23" s="78" t="s">
        <v>60</v>
      </c>
      <c r="B23" s="50" t="s">
        <v>145</v>
      </c>
      <c r="C23" s="53">
        <f>+glenwood!K24+glenwood!Q24+glenwood!W24+glenwood!AC24+glenwood!AI24</f>
        <v>6998.0457568121037</v>
      </c>
      <c r="D23" s="53"/>
      <c r="E23" s="53"/>
      <c r="F23" s="53">
        <f>SUM(C23:E23)</f>
        <v>6998.0457568121037</v>
      </c>
    </row>
    <row r="24" spans="1:6" ht="15" customHeight="1" x14ac:dyDescent="0.2">
      <c r="A24" s="28"/>
      <c r="B24" s="50" t="s">
        <v>146</v>
      </c>
      <c r="C24" s="53">
        <f>glenwood!AI32</f>
        <v>116.58</v>
      </c>
      <c r="D24" s="53"/>
      <c r="E24" s="53">
        <f>'stock-dom-com-ind-evap'!C60</f>
        <v>50.25</v>
      </c>
      <c r="F24" s="53">
        <f>SUM(C24:E24)</f>
        <v>166.82999999999998</v>
      </c>
    </row>
    <row r="25" spans="1:6" ht="15" customHeight="1" x14ac:dyDescent="0.2">
      <c r="A25" s="28"/>
      <c r="B25" s="50" t="s">
        <v>138</v>
      </c>
      <c r="C25" s="53"/>
      <c r="D25" s="53">
        <f>M68</f>
        <v>1039.1685934821264</v>
      </c>
      <c r="E25" s="53"/>
      <c r="F25" s="53">
        <f>SUM(C25:E25)</f>
        <v>1039.1685934821264</v>
      </c>
    </row>
    <row r="26" spans="1:6" ht="15" customHeight="1" x14ac:dyDescent="0.2">
      <c r="A26" s="28"/>
      <c r="B26" s="50" t="s">
        <v>71</v>
      </c>
      <c r="C26" s="53"/>
      <c r="D26" s="53"/>
      <c r="E26" s="53"/>
      <c r="F26" s="53">
        <f>SUM(F23:F25)</f>
        <v>8204.0443502942308</v>
      </c>
    </row>
    <row r="27" spans="1:6" ht="15" customHeight="1" x14ac:dyDescent="0.2">
      <c r="A27" s="79" t="s">
        <v>377</v>
      </c>
      <c r="B27" s="50"/>
      <c r="C27" s="53"/>
      <c r="D27" s="53"/>
      <c r="E27" s="53"/>
      <c r="F27" s="53"/>
    </row>
    <row r="28" spans="1:6" ht="15" customHeight="1" x14ac:dyDescent="0.25">
      <c r="A28" s="30" t="s">
        <v>147</v>
      </c>
      <c r="B28" s="51"/>
      <c r="C28" s="55"/>
      <c r="D28" s="55"/>
      <c r="E28" s="55"/>
      <c r="F28" s="55">
        <f>F26+F21+F16+F11</f>
        <v>13822.122263799516</v>
      </c>
    </row>
    <row r="29" spans="1:6" ht="15" customHeight="1" x14ac:dyDescent="0.2">
      <c r="A29" s="28"/>
      <c r="B29" s="50"/>
      <c r="C29" s="53"/>
      <c r="D29" s="53"/>
      <c r="E29" s="53"/>
      <c r="F29" s="54"/>
    </row>
    <row r="30" spans="1:6" ht="15" customHeight="1" x14ac:dyDescent="0.2">
      <c r="A30" s="78" t="s">
        <v>148</v>
      </c>
      <c r="B30" s="50" t="s">
        <v>145</v>
      </c>
      <c r="C30" s="53">
        <f>cliffgila!E24+cliffgila!K24+cliffgila!Q24+cliffgila!AC24+cliffgila!AI24+cliffgila!AO24</f>
        <v>27236.214668529999</v>
      </c>
      <c r="D30" s="53"/>
      <c r="E30" s="53"/>
      <c r="F30" s="53">
        <f>SUM(C30:E30)</f>
        <v>27236.214668529999</v>
      </c>
    </row>
    <row r="31" spans="1:6" ht="15" customHeight="1" x14ac:dyDescent="0.2">
      <c r="A31" s="28"/>
      <c r="B31" s="50" t="s">
        <v>146</v>
      </c>
      <c r="C31" s="53">
        <f>cliffgila!V49</f>
        <v>262.45999999999998</v>
      </c>
      <c r="D31" s="53"/>
      <c r="E31" s="53">
        <f>'stock-dom-com-ind-evap'!C64</f>
        <v>7726.85</v>
      </c>
      <c r="F31" s="53">
        <f>SUM(C31:E31)</f>
        <v>7989.31</v>
      </c>
    </row>
    <row r="32" spans="1:6" ht="15" customHeight="1" x14ac:dyDescent="0.2">
      <c r="A32" s="28"/>
      <c r="B32" s="50" t="s">
        <v>138</v>
      </c>
      <c r="C32" s="53"/>
      <c r="D32" s="53">
        <f>M69</f>
        <v>3196.9016917960098</v>
      </c>
      <c r="E32" s="53"/>
      <c r="F32" s="53">
        <f>SUM(C32:E32)</f>
        <v>3196.9016917960098</v>
      </c>
    </row>
    <row r="33" spans="1:6" ht="15" customHeight="1" x14ac:dyDescent="0.2">
      <c r="A33" s="28"/>
      <c r="B33" s="50" t="s">
        <v>71</v>
      </c>
      <c r="C33" s="53"/>
      <c r="D33" s="53"/>
      <c r="E33" s="53"/>
      <c r="F33" s="53">
        <f>SUM(F30:F32)</f>
        <v>38422.426360326011</v>
      </c>
    </row>
    <row r="34" spans="1:6" ht="15" customHeight="1" x14ac:dyDescent="0.2">
      <c r="A34" s="79" t="s">
        <v>377</v>
      </c>
      <c r="B34" s="50"/>
      <c r="C34" s="53"/>
      <c r="D34" s="53"/>
      <c r="E34" s="53"/>
      <c r="F34" s="54"/>
    </row>
    <row r="35" spans="1:6" ht="15" customHeight="1" x14ac:dyDescent="0.2">
      <c r="A35" s="78" t="s">
        <v>61</v>
      </c>
      <c r="B35" s="50" t="s">
        <v>145</v>
      </c>
      <c r="C35" s="53">
        <f>uppergila!E24</f>
        <v>1324.3148198525</v>
      </c>
      <c r="D35" s="53"/>
      <c r="E35" s="53"/>
      <c r="F35" s="53">
        <f>SUM(C35:E35)</f>
        <v>1324.3148198525</v>
      </c>
    </row>
    <row r="36" spans="1:6" ht="15" customHeight="1" x14ac:dyDescent="0.2">
      <c r="A36" s="28"/>
      <c r="B36" s="50" t="s">
        <v>146</v>
      </c>
      <c r="C36" s="53"/>
      <c r="D36" s="53"/>
      <c r="E36" s="53">
        <f>'stock-dom-com-ind-evap'!C63</f>
        <v>127.43</v>
      </c>
      <c r="F36" s="53">
        <f>SUM(C36:E36)</f>
        <v>127.43</v>
      </c>
    </row>
    <row r="37" spans="1:6" ht="15" customHeight="1" x14ac:dyDescent="0.2">
      <c r="A37" s="28"/>
      <c r="B37" s="50" t="s">
        <v>138</v>
      </c>
      <c r="C37" s="53"/>
      <c r="D37" s="53">
        <f>M70</f>
        <v>291.07450995158689</v>
      </c>
      <c r="E37" s="53"/>
      <c r="F37" s="53">
        <f>SUM(C37:E37)</f>
        <v>291.07450995158689</v>
      </c>
    </row>
    <row r="38" spans="1:6" ht="15" customHeight="1" x14ac:dyDescent="0.2">
      <c r="A38" s="28"/>
      <c r="B38" s="50" t="s">
        <v>71</v>
      </c>
      <c r="C38" s="53"/>
      <c r="D38" s="53"/>
      <c r="E38" s="53"/>
      <c r="F38" s="53">
        <f>SUM(F35:F37)</f>
        <v>1742.8193298040869</v>
      </c>
    </row>
    <row r="39" spans="1:6" ht="15" customHeight="1" x14ac:dyDescent="0.2">
      <c r="A39" s="79" t="s">
        <v>377</v>
      </c>
      <c r="B39" s="50"/>
      <c r="C39" s="53"/>
      <c r="D39" s="53"/>
      <c r="E39" s="53"/>
      <c r="F39" s="54"/>
    </row>
    <row r="40" spans="1:6" ht="15" customHeight="1" x14ac:dyDescent="0.2">
      <c r="A40" s="78" t="s">
        <v>63</v>
      </c>
      <c r="B40" s="50" t="s">
        <v>145</v>
      </c>
      <c r="C40" s="53">
        <f>redrock!E24</f>
        <v>758.69066342250017</v>
      </c>
      <c r="D40" s="53"/>
      <c r="E40" s="53"/>
      <c r="F40" s="53">
        <f>SUM(C40:E40)</f>
        <v>758.69066342250017</v>
      </c>
    </row>
    <row r="41" spans="1:6" ht="15" customHeight="1" x14ac:dyDescent="0.2">
      <c r="A41" s="28"/>
      <c r="B41" s="50" t="s">
        <v>146</v>
      </c>
      <c r="C41" s="53">
        <f>redrock!W42</f>
        <v>2.27</v>
      </c>
      <c r="D41" s="53"/>
      <c r="E41" s="53">
        <f>'stock-dom-com-ind-evap'!C65</f>
        <v>9.99</v>
      </c>
      <c r="F41" s="53">
        <f>SUM(C41:E41)</f>
        <v>12.26</v>
      </c>
    </row>
    <row r="42" spans="1:6" ht="15" customHeight="1" x14ac:dyDescent="0.2">
      <c r="A42" s="28"/>
      <c r="B42" s="50" t="s">
        <v>138</v>
      </c>
      <c r="C42" s="53"/>
      <c r="D42" s="53">
        <f>M71</f>
        <v>80.442182615726992</v>
      </c>
      <c r="E42" s="53"/>
      <c r="F42" s="53">
        <f>SUM(C42:E42)</f>
        <v>80.442182615726992</v>
      </c>
    </row>
    <row r="43" spans="1:6" ht="15" customHeight="1" x14ac:dyDescent="0.2">
      <c r="A43" s="28"/>
      <c r="B43" s="50" t="s">
        <v>71</v>
      </c>
      <c r="C43" s="53"/>
      <c r="D43" s="53"/>
      <c r="E43" s="53"/>
      <c r="F43" s="53">
        <f>SUM(F40:F42)</f>
        <v>851.39284603822716</v>
      </c>
    </row>
    <row r="44" spans="1:6" ht="15" customHeight="1" x14ac:dyDescent="0.2">
      <c r="A44" s="79" t="s">
        <v>377</v>
      </c>
      <c r="B44" s="50"/>
      <c r="C44" s="53"/>
      <c r="D44" s="53"/>
      <c r="E44" s="53"/>
      <c r="F44" s="53"/>
    </row>
    <row r="45" spans="1:6" ht="15" customHeight="1" x14ac:dyDescent="0.25">
      <c r="A45" s="30" t="s">
        <v>149</v>
      </c>
      <c r="B45" s="51"/>
      <c r="C45" s="55"/>
      <c r="D45" s="55"/>
      <c r="E45" s="55"/>
      <c r="F45" s="55">
        <f>F43+F38+F33</f>
        <v>41016.638536168328</v>
      </c>
    </row>
    <row r="46" spans="1:6" ht="15" customHeight="1" x14ac:dyDescent="0.2">
      <c r="A46" s="28"/>
      <c r="B46" s="50"/>
      <c r="C46" s="53"/>
      <c r="D46" s="53"/>
      <c r="E46" s="53"/>
      <c r="F46" s="54"/>
    </row>
    <row r="47" spans="1:6" ht="15" customHeight="1" x14ac:dyDescent="0.2">
      <c r="A47" s="78" t="s">
        <v>42</v>
      </c>
      <c r="B47" s="50" t="s">
        <v>145</v>
      </c>
      <c r="C47" s="54"/>
      <c r="D47" s="54"/>
      <c r="E47" s="54"/>
      <c r="F47" s="53">
        <f>SUM(C47:E47)</f>
        <v>0</v>
      </c>
    </row>
    <row r="48" spans="1:6" ht="15" customHeight="1" x14ac:dyDescent="0.2">
      <c r="A48" s="28"/>
      <c r="B48" s="50" t="s">
        <v>146</v>
      </c>
      <c r="C48" s="53">
        <f>virden!V42</f>
        <v>1.31</v>
      </c>
      <c r="D48" s="53"/>
      <c r="E48" s="53">
        <f>'stock-dom-com-ind-evap'!C70</f>
        <v>18.5</v>
      </c>
      <c r="F48" s="53">
        <f>SUM(C48:E48)</f>
        <v>19.809999999999999</v>
      </c>
    </row>
    <row r="49" spans="1:13" ht="15" customHeight="1" x14ac:dyDescent="0.2">
      <c r="A49" s="28"/>
      <c r="B49" s="50" t="s">
        <v>138</v>
      </c>
      <c r="C49" s="53"/>
      <c r="D49" s="53">
        <f>M72-C48</f>
        <v>122.93096969696971</v>
      </c>
      <c r="E49" s="53"/>
      <c r="F49" s="53">
        <f>SUM(C49:E49)</f>
        <v>122.93096969696971</v>
      </c>
    </row>
    <row r="50" spans="1:13" ht="15" customHeight="1" x14ac:dyDescent="0.2">
      <c r="A50" s="28"/>
      <c r="B50" s="50" t="s">
        <v>71</v>
      </c>
      <c r="C50" s="53"/>
      <c r="D50" s="53"/>
      <c r="E50" s="53"/>
      <c r="F50" s="53">
        <f>SUM(F47:F49)</f>
        <v>142.7409696969697</v>
      </c>
    </row>
    <row r="51" spans="1:13" ht="15" customHeight="1" x14ac:dyDescent="0.2">
      <c r="A51" s="70" t="s">
        <v>353</v>
      </c>
      <c r="B51" s="50"/>
      <c r="C51" s="53"/>
      <c r="D51" s="53"/>
      <c r="E51" s="53"/>
      <c r="F51" s="53"/>
    </row>
    <row r="52" spans="1:13" ht="15" customHeight="1" x14ac:dyDescent="0.25">
      <c r="A52" s="30" t="s">
        <v>150</v>
      </c>
      <c r="B52" s="51"/>
      <c r="C52" s="55"/>
      <c r="D52" s="55"/>
      <c r="E52" s="55"/>
      <c r="F52" s="55">
        <f>F50</f>
        <v>142.7409696969697</v>
      </c>
    </row>
    <row r="53" spans="1:13" ht="15" customHeight="1" x14ac:dyDescent="0.2">
      <c r="B53" s="50"/>
      <c r="C53" s="53"/>
      <c r="D53" s="53"/>
      <c r="E53" s="53"/>
      <c r="F53" s="54"/>
    </row>
    <row r="54" spans="1:13" ht="15" customHeight="1" x14ac:dyDescent="0.2">
      <c r="A54" s="78" t="s">
        <v>44</v>
      </c>
      <c r="B54" s="50" t="s">
        <v>145</v>
      </c>
      <c r="C54" s="54"/>
      <c r="D54" s="54"/>
      <c r="E54" s="54"/>
      <c r="F54" s="53">
        <f>SUM(C54:E54)</f>
        <v>0</v>
      </c>
    </row>
    <row r="55" spans="1:13" ht="15" customHeight="1" x14ac:dyDescent="0.2">
      <c r="A55" s="28"/>
      <c r="B55" s="50" t="s">
        <v>146</v>
      </c>
      <c r="C55" s="53">
        <f>sansimon!V56</f>
        <v>532.88</v>
      </c>
      <c r="D55" s="53"/>
      <c r="E55" s="53">
        <f>'stock-dom-com-ind-evap'!C68</f>
        <v>18.54</v>
      </c>
      <c r="F55" s="53">
        <f>SUM(C55:E55)</f>
        <v>551.41999999999996</v>
      </c>
    </row>
    <row r="56" spans="1:13" ht="15" customHeight="1" x14ac:dyDescent="0.2">
      <c r="A56" s="28"/>
      <c r="B56" s="50" t="s">
        <v>138</v>
      </c>
      <c r="C56" s="53"/>
      <c r="D56" s="53">
        <f>IF(M73&gt;C55,M73-C55,0)</f>
        <v>3019.0355606060607</v>
      </c>
      <c r="E56" s="53"/>
      <c r="F56" s="53">
        <f>SUM(C56:E56)</f>
        <v>3019.0355606060607</v>
      </c>
    </row>
    <row r="57" spans="1:13" ht="15" customHeight="1" x14ac:dyDescent="0.2">
      <c r="A57" s="28"/>
      <c r="B57" s="50" t="s">
        <v>71</v>
      </c>
      <c r="C57" s="54"/>
      <c r="D57" s="54"/>
      <c r="E57" s="54"/>
      <c r="F57" s="53">
        <f>SUM(F54:F56)</f>
        <v>3570.4555606060608</v>
      </c>
    </row>
    <row r="58" spans="1:13" ht="15" customHeight="1" x14ac:dyDescent="0.25">
      <c r="A58" s="30" t="s">
        <v>151</v>
      </c>
      <c r="B58" s="30"/>
      <c r="C58" s="56"/>
      <c r="D58" s="56"/>
      <c r="E58" s="56"/>
      <c r="F58" s="55">
        <f>F57</f>
        <v>3570.4555606060608</v>
      </c>
    </row>
    <row r="59" spans="1:13" x14ac:dyDescent="0.2">
      <c r="A59" s="70" t="s">
        <v>349</v>
      </c>
      <c r="C59" s="57"/>
    </row>
    <row r="61" spans="1:13" ht="18" x14ac:dyDescent="0.2">
      <c r="A61" s="325" t="s">
        <v>254</v>
      </c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</row>
    <row r="62" spans="1:13" ht="15" x14ac:dyDescent="0.2">
      <c r="D62" s="53"/>
    </row>
    <row r="63" spans="1:13" s="2" customFormat="1" ht="75" x14ac:dyDescent="0.2">
      <c r="A63" s="110" t="s">
        <v>182</v>
      </c>
      <c r="B63" s="110" t="s">
        <v>6</v>
      </c>
      <c r="C63" s="108" t="s">
        <v>222</v>
      </c>
      <c r="D63" s="110" t="s">
        <v>231</v>
      </c>
      <c r="E63" s="110" t="s">
        <v>232</v>
      </c>
      <c r="F63" s="110" t="s">
        <v>224</v>
      </c>
      <c r="G63" s="108" t="s">
        <v>184</v>
      </c>
      <c r="H63" s="110" t="s">
        <v>234</v>
      </c>
      <c r="I63" s="110" t="s">
        <v>233</v>
      </c>
      <c r="J63" s="110" t="s">
        <v>229</v>
      </c>
      <c r="K63" s="110" t="s">
        <v>225</v>
      </c>
      <c r="L63" s="110" t="s">
        <v>230</v>
      </c>
      <c r="M63" s="110" t="s">
        <v>228</v>
      </c>
    </row>
    <row r="64" spans="1:13" ht="15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spans="1:13" ht="15" x14ac:dyDescent="0.2">
      <c r="A65" s="28" t="s">
        <v>57</v>
      </c>
      <c r="B65" s="29">
        <f>luna!C29</f>
        <v>1.3891666666666669</v>
      </c>
      <c r="C65" s="29">
        <f>luna!C24-luna!D24</f>
        <v>2.7658333333333331</v>
      </c>
      <c r="D65" s="29">
        <f>luna!M31</f>
        <v>21.92</v>
      </c>
      <c r="E65" s="29">
        <f>luna!M29</f>
        <v>15.01</v>
      </c>
      <c r="F65" s="111" t="str">
        <f>luna!D3</f>
        <v>0.30</v>
      </c>
      <c r="G65" s="29">
        <f>luna!J32</f>
        <v>0.26701291563774782</v>
      </c>
      <c r="H65" s="29">
        <f>((E65*B65/F65)+(D65*C65/F65))*(1-G65)</f>
        <v>199.07552537360417</v>
      </c>
      <c r="I65" s="29">
        <f>luna!P31</f>
        <v>0</v>
      </c>
      <c r="J65" s="29">
        <f>luna!P29</f>
        <v>26.1</v>
      </c>
      <c r="K65" s="28">
        <v>0.55000000000000004</v>
      </c>
      <c r="L65" s="112">
        <f t="shared" ref="L65:L73" si="0">((J65*B65)+(I65*C65))/K65</f>
        <v>65.922272727272727</v>
      </c>
      <c r="M65" s="112">
        <f t="shared" ref="M65:M73" si="1">L65+H65</f>
        <v>264.99779810087688</v>
      </c>
    </row>
    <row r="66" spans="1:13" ht="15" x14ac:dyDescent="0.2">
      <c r="A66" s="28" t="s">
        <v>292</v>
      </c>
      <c r="B66" s="29">
        <f>apachearagon!C28</f>
        <v>1.5091666666666668</v>
      </c>
      <c r="C66" s="29">
        <f>apachearagon!C24-apachearagon!D24</f>
        <v>3.3133333333333344</v>
      </c>
      <c r="D66" s="29">
        <f>apachearagon!P30</f>
        <v>0</v>
      </c>
      <c r="E66" s="29">
        <f>apachearagon!P28</f>
        <v>14.86</v>
      </c>
      <c r="F66" s="111">
        <f>apachearagon!D3</f>
        <v>0.375</v>
      </c>
      <c r="G66" s="166">
        <v>0</v>
      </c>
      <c r="H66" s="29">
        <f t="shared" ref="H66:H71" si="2">((E66*B66/F66)+(D66*C66/F66))*(1-G66)</f>
        <v>59.803244444444452</v>
      </c>
      <c r="I66" s="29">
        <v>0</v>
      </c>
      <c r="J66" s="29">
        <v>0</v>
      </c>
      <c r="K66" s="28">
        <v>0.55000000000000004</v>
      </c>
      <c r="L66" s="112">
        <f t="shared" si="0"/>
        <v>0</v>
      </c>
      <c r="M66" s="112">
        <f t="shared" si="1"/>
        <v>59.803244444444452</v>
      </c>
    </row>
    <row r="67" spans="1:13" ht="15" x14ac:dyDescent="0.2">
      <c r="A67" s="28" t="s">
        <v>59</v>
      </c>
      <c r="B67" s="29">
        <f>reserve!C29</f>
        <v>1.6466666666666665</v>
      </c>
      <c r="C67" s="29">
        <f>reserve!C24-reserve!D24</f>
        <v>3.5166666666666666</v>
      </c>
      <c r="D67" s="29">
        <f>reserve!M31</f>
        <v>7.35</v>
      </c>
      <c r="E67" s="29">
        <f>reserve!M29</f>
        <v>79.430000000000007</v>
      </c>
      <c r="F67" s="111">
        <f>reserve!D3</f>
        <v>0.375</v>
      </c>
      <c r="G67" s="29">
        <f>reserve!J32</f>
        <v>0.62409683700384866</v>
      </c>
      <c r="H67" s="29">
        <f t="shared" si="2"/>
        <v>157.0194959167498</v>
      </c>
      <c r="I67" s="29">
        <f>reserve!P31</f>
        <v>0</v>
      </c>
      <c r="J67" s="29">
        <f>reserve!P29</f>
        <v>30.41</v>
      </c>
      <c r="K67" s="28">
        <v>0.55000000000000004</v>
      </c>
      <c r="L67" s="112">
        <f t="shared" si="0"/>
        <v>91.045696969696948</v>
      </c>
      <c r="M67" s="112">
        <f t="shared" si="1"/>
        <v>248.06519288644677</v>
      </c>
    </row>
    <row r="68" spans="1:13" ht="15" x14ac:dyDescent="0.2">
      <c r="A68" s="28" t="s">
        <v>60</v>
      </c>
      <c r="B68" s="29">
        <f>glenwood!C29</f>
        <v>2.250833333333333</v>
      </c>
      <c r="C68" s="29">
        <f>glenwood!C24-glenwood!D24</f>
        <v>4.7950000000000008</v>
      </c>
      <c r="D68" s="29">
        <f>glenwood!M31</f>
        <v>5.7</v>
      </c>
      <c r="E68" s="29">
        <f>glenwood!M29</f>
        <v>175.25</v>
      </c>
      <c r="F68" s="111">
        <f>glenwood!D3</f>
        <v>0.41</v>
      </c>
      <c r="G68" s="29">
        <f>glenwood!J32</f>
        <v>0.30474151909339053</v>
      </c>
      <c r="H68" s="29">
        <f t="shared" si="2"/>
        <v>715.25147227000525</v>
      </c>
      <c r="I68" s="29">
        <f>glenwood!P31</f>
        <v>0.08</v>
      </c>
      <c r="J68" s="29">
        <f>glenwood!P29</f>
        <v>78.98</v>
      </c>
      <c r="K68" s="28">
        <v>0.55000000000000004</v>
      </c>
      <c r="L68" s="112">
        <f t="shared" si="0"/>
        <v>323.91712121212117</v>
      </c>
      <c r="M68" s="112">
        <f>L68+H68</f>
        <v>1039.1685934821264</v>
      </c>
    </row>
    <row r="69" spans="1:13" ht="15" x14ac:dyDescent="0.2">
      <c r="A69" s="28" t="s">
        <v>183</v>
      </c>
      <c r="B69" s="29">
        <f>cliffgila!C29</f>
        <v>2.2783333333333338</v>
      </c>
      <c r="C69" s="29">
        <f>cliffgila!C24-cliffgila!D24</f>
        <v>4.8833333333333346</v>
      </c>
      <c r="D69" s="29">
        <f>cliffgila!M31</f>
        <v>66.23</v>
      </c>
      <c r="E69" s="29">
        <f>cliffgila!M29</f>
        <v>307.86</v>
      </c>
      <c r="F69" s="111">
        <f>cliffgila!D3</f>
        <v>0.41</v>
      </c>
      <c r="G69" s="29">
        <f>cliffgila!J32</f>
        <v>0</v>
      </c>
      <c r="H69" s="29">
        <f t="shared" si="2"/>
        <v>2499.5874796747976</v>
      </c>
      <c r="I69" s="29">
        <f>cliffgila!P31</f>
        <v>1.01</v>
      </c>
      <c r="J69" s="29">
        <f>cliffgila!P29</f>
        <v>166.17</v>
      </c>
      <c r="K69" s="28">
        <v>0.55000000000000004</v>
      </c>
      <c r="L69" s="112">
        <f t="shared" si="0"/>
        <v>697.31421212121211</v>
      </c>
      <c r="M69" s="112">
        <f t="shared" si="1"/>
        <v>3196.9016917960098</v>
      </c>
    </row>
    <row r="70" spans="1:13" ht="15" x14ac:dyDescent="0.2">
      <c r="A70" s="28" t="s">
        <v>61</v>
      </c>
      <c r="B70" s="29">
        <f>uppergila!C28</f>
        <v>1.8200000000000003</v>
      </c>
      <c r="C70" s="29">
        <f>uppergila!C24-uppergila!D24</f>
        <v>2.9449999999999994</v>
      </c>
      <c r="D70" s="29">
        <f>uppergila!M30</f>
        <v>2.42</v>
      </c>
      <c r="E70" s="29">
        <f>uppergila!M28</f>
        <v>29.35</v>
      </c>
      <c r="F70" s="111">
        <f>uppergila!D3</f>
        <v>0.33800000000000002</v>
      </c>
      <c r="G70" s="29">
        <f>uppergila!J31</f>
        <v>0</v>
      </c>
      <c r="H70" s="29">
        <f t="shared" si="2"/>
        <v>179.12396449704141</v>
      </c>
      <c r="I70" s="29">
        <f>uppergila!P30</f>
        <v>1.28</v>
      </c>
      <c r="J70" s="29">
        <f>uppergila!P28</f>
        <v>31.76</v>
      </c>
      <c r="K70" s="28">
        <v>0.55000000000000004</v>
      </c>
      <c r="L70" s="112">
        <f t="shared" si="0"/>
        <v>111.95054545454546</v>
      </c>
      <c r="M70" s="112">
        <f t="shared" si="1"/>
        <v>291.07450995158689</v>
      </c>
    </row>
    <row r="71" spans="1:13" ht="15" x14ac:dyDescent="0.2">
      <c r="A71" s="28" t="s">
        <v>63</v>
      </c>
      <c r="B71" s="29">
        <f>redrock!C28</f>
        <v>2.9016666666666668</v>
      </c>
      <c r="C71" s="29">
        <f>redrock!C24-redrock!D24</f>
        <v>5.2066666666666679</v>
      </c>
      <c r="D71" s="29">
        <f>redrock!L30</f>
        <v>0</v>
      </c>
      <c r="E71" s="29">
        <f>redrock!L28</f>
        <v>19.55</v>
      </c>
      <c r="F71" s="111">
        <f>redrock!D3</f>
        <v>0.441</v>
      </c>
      <c r="G71" s="29">
        <f>redrock!J31</f>
        <v>0.38858746654476128</v>
      </c>
      <c r="H71" s="29">
        <f t="shared" si="2"/>
        <v>78.64842503996941</v>
      </c>
      <c r="I71" s="29">
        <f>redrock!O30</f>
        <v>0</v>
      </c>
      <c r="J71" s="29">
        <f>redrock!O28</f>
        <v>0.34</v>
      </c>
      <c r="K71" s="28">
        <v>0.55000000000000004</v>
      </c>
      <c r="L71" s="112">
        <f t="shared" si="0"/>
        <v>1.7937575757575759</v>
      </c>
      <c r="M71" s="112">
        <f t="shared" si="1"/>
        <v>80.442182615726992</v>
      </c>
    </row>
    <row r="72" spans="1:13" ht="15" x14ac:dyDescent="0.2">
      <c r="A72" s="28" t="s">
        <v>311</v>
      </c>
      <c r="B72" s="29">
        <f>virden!C28</f>
        <v>2.8283333333333336</v>
      </c>
      <c r="C72" s="29">
        <f>virden!C23-virden!D23</f>
        <v>5.3341666666666674</v>
      </c>
      <c r="D72" s="29"/>
      <c r="E72" s="29"/>
      <c r="F72" s="111"/>
      <c r="G72" s="29"/>
      <c r="H72" s="112"/>
      <c r="I72" s="29">
        <f>virden!P30</f>
        <v>0</v>
      </c>
      <c r="J72" s="29">
        <f>virden!P28</f>
        <v>24.16</v>
      </c>
      <c r="K72" s="28">
        <v>0.55000000000000004</v>
      </c>
      <c r="L72" s="112">
        <f t="shared" si="0"/>
        <v>124.24096969696971</v>
      </c>
      <c r="M72" s="112">
        <f t="shared" si="1"/>
        <v>124.24096969696971</v>
      </c>
    </row>
    <row r="73" spans="1:13" ht="15" x14ac:dyDescent="0.2">
      <c r="A73" s="28" t="s">
        <v>374</v>
      </c>
      <c r="B73" s="90">
        <f>sansimon!C28</f>
        <v>3.1191666666666666</v>
      </c>
      <c r="C73" s="29">
        <f>sansimon!C23-sansimon!D23</f>
        <v>6.043333333333333</v>
      </c>
      <c r="D73" s="28"/>
      <c r="E73" s="28"/>
      <c r="F73" s="28"/>
      <c r="G73" s="28"/>
      <c r="H73" s="28"/>
      <c r="I73" s="29">
        <f>sansimon!O30</f>
        <v>0.38</v>
      </c>
      <c r="J73" s="29">
        <f>sansimon!O28</f>
        <v>625.57000000000005</v>
      </c>
      <c r="K73" s="28">
        <v>0.55000000000000004</v>
      </c>
      <c r="L73" s="112">
        <f t="shared" si="0"/>
        <v>3551.9155606060608</v>
      </c>
      <c r="M73" s="112">
        <f t="shared" si="1"/>
        <v>3551.9155606060608</v>
      </c>
    </row>
    <row r="74" spans="1:13" ht="15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</row>
    <row r="75" spans="1:13" ht="15" x14ac:dyDescent="0.2">
      <c r="A75" s="28" t="s">
        <v>226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</row>
    <row r="76" spans="1:13" ht="15" x14ac:dyDescent="0.2">
      <c r="A76" s="28" t="s">
        <v>227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</row>
    <row r="77" spans="1:13" ht="15" x14ac:dyDescent="0.2">
      <c r="A77" s="28" t="s">
        <v>293</v>
      </c>
    </row>
    <row r="78" spans="1:13" ht="15" x14ac:dyDescent="0.2">
      <c r="A78" s="28" t="s">
        <v>312</v>
      </c>
    </row>
  </sheetData>
  <sheetProtection algorithmName="SHA-512" hashValue="ld0AFvUdbdKvWQGK/BXSoh84c70Q3w6xPBxGn8BH1LmTIkNwKOhnIZIxKeZIykfGfhU3dQze3z/NVUyNRwKwJA==" saltValue="cULZ8sQCnMooe3HfRstbtg==" spinCount="100000" sheet="1" objects="1" scenarios="1" formatColumns="0"/>
  <mergeCells count="2">
    <mergeCell ref="C3:F3"/>
    <mergeCell ref="A61:L61"/>
  </mergeCells>
  <phoneticPr fontId="0" type="noConversion"/>
  <printOptions horizontalCentered="1" gridLines="1"/>
  <pageMargins left="0.75" right="0.25" top="0.75" bottom="0.75" header="0.5" footer="0.5"/>
  <pageSetup scale="61" orientation="portrait" r:id="rId1"/>
  <headerFooter alignWithMargins="0">
    <oddHeader>&amp;L&amp;D</oddHeader>
    <oddFooter>&amp;L&amp;F&amp;R&amp;A</oddFooter>
  </headerFooter>
  <rowBreaks count="1" manualBreakCount="1">
    <brk id="60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S63"/>
  <sheetViews>
    <sheetView zoomScale="85" zoomScaleNormal="85" zoomScaleSheetLayoutView="75" workbookViewId="0">
      <selection activeCell="H16" sqref="H16"/>
    </sheetView>
  </sheetViews>
  <sheetFormatPr defaultColWidth="9.140625" defaultRowHeight="15" x14ac:dyDescent="0.2"/>
  <cols>
    <col min="1" max="1" width="28.28515625" style="28" customWidth="1"/>
    <col min="2" max="34" width="10.7109375" style="28" customWidth="1"/>
    <col min="35" max="35" width="7.42578125" style="28" customWidth="1"/>
    <col min="36" max="36" width="7.140625" style="28" bestFit="1" customWidth="1"/>
    <col min="37" max="37" width="8.7109375" style="28" customWidth="1"/>
    <col min="38" max="39" width="8.7109375" style="28" bestFit="1" customWidth="1"/>
    <col min="40" max="40" width="9" style="28" customWidth="1"/>
    <col min="41" max="207" width="9.7109375" style="28" customWidth="1"/>
    <col min="208" max="16384" width="9.140625" style="28"/>
  </cols>
  <sheetData>
    <row r="1" spans="1:45" ht="18" x14ac:dyDescent="0.25">
      <c r="A1" s="38" t="s">
        <v>261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236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5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235"/>
      <c r="R2" s="93"/>
      <c r="S2" s="235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93"/>
    </row>
    <row r="3" spans="1:45" s="29" customFormat="1" ht="20.65" customHeight="1" x14ac:dyDescent="0.25">
      <c r="A3" s="298" t="s">
        <v>165</v>
      </c>
      <c r="B3" s="298"/>
      <c r="C3" s="299"/>
      <c r="D3" s="33" t="s">
        <v>11</v>
      </c>
      <c r="E3" s="29" t="s">
        <v>166</v>
      </c>
      <c r="J3" s="32"/>
      <c r="O3" s="32"/>
      <c r="Q3" s="236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 spans="1:45" ht="18.75" x14ac:dyDescent="0.25">
      <c r="A4" s="65" t="s">
        <v>203</v>
      </c>
      <c r="B4" s="65"/>
      <c r="C4" s="29"/>
      <c r="F4" s="3"/>
      <c r="G4" s="27"/>
      <c r="H4" s="3"/>
      <c r="I4" s="3"/>
      <c r="J4" s="3"/>
      <c r="K4" s="3"/>
      <c r="L4" s="3"/>
      <c r="M4" s="27"/>
      <c r="N4" s="3"/>
      <c r="O4" s="3"/>
      <c r="P4" s="3"/>
      <c r="Q4" s="3"/>
      <c r="R4" s="3"/>
      <c r="S4" s="27"/>
      <c r="T4" s="3"/>
      <c r="U4" s="3"/>
      <c r="V4" s="29"/>
      <c r="W4" s="29"/>
      <c r="X4" s="29"/>
      <c r="Y4" s="32"/>
      <c r="Z4" s="3"/>
      <c r="AG4" s="29"/>
    </row>
    <row r="5" spans="1:45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84"/>
      <c r="AH5" s="81"/>
      <c r="AI5" s="81"/>
      <c r="AJ5" s="81"/>
      <c r="AK5" s="81"/>
      <c r="AL5" s="81"/>
      <c r="AM5" s="81"/>
      <c r="AN5" s="81"/>
      <c r="AO5" s="81"/>
    </row>
    <row r="6" spans="1:45" s="29" customFormat="1" ht="15.75" customHeight="1" x14ac:dyDescent="0.25">
      <c r="A6" s="27"/>
      <c r="B6" s="27"/>
      <c r="D6" s="27"/>
      <c r="E6" s="303" t="s">
        <v>206</v>
      </c>
      <c r="F6" s="304"/>
      <c r="G6" s="304"/>
      <c r="H6" s="304"/>
      <c r="I6" s="304"/>
      <c r="J6" s="304"/>
      <c r="K6" s="300" t="s">
        <v>207</v>
      </c>
      <c r="L6" s="300"/>
      <c r="M6" s="300"/>
      <c r="N6" s="300"/>
      <c r="O6" s="300"/>
      <c r="P6" s="300"/>
      <c r="Q6" s="301" t="s">
        <v>208</v>
      </c>
      <c r="R6" s="301"/>
      <c r="S6" s="301"/>
      <c r="T6" s="301"/>
      <c r="U6" s="301"/>
      <c r="V6" s="301"/>
      <c r="W6" s="300" t="s">
        <v>209</v>
      </c>
      <c r="X6" s="300"/>
      <c r="Y6" s="300"/>
      <c r="Z6" s="300"/>
      <c r="AA6" s="300"/>
      <c r="AB6" s="300"/>
      <c r="AC6" s="301" t="s">
        <v>296</v>
      </c>
      <c r="AD6" s="301"/>
      <c r="AE6" s="301"/>
      <c r="AF6" s="301"/>
      <c r="AG6" s="301"/>
      <c r="AH6" s="301"/>
      <c r="AI6" s="49"/>
      <c r="AJ6" s="302"/>
      <c r="AK6" s="302"/>
      <c r="AL6" s="302"/>
      <c r="AM6" s="302"/>
      <c r="AN6" s="302"/>
      <c r="AO6" s="69"/>
      <c r="AP6" s="69"/>
      <c r="AQ6" s="69"/>
    </row>
    <row r="7" spans="1:45" s="29" customFormat="1" x14ac:dyDescent="0.2">
      <c r="F7" s="249">
        <v>1.22</v>
      </c>
      <c r="G7" s="82" t="s">
        <v>185</v>
      </c>
      <c r="H7" s="82"/>
      <c r="I7" s="82"/>
      <c r="L7" s="249">
        <v>1.25</v>
      </c>
      <c r="M7" s="82" t="s">
        <v>185</v>
      </c>
      <c r="N7" s="82"/>
      <c r="O7" s="82"/>
      <c r="R7" s="249">
        <v>0</v>
      </c>
      <c r="S7" s="82" t="s">
        <v>185</v>
      </c>
      <c r="T7" s="82"/>
      <c r="U7" s="82"/>
      <c r="X7" s="249">
        <v>0.06</v>
      </c>
      <c r="Y7" s="29" t="s">
        <v>333</v>
      </c>
      <c r="Z7" s="82"/>
      <c r="AA7" s="82"/>
      <c r="AD7" s="249">
        <v>0</v>
      </c>
      <c r="AE7" s="82" t="s">
        <v>185</v>
      </c>
      <c r="AF7" s="82"/>
      <c r="AG7" s="82"/>
      <c r="AJ7" s="35"/>
      <c r="AK7" s="82"/>
      <c r="AL7" s="82"/>
      <c r="AM7" s="82"/>
      <c r="AO7" s="35"/>
      <c r="AP7" s="82"/>
      <c r="AQ7" s="82"/>
      <c r="AR7" s="82"/>
    </row>
    <row r="8" spans="1:45" s="29" customFormat="1" x14ac:dyDescent="0.2">
      <c r="F8" s="35">
        <v>0</v>
      </c>
      <c r="G8" s="82" t="s">
        <v>205</v>
      </c>
      <c r="H8" s="82"/>
      <c r="I8" s="82"/>
      <c r="L8" s="35">
        <v>0</v>
      </c>
      <c r="M8" s="82" t="s">
        <v>205</v>
      </c>
      <c r="N8" s="82"/>
      <c r="O8" s="82"/>
      <c r="R8" s="35">
        <v>0</v>
      </c>
      <c r="S8" s="82" t="s">
        <v>205</v>
      </c>
      <c r="T8" s="82"/>
      <c r="U8" s="82"/>
      <c r="X8" s="35">
        <v>0</v>
      </c>
      <c r="Y8" s="82" t="s">
        <v>205</v>
      </c>
      <c r="Z8" s="82"/>
      <c r="AA8" s="82"/>
      <c r="AD8" s="35">
        <v>0</v>
      </c>
      <c r="AE8" s="82" t="s">
        <v>205</v>
      </c>
      <c r="AF8" s="82"/>
      <c r="AG8" s="82"/>
      <c r="AJ8" s="35"/>
      <c r="AK8" s="82"/>
      <c r="AL8" s="82"/>
      <c r="AM8" s="82"/>
      <c r="AO8" s="35"/>
      <c r="AQ8" s="82"/>
      <c r="AR8" s="82"/>
    </row>
    <row r="9" spans="1:45" s="29" customFormat="1" x14ac:dyDescent="0.2">
      <c r="C9" s="32"/>
      <c r="F9" s="226">
        <v>77</v>
      </c>
      <c r="G9" s="29" t="s">
        <v>193</v>
      </c>
      <c r="L9" s="249">
        <v>38.58</v>
      </c>
      <c r="M9" s="29" t="s">
        <v>193</v>
      </c>
      <c r="R9" s="226">
        <v>14.44</v>
      </c>
      <c r="S9" s="29" t="s">
        <v>193</v>
      </c>
      <c r="X9" s="226">
        <v>0</v>
      </c>
      <c r="Y9" s="29" t="s">
        <v>193</v>
      </c>
      <c r="AD9" s="226">
        <v>12.23</v>
      </c>
      <c r="AE9" s="29" t="s">
        <v>193</v>
      </c>
    </row>
    <row r="10" spans="1:45" s="29" customFormat="1" x14ac:dyDescent="0.2">
      <c r="C10" s="32"/>
      <c r="F10" s="35">
        <f>SUM(F7:F9)</f>
        <v>78.22</v>
      </c>
      <c r="G10" s="29" t="s">
        <v>194</v>
      </c>
      <c r="L10" s="35">
        <f>SUM(L7:L9)</f>
        <v>39.83</v>
      </c>
      <c r="M10" s="29" t="s">
        <v>194</v>
      </c>
      <c r="R10" s="35">
        <f>SUM(R7:R9)</f>
        <v>14.44</v>
      </c>
      <c r="S10" s="29" t="s">
        <v>194</v>
      </c>
      <c r="X10" s="35">
        <f>SUM(X7:X9)</f>
        <v>0.06</v>
      </c>
      <c r="Y10" s="29" t="s">
        <v>194</v>
      </c>
      <c r="AD10" s="35">
        <f>SUM(AD7:AD9)</f>
        <v>12.23</v>
      </c>
      <c r="AE10" s="29" t="s">
        <v>194</v>
      </c>
      <c r="AJ10" s="35"/>
    </row>
    <row r="11" spans="1:45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 t="s">
        <v>19</v>
      </c>
      <c r="L11" s="86" t="s">
        <v>347</v>
      </c>
      <c r="M11" s="86" t="s">
        <v>210</v>
      </c>
      <c r="N11" s="86" t="s">
        <v>186</v>
      </c>
      <c r="O11" s="86" t="s">
        <v>189</v>
      </c>
      <c r="P11" s="86" t="s">
        <v>287</v>
      </c>
      <c r="Q11" s="87" t="s">
        <v>19</v>
      </c>
      <c r="R11" s="86" t="s">
        <v>347</v>
      </c>
      <c r="S11" s="86" t="s">
        <v>210</v>
      </c>
      <c r="T11" s="86" t="s">
        <v>186</v>
      </c>
      <c r="U11" s="86" t="s">
        <v>189</v>
      </c>
      <c r="V11" s="86" t="s">
        <v>287</v>
      </c>
      <c r="W11" s="87" t="s">
        <v>19</v>
      </c>
      <c r="X11" s="86" t="s">
        <v>347</v>
      </c>
      <c r="Y11" s="86" t="s">
        <v>210</v>
      </c>
      <c r="Z11" s="86" t="s">
        <v>186</v>
      </c>
      <c r="AA11" s="86" t="s">
        <v>189</v>
      </c>
      <c r="AB11" s="86" t="s">
        <v>287</v>
      </c>
      <c r="AC11" s="87" t="s">
        <v>19</v>
      </c>
      <c r="AD11" s="86" t="s">
        <v>347</v>
      </c>
      <c r="AE11" s="86" t="s">
        <v>210</v>
      </c>
      <c r="AF11" s="86" t="s">
        <v>186</v>
      </c>
      <c r="AG11" s="86" t="s">
        <v>189</v>
      </c>
      <c r="AH11" s="86" t="s">
        <v>287</v>
      </c>
      <c r="AI11" s="87"/>
      <c r="AJ11" s="86"/>
      <c r="AK11" s="86"/>
      <c r="AL11" s="86"/>
      <c r="AM11" s="86"/>
      <c r="AN11" s="86"/>
      <c r="AO11" s="86"/>
      <c r="AP11" s="86"/>
      <c r="AQ11" s="86"/>
      <c r="AR11" s="86"/>
      <c r="AS11" s="86"/>
    </row>
    <row r="12" spans="1:45" s="59" customFormat="1" ht="15.75" customHeight="1" x14ac:dyDescent="0.25">
      <c r="A12" s="36" t="s">
        <v>175</v>
      </c>
      <c r="B12" s="35">
        <f>F46/$D$3</f>
        <v>0</v>
      </c>
      <c r="C12" s="123">
        <f>1.49/12</f>
        <v>0.12416666666666666</v>
      </c>
      <c r="D12" s="270">
        <v>0.11333333333333334</v>
      </c>
      <c r="E12" s="226">
        <v>0</v>
      </c>
      <c r="F12" s="35">
        <f>$F$7*(IF($C12-$D12&lt;0,0,ABS($C12-$D12)))</f>
        <v>1.3216666666666649E-2</v>
      </c>
      <c r="G12" s="35">
        <f>F12/$D$3</f>
        <v>4.4055555555555501E-2</v>
      </c>
      <c r="H12" s="29">
        <f>F$9*$B12</f>
        <v>0</v>
      </c>
      <c r="I12" s="35">
        <f>G12+H12</f>
        <v>4.4055555555555501E-2</v>
      </c>
      <c r="J12" s="249">
        <v>0</v>
      </c>
      <c r="K12" s="249">
        <v>0</v>
      </c>
      <c r="L12" s="35">
        <f t="shared" ref="L12:L23" si="0">$L$7*(IF($C12-$D12&lt;0,0,ABS($C12-$D12)))</f>
        <v>1.354166666666665E-2</v>
      </c>
      <c r="M12" s="35">
        <f>L12/$D$3</f>
        <v>4.5138888888888833E-2</v>
      </c>
      <c r="N12" s="29">
        <f>L$9*$B12</f>
        <v>0</v>
      </c>
      <c r="O12" s="35">
        <f>M12+N12</f>
        <v>4.5138888888888833E-2</v>
      </c>
      <c r="P12" s="249">
        <v>0</v>
      </c>
      <c r="Q12" s="249">
        <v>0</v>
      </c>
      <c r="R12" s="35">
        <f>R$7*(IF($C12-$D12&lt;0,0,ABS($C12-$D12)))</f>
        <v>0</v>
      </c>
      <c r="S12" s="35">
        <f>R12/$D$3</f>
        <v>0</v>
      </c>
      <c r="T12" s="29">
        <f>R$9*$B12</f>
        <v>0</v>
      </c>
      <c r="U12" s="35">
        <f>S12+T12</f>
        <v>0</v>
      </c>
      <c r="V12" s="35">
        <f>IF(Q12-U12&gt;0,0,ABS(Q12-U12))</f>
        <v>0</v>
      </c>
      <c r="W12" s="249">
        <v>0</v>
      </c>
      <c r="X12" s="35">
        <f t="shared" ref="X12:X23" si="1">$X$7*(IF($C12-$D12&lt;0,0,ABS($C12-$D12)))</f>
        <v>6.4999999999999921E-4</v>
      </c>
      <c r="Y12" s="35">
        <f>X12/$D$3</f>
        <v>2.166666666666664E-3</v>
      </c>
      <c r="Z12" s="29">
        <f>X$9*$B12</f>
        <v>0</v>
      </c>
      <c r="AA12" s="35">
        <f>Y12+Z12</f>
        <v>2.166666666666664E-3</v>
      </c>
      <c r="AB12" s="249">
        <v>0</v>
      </c>
      <c r="AC12" s="249">
        <v>0</v>
      </c>
      <c r="AD12" s="35">
        <f>$AD$7*(IF($C12-$D12&lt;0,0,ABS($C12-$D12)))</f>
        <v>0</v>
      </c>
      <c r="AE12" s="35">
        <f>AD12/$D$3</f>
        <v>0</v>
      </c>
      <c r="AF12" s="29">
        <f>AD$9*$B12</f>
        <v>0</v>
      </c>
      <c r="AG12" s="35">
        <f>AE12+AF12</f>
        <v>0</v>
      </c>
      <c r="AH12" s="35">
        <f t="shared" ref="AH12:AH23" si="2">IF(AC12-AG12&gt;0,0,ABS(AC12-AG12))</f>
        <v>0</v>
      </c>
      <c r="AI12" s="27"/>
      <c r="AJ12" s="35"/>
      <c r="AK12" s="86"/>
      <c r="AL12" s="86"/>
      <c r="AM12" s="86"/>
      <c r="AN12" s="277"/>
      <c r="AO12" s="86"/>
      <c r="AP12" s="86"/>
      <c r="AQ12" s="86"/>
      <c r="AR12" s="86"/>
      <c r="AS12" s="86"/>
    </row>
    <row r="13" spans="1:45" s="29" customFormat="1" ht="15.75" x14ac:dyDescent="0.25">
      <c r="A13" s="36" t="s">
        <v>21</v>
      </c>
      <c r="B13" s="35">
        <f>G46/$D$3</f>
        <v>0</v>
      </c>
      <c r="C13" s="35">
        <f>1.97/12</f>
        <v>0.16416666666666666</v>
      </c>
      <c r="D13" s="270">
        <v>0.11916666666666666</v>
      </c>
      <c r="E13" s="249">
        <v>0</v>
      </c>
      <c r="F13" s="35">
        <f t="shared" ref="F13:F23" si="3">$F$7*(IF($C13-$D13&lt;0,0,ABS($C13-$D13)))</f>
        <v>5.4899999999999997E-2</v>
      </c>
      <c r="G13" s="35">
        <f>F13/$D$3</f>
        <v>0.183</v>
      </c>
      <c r="H13" s="29">
        <f>F$9*$B13</f>
        <v>0</v>
      </c>
      <c r="I13" s="35">
        <f t="shared" ref="I13:I22" si="4">G13+H13</f>
        <v>0.183</v>
      </c>
      <c r="J13" s="249">
        <v>0</v>
      </c>
      <c r="K13" s="249">
        <v>0</v>
      </c>
      <c r="L13" s="35">
        <f t="shared" si="0"/>
        <v>5.6249999999999994E-2</v>
      </c>
      <c r="M13" s="35">
        <f>L13/$D$3</f>
        <v>0.1875</v>
      </c>
      <c r="N13" s="29">
        <f>L$9*$B13</f>
        <v>0</v>
      </c>
      <c r="O13" s="35">
        <f t="shared" ref="O13:O22" si="5">M13+N13</f>
        <v>0.1875</v>
      </c>
      <c r="P13" s="249">
        <v>0</v>
      </c>
      <c r="Q13" s="249">
        <v>0</v>
      </c>
      <c r="R13" s="35">
        <f>R$7*(IF($C13-$D13&lt;0,0,ABS($C13-$D13)))</f>
        <v>0</v>
      </c>
      <c r="S13" s="35">
        <f>R13/$D$3</f>
        <v>0</v>
      </c>
      <c r="T13" s="29">
        <f t="shared" ref="T13:T22" si="6">R$9*$B13</f>
        <v>0</v>
      </c>
      <c r="U13" s="35">
        <f t="shared" ref="U13:U22" si="7">S13+T13</f>
        <v>0</v>
      </c>
      <c r="V13" s="35">
        <f>IF(Q13-U13&gt;0,0,ABS(Q13-U13))</f>
        <v>0</v>
      </c>
      <c r="W13" s="249">
        <v>0</v>
      </c>
      <c r="X13" s="35">
        <f t="shared" si="1"/>
        <v>2.6999999999999997E-3</v>
      </c>
      <c r="Y13" s="35">
        <f>X13/$D$3</f>
        <v>8.9999999999999993E-3</v>
      </c>
      <c r="Z13" s="29">
        <f t="shared" ref="Z13:Z22" si="8">X$9*$B13</f>
        <v>0</v>
      </c>
      <c r="AA13" s="35">
        <f t="shared" ref="AA13:AA22" si="9">Y13+Z13</f>
        <v>8.9999999999999993E-3</v>
      </c>
      <c r="AB13" s="249">
        <v>0</v>
      </c>
      <c r="AC13" s="249">
        <v>0</v>
      </c>
      <c r="AD13" s="35">
        <f t="shared" ref="AD13:AD23" si="10">$AD$7*(IF($C13-$D13&lt;0,0,ABS($C13-$D13)))</f>
        <v>0</v>
      </c>
      <c r="AE13" s="35">
        <f>AD13/$D$3</f>
        <v>0</v>
      </c>
      <c r="AF13" s="29">
        <f t="shared" ref="AF13:AF22" si="11">AD$9*$B13</f>
        <v>0</v>
      </c>
      <c r="AG13" s="35">
        <f t="shared" ref="AG13:AG22" si="12">AE13+AF13</f>
        <v>0</v>
      </c>
      <c r="AH13" s="35">
        <f t="shared" si="2"/>
        <v>0</v>
      </c>
      <c r="AI13" s="90"/>
      <c r="AJ13" s="35"/>
      <c r="AK13" s="35"/>
      <c r="AM13" s="35"/>
      <c r="AN13" s="277"/>
      <c r="AO13" s="35"/>
      <c r="AP13" s="35"/>
      <c r="AQ13" s="35"/>
      <c r="AR13" s="35"/>
      <c r="AS13" s="35"/>
    </row>
    <row r="14" spans="1:45" s="29" customFormat="1" ht="15.75" x14ac:dyDescent="0.25">
      <c r="A14" s="36" t="s">
        <v>20</v>
      </c>
      <c r="B14" s="35">
        <f>H46/$D$3</f>
        <v>0</v>
      </c>
      <c r="C14" s="35">
        <f>4.13/12</f>
        <v>0.34416666666666668</v>
      </c>
      <c r="D14" s="270">
        <v>0.18583333333333332</v>
      </c>
      <c r="E14" s="226">
        <v>5.2165261000000003</v>
      </c>
      <c r="F14" s="35">
        <f t="shared" si="3"/>
        <v>0.19316666666666668</v>
      </c>
      <c r="G14" s="35">
        <f t="shared" ref="G14:G22" si="13">F14/$D$3</f>
        <v>0.64388888888888896</v>
      </c>
      <c r="H14" s="29">
        <f>F$9*$B14</f>
        <v>0</v>
      </c>
      <c r="I14" s="35">
        <f t="shared" si="4"/>
        <v>0.64388888888888896</v>
      </c>
      <c r="J14" s="35">
        <f t="shared" ref="J14:J22" si="14">IF(E14-I14&gt;0,0,ABS(E14-I14))</f>
        <v>0</v>
      </c>
      <c r="K14" s="280">
        <v>34.438989610000007</v>
      </c>
      <c r="L14" s="35">
        <f t="shared" si="0"/>
        <v>0.19791666666666669</v>
      </c>
      <c r="M14" s="35">
        <f t="shared" ref="M14:M22" si="15">L14/$D$3</f>
        <v>0.65972222222222232</v>
      </c>
      <c r="N14" s="29">
        <f>L$9*$B14</f>
        <v>0</v>
      </c>
      <c r="O14" s="35">
        <f t="shared" si="5"/>
        <v>0.65972222222222232</v>
      </c>
      <c r="P14" s="35">
        <f>IF(K14-O14&gt;0,0,ABS(K14-O14))</f>
        <v>0</v>
      </c>
      <c r="Q14" s="280">
        <v>0</v>
      </c>
      <c r="R14" s="35">
        <v>36.437914147083326</v>
      </c>
      <c r="S14" s="35">
        <v>47.197363182363766</v>
      </c>
      <c r="T14" s="29">
        <v>50.228567834166654</v>
      </c>
      <c r="U14" s="35">
        <v>32.553598069270826</v>
      </c>
      <c r="V14" s="35">
        <v>0</v>
      </c>
      <c r="W14" s="249">
        <v>43.358654199999997</v>
      </c>
      <c r="X14" s="35">
        <v>0</v>
      </c>
      <c r="Y14" s="35">
        <v>0</v>
      </c>
      <c r="Z14" s="29">
        <f t="shared" si="8"/>
        <v>0</v>
      </c>
      <c r="AA14" s="35">
        <f t="shared" si="9"/>
        <v>0</v>
      </c>
      <c r="AB14" s="35">
        <f t="shared" ref="AB14:AB22" si="16">IF(W14-AA14&gt;0,0,ABS(W14-AA14))</f>
        <v>0</v>
      </c>
      <c r="AC14" s="280">
        <v>0</v>
      </c>
      <c r="AD14" s="35">
        <f t="shared" si="10"/>
        <v>0</v>
      </c>
      <c r="AE14" s="35">
        <f t="shared" ref="AE14:AE22" si="17">AD14/$D$3</f>
        <v>0</v>
      </c>
      <c r="AF14" s="29">
        <f t="shared" si="11"/>
        <v>0</v>
      </c>
      <c r="AG14" s="35">
        <f t="shared" si="12"/>
        <v>0</v>
      </c>
      <c r="AH14" s="35">
        <f t="shared" si="2"/>
        <v>0</v>
      </c>
      <c r="AI14" s="90"/>
      <c r="AJ14" s="35"/>
      <c r="AK14" s="35"/>
      <c r="AM14" s="35"/>
      <c r="AN14" s="277"/>
      <c r="AO14" s="35"/>
      <c r="AP14" s="35"/>
      <c r="AQ14" s="35"/>
      <c r="AR14" s="35"/>
      <c r="AS14" s="35"/>
    </row>
    <row r="15" spans="1:45" s="29" customFormat="1" ht="15.75" x14ac:dyDescent="0.25">
      <c r="A15" s="36" t="s">
        <v>22</v>
      </c>
      <c r="B15" s="35">
        <f>I46/$D$3</f>
        <v>0.14971773158840138</v>
      </c>
      <c r="C15" s="35">
        <f>5.38/12</f>
        <v>0.44833333333333331</v>
      </c>
      <c r="D15" s="270">
        <v>4.0833333333333333E-2</v>
      </c>
      <c r="E15" s="226">
        <v>16.38412335666666</v>
      </c>
      <c r="F15" s="35">
        <f>$F$7*(IF($C15-$D15&lt;0,0,ABS($C15-$D15)))</f>
        <v>0.49714999999999998</v>
      </c>
      <c r="G15" s="35">
        <f t="shared" si="13"/>
        <v>1.6571666666666667</v>
      </c>
      <c r="H15" s="29">
        <f t="shared" ref="H15:H22" si="18">F$9*$B15</f>
        <v>11.528265332306907</v>
      </c>
      <c r="I15" s="35">
        <f t="shared" si="4"/>
        <v>13.185431998973574</v>
      </c>
      <c r="J15" s="35">
        <f t="shared" si="14"/>
        <v>0</v>
      </c>
      <c r="K15" s="280">
        <v>67.273351989999995</v>
      </c>
      <c r="L15" s="35">
        <f t="shared" si="0"/>
        <v>0.50937499999999991</v>
      </c>
      <c r="M15" s="35">
        <f t="shared" si="15"/>
        <v>1.6979166666666665</v>
      </c>
      <c r="N15" s="29">
        <f t="shared" ref="N15:N22" si="19">L$9*$B15</f>
        <v>5.7761100846805249</v>
      </c>
      <c r="O15" s="35">
        <f t="shared" si="5"/>
        <v>7.474026751347191</v>
      </c>
      <c r="P15" s="35">
        <f t="shared" ref="P15:P22" si="20">IF(K15-O15&gt;0,0,ABS(K15-O15))</f>
        <v>0</v>
      </c>
      <c r="Q15" s="280">
        <v>27.059613441875008</v>
      </c>
      <c r="R15" s="35">
        <f t="shared" ref="R15:R22" si="21">R$7*(IF($C15-$D15&lt;0,0,ABS($C15-$D15)))</f>
        <v>0</v>
      </c>
      <c r="S15" s="35">
        <f t="shared" ref="S15:S22" si="22">R15/$D$3</f>
        <v>0</v>
      </c>
      <c r="T15" s="29">
        <f t="shared" si="6"/>
        <v>2.1619240441365157</v>
      </c>
      <c r="U15" s="35">
        <f t="shared" si="7"/>
        <v>2.1619240441365157</v>
      </c>
      <c r="V15" s="35">
        <f t="shared" ref="V15:V22" si="23">IF(Q15-U15&gt;0,0,ABS(Q15-U15))</f>
        <v>0</v>
      </c>
      <c r="W15" s="249">
        <v>32.054858669999987</v>
      </c>
      <c r="X15" s="35">
        <f t="shared" si="1"/>
        <v>2.4449999999999996E-2</v>
      </c>
      <c r="Y15" s="35">
        <f t="shared" ref="Y15:Y22" si="24">X15/$D$3</f>
        <v>8.1499999999999989E-2</v>
      </c>
      <c r="Z15" s="29">
        <f t="shared" si="8"/>
        <v>0</v>
      </c>
      <c r="AA15" s="35">
        <f t="shared" si="9"/>
        <v>8.1499999999999989E-2</v>
      </c>
      <c r="AB15" s="35">
        <f t="shared" si="16"/>
        <v>0</v>
      </c>
      <c r="AC15" s="280">
        <v>2.5999366082291666</v>
      </c>
      <c r="AD15" s="35">
        <f t="shared" si="10"/>
        <v>0</v>
      </c>
      <c r="AE15" s="35">
        <f t="shared" si="17"/>
        <v>0</v>
      </c>
      <c r="AF15" s="29">
        <f t="shared" si="11"/>
        <v>1.8310478573261488</v>
      </c>
      <c r="AG15" s="35">
        <f t="shared" si="12"/>
        <v>1.8310478573261488</v>
      </c>
      <c r="AH15" s="35">
        <f t="shared" si="2"/>
        <v>0</v>
      </c>
      <c r="AI15" s="90"/>
      <c r="AJ15" s="35"/>
      <c r="AK15" s="35"/>
      <c r="AM15" s="35"/>
      <c r="AN15" s="277"/>
      <c r="AO15" s="35"/>
      <c r="AP15" s="35"/>
      <c r="AQ15" s="35"/>
      <c r="AR15" s="35"/>
      <c r="AS15" s="35"/>
    </row>
    <row r="16" spans="1:45" s="29" customFormat="1" ht="15.75" x14ac:dyDescent="0.25">
      <c r="A16" s="36" t="s">
        <v>23</v>
      </c>
      <c r="B16" s="35">
        <f>J46/$D$3</f>
        <v>0.69511803951757756</v>
      </c>
      <c r="C16" s="35">
        <f>6.19/12</f>
        <v>0.51583333333333337</v>
      </c>
      <c r="D16" s="270">
        <v>4.1666666666666666E-3</v>
      </c>
      <c r="E16" s="226">
        <v>2.6088622232291665</v>
      </c>
      <c r="F16" s="35">
        <f t="shared" si="3"/>
        <v>0.62423333333333342</v>
      </c>
      <c r="G16" s="35">
        <f t="shared" si="13"/>
        <v>2.0807777777777781</v>
      </c>
      <c r="H16" s="29">
        <f>F$9*$B16</f>
        <v>53.524089042853475</v>
      </c>
      <c r="I16" s="35">
        <f t="shared" si="4"/>
        <v>55.604866820631251</v>
      </c>
      <c r="J16" s="35">
        <f t="shared" si="14"/>
        <v>52.996004597402084</v>
      </c>
      <c r="K16" s="280">
        <v>91.061107700000022</v>
      </c>
      <c r="L16" s="35">
        <f t="shared" si="0"/>
        <v>0.63958333333333339</v>
      </c>
      <c r="M16" s="35">
        <f t="shared" si="15"/>
        <v>2.1319444444444446</v>
      </c>
      <c r="N16" s="29">
        <f t="shared" si="19"/>
        <v>26.817653964588143</v>
      </c>
      <c r="O16" s="35">
        <f t="shared" si="5"/>
        <v>28.949598409032589</v>
      </c>
      <c r="P16" s="35">
        <f t="shared" si="20"/>
        <v>0</v>
      </c>
      <c r="Q16" s="280">
        <v>42.180473020000001</v>
      </c>
      <c r="R16" s="35">
        <f t="shared" si="21"/>
        <v>0</v>
      </c>
      <c r="S16" s="35">
        <f t="shared" si="22"/>
        <v>0</v>
      </c>
      <c r="T16" s="29">
        <f t="shared" si="6"/>
        <v>10.03750449063382</v>
      </c>
      <c r="U16" s="35">
        <f t="shared" si="7"/>
        <v>10.03750449063382</v>
      </c>
      <c r="V16" s="35">
        <f t="shared" si="23"/>
        <v>0</v>
      </c>
      <c r="W16" s="249">
        <v>0</v>
      </c>
      <c r="X16" s="35">
        <f t="shared" si="1"/>
        <v>3.0700000000000002E-2</v>
      </c>
      <c r="Y16" s="35">
        <f t="shared" si="24"/>
        <v>0.10233333333333335</v>
      </c>
      <c r="Z16" s="29">
        <f t="shared" si="8"/>
        <v>0</v>
      </c>
      <c r="AA16" s="35">
        <f t="shared" si="9"/>
        <v>0.10233333333333335</v>
      </c>
      <c r="AB16" s="35">
        <f t="shared" si="16"/>
        <v>0.10233333333333335</v>
      </c>
      <c r="AC16" s="280">
        <v>0</v>
      </c>
      <c r="AD16" s="35">
        <f t="shared" si="10"/>
        <v>0</v>
      </c>
      <c r="AE16" s="35">
        <f t="shared" si="17"/>
        <v>0</v>
      </c>
      <c r="AF16" s="29">
        <f t="shared" si="11"/>
        <v>8.5012936232999738</v>
      </c>
      <c r="AG16" s="35">
        <f t="shared" si="12"/>
        <v>8.5012936232999738</v>
      </c>
      <c r="AH16" s="35">
        <f t="shared" si="2"/>
        <v>8.5012936232999738</v>
      </c>
      <c r="AI16" s="90"/>
      <c r="AJ16" s="35"/>
      <c r="AK16" s="35"/>
      <c r="AM16" s="35"/>
      <c r="AN16" s="277"/>
      <c r="AO16" s="35"/>
      <c r="AP16" s="35"/>
      <c r="AQ16" s="35"/>
      <c r="AR16" s="35"/>
      <c r="AS16" s="35"/>
    </row>
    <row r="17" spans="1:45" s="29" customFormat="1" ht="15.75" x14ac:dyDescent="0.25">
      <c r="A17" s="36" t="s">
        <v>24</v>
      </c>
      <c r="B17" s="35">
        <f>K46/$D$3</f>
        <v>1.1710065434949963</v>
      </c>
      <c r="C17" s="35">
        <f>7.39/12</f>
        <v>0.61583333333333334</v>
      </c>
      <c r="D17" s="270">
        <v>4.5833333333333337E-2</v>
      </c>
      <c r="E17" s="226">
        <v>109.21554296669643</v>
      </c>
      <c r="F17" s="35">
        <f t="shared" si="3"/>
        <v>0.69540000000000002</v>
      </c>
      <c r="G17" s="35">
        <f t="shared" si="13"/>
        <v>2.3180000000000001</v>
      </c>
      <c r="H17" s="29">
        <f t="shared" si="18"/>
        <v>90.167503849114723</v>
      </c>
      <c r="I17" s="35">
        <f t="shared" si="4"/>
        <v>92.485503849114721</v>
      </c>
      <c r="J17" s="35">
        <f t="shared" si="14"/>
        <v>0</v>
      </c>
      <c r="K17" s="280">
        <v>70.448887460000009</v>
      </c>
      <c r="L17" s="35">
        <f t="shared" si="0"/>
        <v>0.71250000000000013</v>
      </c>
      <c r="M17" s="35">
        <f t="shared" si="15"/>
        <v>2.3750000000000004</v>
      </c>
      <c r="N17" s="29">
        <f t="shared" si="19"/>
        <v>45.17743244803696</v>
      </c>
      <c r="O17" s="35">
        <f t="shared" si="5"/>
        <v>47.55243244803696</v>
      </c>
      <c r="P17" s="35">
        <f t="shared" si="20"/>
        <v>0</v>
      </c>
      <c r="Q17" s="280">
        <v>31.856511669999993</v>
      </c>
      <c r="R17" s="35">
        <f t="shared" si="21"/>
        <v>0</v>
      </c>
      <c r="S17" s="35">
        <f t="shared" si="22"/>
        <v>0</v>
      </c>
      <c r="T17" s="29">
        <f t="shared" si="6"/>
        <v>16.909334488067746</v>
      </c>
      <c r="U17" s="35">
        <f t="shared" si="7"/>
        <v>16.909334488067746</v>
      </c>
      <c r="V17" s="35">
        <f t="shared" si="23"/>
        <v>0</v>
      </c>
      <c r="W17" s="249">
        <v>0</v>
      </c>
      <c r="X17" s="35">
        <f t="shared" si="1"/>
        <v>3.4200000000000001E-2</v>
      </c>
      <c r="Y17" s="35">
        <f t="shared" si="24"/>
        <v>0.114</v>
      </c>
      <c r="Z17" s="29">
        <f t="shared" si="8"/>
        <v>0</v>
      </c>
      <c r="AA17" s="35">
        <f t="shared" si="9"/>
        <v>0.114</v>
      </c>
      <c r="AB17" s="35">
        <f t="shared" si="16"/>
        <v>0.114</v>
      </c>
      <c r="AC17" s="280">
        <v>0</v>
      </c>
      <c r="AD17" s="35">
        <f t="shared" si="10"/>
        <v>0</v>
      </c>
      <c r="AE17" s="35">
        <f t="shared" si="17"/>
        <v>0</v>
      </c>
      <c r="AF17" s="29">
        <f t="shared" si="11"/>
        <v>14.321410026943806</v>
      </c>
      <c r="AG17" s="35">
        <f t="shared" si="12"/>
        <v>14.321410026943806</v>
      </c>
      <c r="AH17" s="35">
        <f t="shared" si="2"/>
        <v>14.321410026943806</v>
      </c>
      <c r="AI17" s="90"/>
      <c r="AJ17" s="35"/>
      <c r="AK17" s="35"/>
      <c r="AM17" s="35"/>
      <c r="AN17" s="277"/>
      <c r="AO17" s="35"/>
      <c r="AP17" s="35"/>
      <c r="AQ17" s="35"/>
      <c r="AR17" s="35"/>
      <c r="AS17" s="35"/>
    </row>
    <row r="18" spans="1:45" s="29" customFormat="1" ht="15.75" x14ac:dyDescent="0.25">
      <c r="A18" s="36" t="s">
        <v>25</v>
      </c>
      <c r="B18" s="35">
        <f>L46/$D$3</f>
        <v>0.62293270464459849</v>
      </c>
      <c r="C18" s="35">
        <f>5.66/12</f>
        <v>0.47166666666666668</v>
      </c>
      <c r="D18" s="270">
        <v>0.34250000000000003</v>
      </c>
      <c r="E18" s="226">
        <v>19.840508733571422</v>
      </c>
      <c r="F18" s="35">
        <f t="shared" si="3"/>
        <v>0.15758333333333333</v>
      </c>
      <c r="G18" s="35">
        <f t="shared" si="13"/>
        <v>0.52527777777777773</v>
      </c>
      <c r="H18" s="29">
        <f t="shared" si="18"/>
        <v>47.965818257634083</v>
      </c>
      <c r="I18" s="35">
        <f t="shared" si="4"/>
        <v>48.491096035411864</v>
      </c>
      <c r="J18" s="35">
        <f t="shared" si="14"/>
        <v>28.650587301840442</v>
      </c>
      <c r="K18" s="226">
        <v>65.506080220000001</v>
      </c>
      <c r="L18" s="35">
        <f t="shared" si="0"/>
        <v>0.16145833333333331</v>
      </c>
      <c r="M18" s="35">
        <f t="shared" si="15"/>
        <v>0.53819444444444442</v>
      </c>
      <c r="N18" s="29">
        <f t="shared" si="19"/>
        <v>24.032743745188608</v>
      </c>
      <c r="O18" s="35">
        <f t="shared" si="5"/>
        <v>24.570938189633051</v>
      </c>
      <c r="P18" s="35">
        <f t="shared" si="20"/>
        <v>0</v>
      </c>
      <c r="Q18" s="280">
        <v>39.957003150000006</v>
      </c>
      <c r="R18" s="35">
        <f t="shared" si="21"/>
        <v>0</v>
      </c>
      <c r="S18" s="35">
        <f t="shared" si="22"/>
        <v>0</v>
      </c>
      <c r="T18" s="29">
        <f t="shared" si="6"/>
        <v>8.9951482550680026</v>
      </c>
      <c r="U18" s="35">
        <f t="shared" si="7"/>
        <v>8.9951482550680026</v>
      </c>
      <c r="V18" s="35">
        <f t="shared" si="23"/>
        <v>0</v>
      </c>
      <c r="W18" s="249">
        <v>0</v>
      </c>
      <c r="X18" s="35">
        <f t="shared" si="1"/>
        <v>7.7499999999999991E-3</v>
      </c>
      <c r="Y18" s="35">
        <f t="shared" si="24"/>
        <v>2.583333333333333E-2</v>
      </c>
      <c r="Z18" s="29">
        <f t="shared" si="8"/>
        <v>0</v>
      </c>
      <c r="AA18" s="35">
        <f t="shared" si="9"/>
        <v>2.583333333333333E-2</v>
      </c>
      <c r="AB18" s="35">
        <f t="shared" si="16"/>
        <v>2.583333333333333E-2</v>
      </c>
      <c r="AC18" s="280">
        <v>0</v>
      </c>
      <c r="AD18" s="35">
        <f t="shared" si="10"/>
        <v>0</v>
      </c>
      <c r="AE18" s="35">
        <f t="shared" si="17"/>
        <v>0</v>
      </c>
      <c r="AF18" s="29">
        <f t="shared" si="11"/>
        <v>7.6184669778034397</v>
      </c>
      <c r="AG18" s="35">
        <f t="shared" si="12"/>
        <v>7.6184669778034397</v>
      </c>
      <c r="AH18" s="35">
        <f t="shared" si="2"/>
        <v>7.6184669778034397</v>
      </c>
      <c r="AI18" s="90"/>
      <c r="AJ18" s="35"/>
      <c r="AK18" s="35"/>
      <c r="AM18" s="35"/>
      <c r="AN18" s="277"/>
      <c r="AO18" s="35"/>
      <c r="AP18" s="35"/>
      <c r="AQ18" s="35"/>
      <c r="AR18" s="35"/>
      <c r="AS18" s="35"/>
    </row>
    <row r="19" spans="1:45" s="29" customFormat="1" ht="15.75" x14ac:dyDescent="0.25">
      <c r="A19" s="36" t="s">
        <v>26</v>
      </c>
      <c r="B19" s="35">
        <f>M46/$D$3</f>
        <v>0.79136515268155005</v>
      </c>
      <c r="C19" s="35">
        <f>4.7/12</f>
        <v>0.39166666666666666</v>
      </c>
      <c r="D19" s="270">
        <v>0.19833333333333333</v>
      </c>
      <c r="E19" s="226">
        <v>14.657843300000003</v>
      </c>
      <c r="F19" s="35">
        <f t="shared" si="3"/>
        <v>0.23586666666666667</v>
      </c>
      <c r="G19" s="35">
        <f t="shared" si="13"/>
        <v>0.78622222222222227</v>
      </c>
      <c r="H19" s="29">
        <f t="shared" si="18"/>
        <v>60.935116756479353</v>
      </c>
      <c r="I19" s="35">
        <f t="shared" si="4"/>
        <v>61.721338978701574</v>
      </c>
      <c r="J19" s="35">
        <f t="shared" si="14"/>
        <v>47.063495678701571</v>
      </c>
      <c r="K19" s="226">
        <v>63.106081520000004</v>
      </c>
      <c r="L19" s="35">
        <f t="shared" si="0"/>
        <v>0.24166666666666667</v>
      </c>
      <c r="M19" s="35">
        <f t="shared" si="15"/>
        <v>0.80555555555555558</v>
      </c>
      <c r="N19" s="29">
        <f t="shared" si="19"/>
        <v>30.5308675904542</v>
      </c>
      <c r="O19" s="35">
        <f t="shared" si="5"/>
        <v>31.336423146009757</v>
      </c>
      <c r="P19" s="35">
        <f t="shared" si="20"/>
        <v>0</v>
      </c>
      <c r="Q19" s="280">
        <v>39.5503918</v>
      </c>
      <c r="R19" s="35">
        <f t="shared" si="21"/>
        <v>0</v>
      </c>
      <c r="S19" s="35">
        <f t="shared" si="22"/>
        <v>0</v>
      </c>
      <c r="T19" s="29">
        <f t="shared" si="6"/>
        <v>11.427312804721582</v>
      </c>
      <c r="U19" s="35">
        <f t="shared" si="7"/>
        <v>11.427312804721582</v>
      </c>
      <c r="V19" s="35">
        <f t="shared" si="23"/>
        <v>0</v>
      </c>
      <c r="W19" s="249">
        <v>0</v>
      </c>
      <c r="X19" s="35">
        <f t="shared" si="1"/>
        <v>1.1599999999999999E-2</v>
      </c>
      <c r="Y19" s="35">
        <f t="shared" si="24"/>
        <v>3.8666666666666669E-2</v>
      </c>
      <c r="Z19" s="29">
        <f t="shared" si="8"/>
        <v>0</v>
      </c>
      <c r="AA19" s="35">
        <f t="shared" si="9"/>
        <v>3.8666666666666669E-2</v>
      </c>
      <c r="AB19" s="35">
        <f t="shared" si="16"/>
        <v>3.8666666666666669E-2</v>
      </c>
      <c r="AC19" s="280">
        <v>0</v>
      </c>
      <c r="AD19" s="35">
        <f t="shared" si="10"/>
        <v>0</v>
      </c>
      <c r="AE19" s="35">
        <f t="shared" si="17"/>
        <v>0</v>
      </c>
      <c r="AF19" s="29">
        <f t="shared" si="11"/>
        <v>9.6783958172953568</v>
      </c>
      <c r="AG19" s="35">
        <f t="shared" si="12"/>
        <v>9.6783958172953568</v>
      </c>
      <c r="AH19" s="35">
        <f t="shared" si="2"/>
        <v>9.6783958172953568</v>
      </c>
      <c r="AI19" s="90"/>
      <c r="AJ19" s="35"/>
      <c r="AK19" s="35"/>
      <c r="AM19" s="35"/>
      <c r="AN19" s="277"/>
      <c r="AO19" s="35"/>
      <c r="AP19" s="35"/>
      <c r="AQ19" s="35"/>
      <c r="AR19" s="35"/>
      <c r="AS19" s="35"/>
    </row>
    <row r="20" spans="1:45" s="29" customFormat="1" ht="15.75" x14ac:dyDescent="0.25">
      <c r="A20" s="36" t="s">
        <v>27</v>
      </c>
      <c r="B20" s="35">
        <f>N46/$D$3</f>
        <v>0.78067102899666418</v>
      </c>
      <c r="C20" s="35">
        <f>4.18/12</f>
        <v>0.34833333333333333</v>
      </c>
      <c r="D20" s="270">
        <v>6.5833333333333341E-2</v>
      </c>
      <c r="E20" s="226">
        <v>60.989813480952385</v>
      </c>
      <c r="F20" s="35">
        <f t="shared" si="3"/>
        <v>0.34464999999999996</v>
      </c>
      <c r="G20" s="35">
        <f t="shared" si="13"/>
        <v>1.1488333333333332</v>
      </c>
      <c r="H20" s="29">
        <f t="shared" si="18"/>
        <v>60.111669232743139</v>
      </c>
      <c r="I20" s="35">
        <f t="shared" si="4"/>
        <v>61.260502566076475</v>
      </c>
      <c r="J20" s="35">
        <f t="shared" si="14"/>
        <v>0.27068908512408996</v>
      </c>
      <c r="K20" s="280">
        <v>72.59500199999998</v>
      </c>
      <c r="L20" s="35">
        <f t="shared" si="0"/>
        <v>0.35312499999999997</v>
      </c>
      <c r="M20" s="35">
        <f t="shared" si="15"/>
        <v>1.1770833333333333</v>
      </c>
      <c r="N20" s="29">
        <f t="shared" si="19"/>
        <v>30.118288298691304</v>
      </c>
      <c r="O20" s="35">
        <f t="shared" si="5"/>
        <v>31.295371632024636</v>
      </c>
      <c r="P20" s="35">
        <f t="shared" si="20"/>
        <v>0</v>
      </c>
      <c r="Q20" s="280">
        <v>0</v>
      </c>
      <c r="R20" s="35">
        <f t="shared" si="21"/>
        <v>0</v>
      </c>
      <c r="S20" s="35">
        <f t="shared" si="22"/>
        <v>0</v>
      </c>
      <c r="T20" s="29">
        <f t="shared" si="6"/>
        <v>11.272889658711831</v>
      </c>
      <c r="U20" s="35">
        <f t="shared" si="7"/>
        <v>11.272889658711831</v>
      </c>
      <c r="V20" s="35">
        <f t="shared" si="23"/>
        <v>11.272889658711831</v>
      </c>
      <c r="W20" s="249">
        <v>0</v>
      </c>
      <c r="X20" s="35">
        <f t="shared" si="1"/>
        <v>1.6949999999999996E-2</v>
      </c>
      <c r="Y20" s="35">
        <f t="shared" si="24"/>
        <v>5.6499999999999988E-2</v>
      </c>
      <c r="Z20" s="29">
        <f t="shared" si="8"/>
        <v>0</v>
      </c>
      <c r="AA20" s="35">
        <f t="shared" si="9"/>
        <v>5.6499999999999988E-2</v>
      </c>
      <c r="AB20" s="35">
        <f t="shared" si="16"/>
        <v>5.6499999999999988E-2</v>
      </c>
      <c r="AC20" s="280">
        <v>0</v>
      </c>
      <c r="AD20" s="35">
        <f t="shared" si="10"/>
        <v>0</v>
      </c>
      <c r="AE20" s="35">
        <f t="shared" si="17"/>
        <v>0</v>
      </c>
      <c r="AF20" s="29">
        <f t="shared" si="11"/>
        <v>9.5476066846292031</v>
      </c>
      <c r="AG20" s="35">
        <f t="shared" si="12"/>
        <v>9.5476066846292031</v>
      </c>
      <c r="AH20" s="35">
        <f t="shared" si="2"/>
        <v>9.5476066846292031</v>
      </c>
      <c r="AI20" s="90"/>
      <c r="AJ20" s="35"/>
      <c r="AK20" s="35"/>
      <c r="AM20" s="35"/>
      <c r="AN20" s="277"/>
      <c r="AO20" s="35"/>
      <c r="AP20" s="35"/>
      <c r="AQ20" s="35"/>
      <c r="AR20" s="35"/>
      <c r="AS20" s="35"/>
    </row>
    <row r="21" spans="1:45" s="29" customFormat="1" ht="15.75" x14ac:dyDescent="0.25">
      <c r="A21" s="36" t="s">
        <v>28</v>
      </c>
      <c r="B21" s="35">
        <f>O46/$D$3</f>
        <v>0.41974435463176807</v>
      </c>
      <c r="C21" s="35">
        <f>3.5/12</f>
        <v>0.29166666666666669</v>
      </c>
      <c r="D21" s="270">
        <v>4.9166666666666664E-2</v>
      </c>
      <c r="E21" s="226">
        <v>26.711768293809509</v>
      </c>
      <c r="F21" s="35">
        <f t="shared" si="3"/>
        <v>0.29585</v>
      </c>
      <c r="G21" s="35">
        <f t="shared" si="13"/>
        <v>0.98616666666666675</v>
      </c>
      <c r="H21" s="29">
        <f t="shared" si="18"/>
        <v>32.320315306646144</v>
      </c>
      <c r="I21" s="35">
        <f t="shared" si="4"/>
        <v>33.306481973312813</v>
      </c>
      <c r="J21" s="35">
        <f t="shared" si="14"/>
        <v>6.5947136795033039</v>
      </c>
      <c r="K21" s="280">
        <v>99.994656579999983</v>
      </c>
      <c r="L21" s="35">
        <f t="shared" si="0"/>
        <v>0.30312500000000003</v>
      </c>
      <c r="M21" s="35">
        <f t="shared" si="15"/>
        <v>1.0104166666666667</v>
      </c>
      <c r="N21" s="29">
        <f t="shared" si="19"/>
        <v>16.193737201693612</v>
      </c>
      <c r="O21" s="35">
        <f t="shared" si="5"/>
        <v>17.204153868360279</v>
      </c>
      <c r="P21" s="35">
        <f t="shared" si="20"/>
        <v>0</v>
      </c>
      <c r="Q21" s="280">
        <v>0</v>
      </c>
      <c r="R21" s="35">
        <f t="shared" si="21"/>
        <v>0</v>
      </c>
      <c r="S21" s="35">
        <f t="shared" si="22"/>
        <v>0</v>
      </c>
      <c r="T21" s="29">
        <f t="shared" si="6"/>
        <v>6.0611084808827309</v>
      </c>
      <c r="U21" s="35">
        <f t="shared" si="7"/>
        <v>6.0611084808827309</v>
      </c>
      <c r="V21" s="35">
        <f t="shared" si="23"/>
        <v>6.0611084808827309</v>
      </c>
      <c r="W21" s="249">
        <v>0</v>
      </c>
      <c r="X21" s="35">
        <f t="shared" si="1"/>
        <v>1.455E-2</v>
      </c>
      <c r="Y21" s="35">
        <f t="shared" si="24"/>
        <v>4.8500000000000001E-2</v>
      </c>
      <c r="Z21" s="29">
        <f t="shared" si="8"/>
        <v>0</v>
      </c>
      <c r="AA21" s="35">
        <f t="shared" si="9"/>
        <v>4.8500000000000001E-2</v>
      </c>
      <c r="AB21" s="35">
        <f t="shared" si="16"/>
        <v>4.8500000000000001E-2</v>
      </c>
      <c r="AC21" s="280">
        <v>0</v>
      </c>
      <c r="AD21" s="35">
        <f t="shared" si="10"/>
        <v>0</v>
      </c>
      <c r="AE21" s="35">
        <f t="shared" si="17"/>
        <v>0</v>
      </c>
      <c r="AF21" s="29">
        <f t="shared" si="11"/>
        <v>5.1334734571465237</v>
      </c>
      <c r="AG21" s="35">
        <f t="shared" si="12"/>
        <v>5.1334734571465237</v>
      </c>
      <c r="AH21" s="35">
        <f t="shared" si="2"/>
        <v>5.1334734571465237</v>
      </c>
      <c r="AI21" s="90"/>
      <c r="AJ21" s="35"/>
      <c r="AK21" s="35"/>
      <c r="AM21" s="35"/>
      <c r="AN21" s="277"/>
      <c r="AO21" s="35"/>
      <c r="AP21" s="35"/>
      <c r="AQ21" s="35"/>
      <c r="AR21" s="35"/>
      <c r="AS21" s="35"/>
    </row>
    <row r="22" spans="1:45" s="29" customFormat="1" ht="15.75" x14ac:dyDescent="0.25">
      <c r="A22" s="36" t="s">
        <v>29</v>
      </c>
      <c r="B22" s="35">
        <f>P46/$D$3</f>
        <v>0</v>
      </c>
      <c r="C22" s="35">
        <f>1.82/12</f>
        <v>0.15166666666666667</v>
      </c>
      <c r="D22" s="270">
        <v>6.083333333333333E-2</v>
      </c>
      <c r="E22" s="226">
        <v>20.800649890000006</v>
      </c>
      <c r="F22" s="35">
        <f t="shared" si="3"/>
        <v>0.11081666666666669</v>
      </c>
      <c r="G22" s="35">
        <f t="shared" si="13"/>
        <v>0.36938888888888899</v>
      </c>
      <c r="H22" s="29">
        <f t="shared" si="18"/>
        <v>0</v>
      </c>
      <c r="I22" s="35">
        <f t="shared" si="4"/>
        <v>0.36938888888888899</v>
      </c>
      <c r="J22" s="35">
        <f t="shared" si="14"/>
        <v>0</v>
      </c>
      <c r="K22" s="280">
        <v>73.804918700000016</v>
      </c>
      <c r="L22" s="35">
        <f t="shared" si="0"/>
        <v>0.11354166666666668</v>
      </c>
      <c r="M22" s="35">
        <f t="shared" si="15"/>
        <v>0.37847222222222227</v>
      </c>
      <c r="N22" s="29">
        <f t="shared" si="19"/>
        <v>0</v>
      </c>
      <c r="O22" s="35">
        <f t="shared" si="5"/>
        <v>0.37847222222222227</v>
      </c>
      <c r="P22" s="35">
        <f t="shared" si="20"/>
        <v>0</v>
      </c>
      <c r="Q22" s="280">
        <v>0</v>
      </c>
      <c r="R22" s="35">
        <f t="shared" si="21"/>
        <v>0</v>
      </c>
      <c r="S22" s="35">
        <f t="shared" si="22"/>
        <v>0</v>
      </c>
      <c r="T22" s="29">
        <f t="shared" si="6"/>
        <v>0</v>
      </c>
      <c r="U22" s="35">
        <f t="shared" si="7"/>
        <v>0</v>
      </c>
      <c r="V22" s="35">
        <f t="shared" si="23"/>
        <v>0</v>
      </c>
      <c r="W22" s="249">
        <v>0</v>
      </c>
      <c r="X22" s="35">
        <f t="shared" si="1"/>
        <v>5.4500000000000009E-3</v>
      </c>
      <c r="Y22" s="35">
        <f t="shared" si="24"/>
        <v>1.8166666666666671E-2</v>
      </c>
      <c r="Z22" s="29">
        <f t="shared" si="8"/>
        <v>0</v>
      </c>
      <c r="AA22" s="35">
        <f t="shared" si="9"/>
        <v>1.8166666666666671E-2</v>
      </c>
      <c r="AB22" s="35">
        <f t="shared" si="16"/>
        <v>1.8166666666666671E-2</v>
      </c>
      <c r="AC22" s="280">
        <v>0</v>
      </c>
      <c r="AD22" s="35">
        <f t="shared" si="10"/>
        <v>0</v>
      </c>
      <c r="AE22" s="35">
        <f t="shared" si="17"/>
        <v>0</v>
      </c>
      <c r="AF22" s="29">
        <f t="shared" si="11"/>
        <v>0</v>
      </c>
      <c r="AG22" s="35">
        <f t="shared" si="12"/>
        <v>0</v>
      </c>
      <c r="AH22" s="35">
        <f t="shared" si="2"/>
        <v>0</v>
      </c>
      <c r="AI22" s="90"/>
      <c r="AJ22" s="35"/>
      <c r="AK22" s="35"/>
      <c r="AM22" s="35"/>
      <c r="AN22" s="277"/>
      <c r="AO22" s="35"/>
      <c r="AP22" s="35"/>
      <c r="AQ22" s="35"/>
      <c r="AR22" s="35"/>
      <c r="AS22" s="35"/>
    </row>
    <row r="23" spans="1:45" s="29" customFormat="1" ht="15.75" x14ac:dyDescent="0.25">
      <c r="A23" s="36" t="s">
        <v>204</v>
      </c>
      <c r="B23" s="35">
        <f>Q46/$D$3</f>
        <v>0</v>
      </c>
      <c r="C23" s="123">
        <f>1.49/12</f>
        <v>0.12416666666666666</v>
      </c>
      <c r="D23" s="270">
        <v>0</v>
      </c>
      <c r="E23" s="249">
        <v>0.45619810000000005</v>
      </c>
      <c r="F23" s="35">
        <f t="shared" si="3"/>
        <v>0.15148333333333333</v>
      </c>
      <c r="G23" s="35">
        <f>F23/$D$3</f>
        <v>0.50494444444444442</v>
      </c>
      <c r="H23" s="29">
        <f>F$9*$B23</f>
        <v>0</v>
      </c>
      <c r="I23" s="35">
        <f>G23+H23</f>
        <v>0.50494444444444442</v>
      </c>
      <c r="J23" s="249">
        <v>0</v>
      </c>
      <c r="K23" s="249">
        <v>2.5190068999999999</v>
      </c>
      <c r="L23" s="35">
        <f t="shared" si="0"/>
        <v>0.15520833333333334</v>
      </c>
      <c r="M23" s="35">
        <f>L23/$D$3</f>
        <v>0.51736111111111116</v>
      </c>
      <c r="N23" s="29">
        <f>L$9*$B23</f>
        <v>0</v>
      </c>
      <c r="O23" s="35">
        <f>M23+N23</f>
        <v>0.51736111111111116</v>
      </c>
      <c r="P23" s="249">
        <v>0</v>
      </c>
      <c r="Q23" s="249">
        <v>0</v>
      </c>
      <c r="R23" s="35">
        <f>R$7*(IF($C23-$D23&lt;0,0,ABS($C23-$D23)))</f>
        <v>0</v>
      </c>
      <c r="S23" s="35">
        <f>R23/$D$3</f>
        <v>0</v>
      </c>
      <c r="T23" s="29">
        <f>R$9*$B23</f>
        <v>0</v>
      </c>
      <c r="U23" s="35">
        <f>S23+T23</f>
        <v>0</v>
      </c>
      <c r="V23" s="35">
        <f>IF(Q23-U23&gt;0,0,ABS(Q23-U23))</f>
        <v>0</v>
      </c>
      <c r="W23" s="249">
        <v>0</v>
      </c>
      <c r="X23" s="35">
        <f t="shared" si="1"/>
        <v>7.4499999999999992E-3</v>
      </c>
      <c r="Y23" s="35">
        <f>X23/$D$3</f>
        <v>2.4833333333333332E-2</v>
      </c>
      <c r="Z23" s="29">
        <f>X$9*$B23</f>
        <v>0</v>
      </c>
      <c r="AA23" s="35">
        <f>Y23+Z23</f>
        <v>2.4833333333333332E-2</v>
      </c>
      <c r="AB23" s="249">
        <v>0</v>
      </c>
      <c r="AC23" s="249">
        <v>0</v>
      </c>
      <c r="AD23" s="35">
        <f t="shared" si="10"/>
        <v>0</v>
      </c>
      <c r="AE23" s="35">
        <f>AD23/$D$3</f>
        <v>0</v>
      </c>
      <c r="AF23" s="29">
        <f>AD$9*$B23</f>
        <v>0</v>
      </c>
      <c r="AG23" s="35">
        <f>AE23+AF23</f>
        <v>0</v>
      </c>
      <c r="AH23" s="35">
        <f t="shared" si="2"/>
        <v>0</v>
      </c>
      <c r="AJ23" s="35"/>
      <c r="AK23" s="35"/>
      <c r="AL23" s="35"/>
      <c r="AM23" s="35"/>
      <c r="AN23" s="277"/>
      <c r="AO23" s="35"/>
      <c r="AP23" s="35"/>
      <c r="AQ23" s="35"/>
      <c r="AR23" s="35"/>
      <c r="AS23" s="35"/>
    </row>
    <row r="24" spans="1:45" s="33" customFormat="1" ht="15.75" x14ac:dyDescent="0.25">
      <c r="A24" s="33" t="s">
        <v>34</v>
      </c>
      <c r="B24" s="33">
        <f>SUM(B12:B23)</f>
        <v>4.6305555555555564</v>
      </c>
      <c r="C24" s="33">
        <f>SUM(C12:C23)</f>
        <v>3.9916666666666663</v>
      </c>
      <c r="D24" s="33">
        <f t="shared" ref="D24:AC24" si="25">SUM(D12:D23)</f>
        <v>1.2258333333333333</v>
      </c>
      <c r="E24" s="33">
        <f t="shared" si="25"/>
        <v>276.88183644492557</v>
      </c>
      <c r="F24" s="33">
        <f t="shared" si="25"/>
        <v>3.3743166666666662</v>
      </c>
      <c r="G24" s="33">
        <f t="shared" si="25"/>
        <v>11.247722222222221</v>
      </c>
      <c r="H24" s="33">
        <f t="shared" si="25"/>
        <v>356.55277777777786</v>
      </c>
      <c r="I24" s="33">
        <f t="shared" si="25"/>
        <v>367.80050000000006</v>
      </c>
      <c r="J24" s="33">
        <f t="shared" si="25"/>
        <v>135.5754903425715</v>
      </c>
      <c r="K24" s="33">
        <f t="shared" si="25"/>
        <v>640.74808268000015</v>
      </c>
      <c r="L24" s="33">
        <f t="shared" si="25"/>
        <v>3.4572916666666669</v>
      </c>
      <c r="M24" s="33">
        <f t="shared" si="25"/>
        <v>11.524305555555555</v>
      </c>
      <c r="N24" s="33">
        <f t="shared" si="25"/>
        <v>178.64683333333335</v>
      </c>
      <c r="O24" s="33">
        <f t="shared" si="25"/>
        <v>190.17113888888892</v>
      </c>
      <c r="P24" s="33">
        <f t="shared" si="25"/>
        <v>0</v>
      </c>
      <c r="Q24" s="33">
        <f t="shared" si="25"/>
        <v>180.60399308187499</v>
      </c>
      <c r="R24" s="33">
        <f t="shared" si="25"/>
        <v>36.437914147083326</v>
      </c>
      <c r="S24" s="33">
        <f t="shared" si="25"/>
        <v>47.197363182363766</v>
      </c>
      <c r="T24" s="33">
        <f t="shared" si="25"/>
        <v>117.09379005638888</v>
      </c>
      <c r="U24" s="33">
        <f t="shared" si="25"/>
        <v>99.418820291493063</v>
      </c>
      <c r="V24" s="33">
        <f t="shared" si="25"/>
        <v>17.333998139594563</v>
      </c>
      <c r="W24" s="33">
        <f t="shared" si="25"/>
        <v>75.413512869999977</v>
      </c>
      <c r="X24" s="33">
        <f t="shared" si="25"/>
        <v>0.15645000000000003</v>
      </c>
      <c r="Y24" s="33">
        <f t="shared" si="25"/>
        <v>0.52149999999999996</v>
      </c>
      <c r="Z24" s="33">
        <f t="shared" si="25"/>
        <v>0</v>
      </c>
      <c r="AA24" s="33">
        <f t="shared" si="25"/>
        <v>0.52149999999999996</v>
      </c>
      <c r="AB24" s="33">
        <f t="shared" si="25"/>
        <v>0.40399999999999997</v>
      </c>
      <c r="AC24" s="33">
        <f t="shared" si="25"/>
        <v>2.5999366082291666</v>
      </c>
      <c r="AD24" s="33">
        <f>SUM(AD12:AD23)</f>
        <v>0</v>
      </c>
      <c r="AE24" s="33">
        <f>SUM(AE12:AE23)</f>
        <v>0</v>
      </c>
      <c r="AF24" s="33">
        <f>SUM(AF12:AF23)</f>
        <v>56.631694444444449</v>
      </c>
      <c r="AG24" s="33">
        <f>SUM(AG12:AG23)</f>
        <v>56.631694444444449</v>
      </c>
      <c r="AH24" s="33">
        <f>SUM(AH12:AH23)</f>
        <v>54.800646587118301</v>
      </c>
    </row>
    <row r="25" spans="1:45" s="29" customFormat="1" x14ac:dyDescent="0.2">
      <c r="A25" s="172" t="s">
        <v>339</v>
      </c>
      <c r="B25" s="172"/>
      <c r="C25" s="172"/>
      <c r="D25" s="176"/>
      <c r="E25" s="176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1" t="s">
        <v>331</v>
      </c>
      <c r="U25" s="206"/>
      <c r="V25" s="206"/>
    </row>
    <row r="26" spans="1:45" s="29" customFormat="1" x14ac:dyDescent="0.2">
      <c r="A26" s="29" t="s">
        <v>338</v>
      </c>
      <c r="D26" s="32"/>
      <c r="E26" s="32"/>
    </row>
    <row r="27" spans="1:45" s="104" customFormat="1" ht="18" customHeight="1" x14ac:dyDescent="0.25">
      <c r="A27" s="98" t="s">
        <v>35</v>
      </c>
      <c r="B27" s="99"/>
      <c r="C27" s="102"/>
      <c r="D27" s="103"/>
      <c r="E27" s="103"/>
      <c r="F27" s="305" t="s">
        <v>117</v>
      </c>
      <c r="G27" s="306"/>
      <c r="H27" s="306"/>
      <c r="I27" s="306"/>
      <c r="J27" s="306"/>
      <c r="K27" s="306"/>
      <c r="L27" s="307" t="s">
        <v>118</v>
      </c>
      <c r="M27" s="306"/>
      <c r="N27" s="306"/>
      <c r="O27" s="306"/>
      <c r="P27" s="306"/>
      <c r="Q27" s="306"/>
      <c r="R27" s="137"/>
      <c r="S27" s="308" t="s">
        <v>71</v>
      </c>
      <c r="T27" s="309"/>
      <c r="U27" s="309"/>
      <c r="V27" s="309"/>
      <c r="W27" s="309"/>
      <c r="X27" s="309"/>
      <c r="Y27" s="137"/>
      <c r="Z27" s="137"/>
      <c r="AA27" s="137"/>
      <c r="AB27" s="137"/>
      <c r="AC27" s="161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</row>
    <row r="28" spans="1:45" s="2" customFormat="1" ht="72.75" customHeight="1" x14ac:dyDescent="0.2">
      <c r="A28" s="89"/>
      <c r="B28" s="89"/>
      <c r="C28" s="105" t="s">
        <v>8</v>
      </c>
      <c r="D28" s="105" t="s">
        <v>9</v>
      </c>
      <c r="E28" s="105"/>
      <c r="F28" s="83" t="s">
        <v>200</v>
      </c>
      <c r="G28" s="86" t="s">
        <v>0</v>
      </c>
      <c r="H28" s="83" t="s">
        <v>2</v>
      </c>
      <c r="I28" s="83" t="s">
        <v>3</v>
      </c>
      <c r="J28" s="83" t="s">
        <v>288</v>
      </c>
      <c r="K28" s="83" t="s">
        <v>289</v>
      </c>
      <c r="L28" s="89"/>
      <c r="M28" s="83" t="s">
        <v>202</v>
      </c>
      <c r="N28" s="86" t="s">
        <v>0</v>
      </c>
      <c r="O28" s="83" t="s">
        <v>289</v>
      </c>
      <c r="P28" s="83" t="s">
        <v>201</v>
      </c>
      <c r="Q28" s="86" t="s">
        <v>0</v>
      </c>
      <c r="S28" s="86" t="s">
        <v>119</v>
      </c>
      <c r="T28" s="83" t="s">
        <v>1</v>
      </c>
      <c r="U28" s="83" t="s">
        <v>4</v>
      </c>
      <c r="V28" s="86" t="s">
        <v>290</v>
      </c>
      <c r="W28" s="86" t="s">
        <v>120</v>
      </c>
      <c r="X28" s="86" t="s">
        <v>291</v>
      </c>
      <c r="Y28" s="83"/>
      <c r="AG28" s="59"/>
    </row>
    <row r="29" spans="1:45" ht="15.75" x14ac:dyDescent="0.25">
      <c r="A29" s="28" t="s">
        <v>235</v>
      </c>
      <c r="B29" s="29"/>
      <c r="C29" s="35">
        <f>B24*$D$3</f>
        <v>1.3891666666666669</v>
      </c>
      <c r="E29" s="35"/>
      <c r="F29" s="35">
        <f>($F9+$L9+$R9+$X9+$AD9+$AJ9)-F30</f>
        <v>142.25</v>
      </c>
      <c r="G29" s="35">
        <f>F29*$C29</f>
        <v>197.60895833333336</v>
      </c>
      <c r="H29" s="29">
        <f>H24+N24+T24+Z24+AF24+AL24</f>
        <v>708.92509561194447</v>
      </c>
      <c r="I29" s="29"/>
      <c r="J29" s="29"/>
      <c r="K29" s="29">
        <f>G29*J32</f>
        <v>52.764144120721568</v>
      </c>
      <c r="L29" s="29"/>
      <c r="M29" s="249">
        <v>15.01</v>
      </c>
      <c r="N29" s="35">
        <f>M29*$C29</f>
        <v>20.851391666666668</v>
      </c>
      <c r="O29" s="29">
        <f>J32*N29</f>
        <v>5.5675908840213051</v>
      </c>
      <c r="P29" s="226">
        <v>26.1</v>
      </c>
      <c r="Q29" s="35">
        <f>P29*$C29</f>
        <v>36.257250000000006</v>
      </c>
      <c r="S29" s="29">
        <f>F29+M29+P29</f>
        <v>183.35999999999999</v>
      </c>
      <c r="T29" s="29">
        <f>G29+N29+Q29</f>
        <v>254.71760000000003</v>
      </c>
      <c r="U29" s="29">
        <f>O29+K29</f>
        <v>58.331735004742875</v>
      </c>
      <c r="V29" s="29">
        <f>T29-U29</f>
        <v>196.38586499525715</v>
      </c>
      <c r="W29" s="29"/>
      <c r="X29" s="29"/>
      <c r="Y29" s="29"/>
      <c r="AG29" s="29"/>
      <c r="AH29" s="30"/>
      <c r="AI29" s="30"/>
      <c r="AM29" s="29"/>
    </row>
    <row r="30" spans="1:45" x14ac:dyDescent="0.2">
      <c r="A30" s="28" t="s">
        <v>236</v>
      </c>
      <c r="B30" s="29"/>
      <c r="C30" s="29"/>
      <c r="D30" s="35"/>
      <c r="E30" s="35"/>
      <c r="F30" s="35"/>
      <c r="G30" s="35"/>
      <c r="H30" s="29"/>
      <c r="I30" s="29"/>
      <c r="J30" s="29"/>
      <c r="K30" s="29"/>
      <c r="L30" s="29"/>
      <c r="M30" s="35">
        <v>0</v>
      </c>
      <c r="N30" s="35"/>
      <c r="O30" s="29"/>
      <c r="P30" s="29">
        <v>0</v>
      </c>
      <c r="Q30" s="35"/>
      <c r="S30" s="29"/>
      <c r="T30" s="29"/>
      <c r="U30" s="29"/>
      <c r="V30" s="29"/>
      <c r="W30" s="29"/>
      <c r="X30" s="29"/>
      <c r="Y30" s="29"/>
      <c r="AA30" s="112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</row>
    <row r="31" spans="1:45" s="29" customFormat="1" x14ac:dyDescent="0.2">
      <c r="A31" s="29" t="s">
        <v>48</v>
      </c>
      <c r="E31" s="35"/>
      <c r="F31" s="35">
        <f>F7+L7+R7+X7+AD7+AJ7</f>
        <v>2.5299999999999998</v>
      </c>
      <c r="G31" s="35">
        <f>F31*($C24-$D24)</f>
        <v>6.9975583333333322</v>
      </c>
      <c r="H31" s="29">
        <f>G24+M24+S24+Y24+AE24+AK24</f>
        <v>70.490890960141542</v>
      </c>
      <c r="K31" s="29">
        <f>G31*J32</f>
        <v>1.8684384529285523</v>
      </c>
      <c r="M31" s="249">
        <v>21.92</v>
      </c>
      <c r="N31" s="35">
        <f>M31*($C24-$D24)</f>
        <v>60.627066666666664</v>
      </c>
      <c r="O31" s="35">
        <f>J32*N31</f>
        <v>16.188209837230779</v>
      </c>
      <c r="P31" s="226">
        <v>0</v>
      </c>
      <c r="Q31" s="35">
        <f>P31*($C24-$D24)</f>
        <v>0</v>
      </c>
      <c r="R31" s="35"/>
      <c r="S31" s="29">
        <f>F31+M31+P31</f>
        <v>24.450000000000003</v>
      </c>
      <c r="T31" s="29">
        <f>G31+N31+Q31</f>
        <v>67.624624999999995</v>
      </c>
      <c r="U31" s="29">
        <f>O31+K31</f>
        <v>18.05664829015933</v>
      </c>
      <c r="V31" s="29">
        <f>T31-U31</f>
        <v>49.567976709840664</v>
      </c>
      <c r="W31" s="32"/>
      <c r="AH31" s="28"/>
      <c r="AI31" s="28"/>
      <c r="AJ31" s="28"/>
      <c r="AK31" s="28"/>
      <c r="AL31" s="28"/>
    </row>
    <row r="32" spans="1:45" ht="15.75" x14ac:dyDescent="0.25">
      <c r="A32" s="3" t="s">
        <v>71</v>
      </c>
      <c r="B32" s="29"/>
      <c r="D32" s="35"/>
      <c r="E32" s="35"/>
      <c r="F32" s="35">
        <f>SUM(F29:F31)</f>
        <v>144.78</v>
      </c>
      <c r="G32" s="35">
        <f>SUM(G29:G31)</f>
        <v>204.60651666666669</v>
      </c>
      <c r="H32" s="35">
        <f>SUM(H29:H31)</f>
        <v>779.41598657208601</v>
      </c>
      <c r="I32" s="29">
        <f>J24+P24+V24+AB24+AH24+AN24+AT24</f>
        <v>208.11413506928437</v>
      </c>
      <c r="J32" s="33">
        <f>I32/H32</f>
        <v>0.26701291563774782</v>
      </c>
      <c r="K32" s="35">
        <f>J32*G32</f>
        <v>54.632582573650119</v>
      </c>
      <c r="L32" s="29"/>
      <c r="M32" s="35">
        <f>SUM(M29:M31)</f>
        <v>36.93</v>
      </c>
      <c r="N32" s="35">
        <f>SUM(N29:N31)</f>
        <v>81.478458333333336</v>
      </c>
      <c r="O32" s="35">
        <f>SUM(O29:O31)</f>
        <v>21.755800721252086</v>
      </c>
      <c r="P32" s="35">
        <f>SUM(P29:P31)</f>
        <v>26.1</v>
      </c>
      <c r="Q32" s="35">
        <f>SUM(Q29:Q31)</f>
        <v>36.257250000000006</v>
      </c>
      <c r="S32" s="29">
        <f>SUM(S29:S31)</f>
        <v>207.81</v>
      </c>
      <c r="T32" s="29">
        <f>SUM(T29:T31)</f>
        <v>322.34222500000004</v>
      </c>
      <c r="U32" s="29">
        <f>SUM(U29:U31)</f>
        <v>76.388383294902212</v>
      </c>
      <c r="V32" s="29">
        <f>SUM(V29:V31)</f>
        <v>245.95384170509783</v>
      </c>
      <c r="W32" s="35">
        <f>(V32-Q32)*0.1+(Q32*0.02)</f>
        <v>21.694804170509787</v>
      </c>
      <c r="X32" s="29">
        <f>W32+V32</f>
        <v>267.6486458756076</v>
      </c>
      <c r="Y32" s="29"/>
      <c r="AG32" s="29"/>
      <c r="AM32" s="29"/>
    </row>
    <row r="33" spans="1:37" ht="15.75" x14ac:dyDescent="0.25">
      <c r="A33" s="29"/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A33" s="29"/>
      <c r="AF33" s="29"/>
      <c r="AG33" s="29"/>
      <c r="AH33" s="30"/>
      <c r="AI33" s="30"/>
      <c r="AK33" s="30"/>
    </row>
    <row r="34" spans="1:37" ht="15.75" x14ac:dyDescent="0.25">
      <c r="A34" s="29" t="s">
        <v>121</v>
      </c>
      <c r="B34" s="29"/>
      <c r="C34" s="29"/>
      <c r="D34" s="35"/>
      <c r="E34" s="35"/>
      <c r="F34" s="35"/>
      <c r="G34" s="35"/>
      <c r="H34" s="29"/>
      <c r="I34" s="29"/>
      <c r="J34" s="35"/>
      <c r="K34" s="35"/>
      <c r="L34" s="29"/>
      <c r="M34" s="35"/>
      <c r="N34" s="35"/>
      <c r="O34" s="29"/>
      <c r="P34" s="35"/>
      <c r="Q34" s="35"/>
      <c r="R34" s="35"/>
      <c r="S34" s="29"/>
      <c r="T34" s="29"/>
      <c r="U34" s="29"/>
      <c r="V34" s="29"/>
      <c r="W34" s="29"/>
      <c r="X34" s="3"/>
      <c r="Y34" s="29"/>
      <c r="Z34" s="29"/>
      <c r="AG34" s="29"/>
    </row>
    <row r="35" spans="1:37" s="29" customFormat="1" x14ac:dyDescent="0.2">
      <c r="A35" s="29" t="s">
        <v>343</v>
      </c>
      <c r="D35" s="32"/>
      <c r="E35" s="32"/>
    </row>
    <row r="36" spans="1:37" s="97" customFormat="1" ht="15.75" x14ac:dyDescent="0.25">
      <c r="A36" s="100" t="s">
        <v>192</v>
      </c>
      <c r="B36" s="100"/>
      <c r="D36" s="94"/>
      <c r="E36" s="94"/>
      <c r="F36" s="94"/>
      <c r="G36" s="101"/>
      <c r="H36" s="94"/>
      <c r="I36" s="94"/>
      <c r="J36" s="94"/>
      <c r="K36" s="94"/>
      <c r="L36" s="94"/>
      <c r="M36" s="101"/>
      <c r="N36" s="94"/>
      <c r="O36" s="94"/>
      <c r="P36" s="94"/>
      <c r="Q36" s="94"/>
      <c r="R36" s="94"/>
      <c r="S36" s="101"/>
      <c r="T36" s="94"/>
      <c r="U36" s="94"/>
      <c r="V36" s="95"/>
      <c r="W36" s="95"/>
      <c r="X36" s="95"/>
      <c r="Y36" s="96"/>
      <c r="Z36" s="95"/>
      <c r="AA36" s="95"/>
      <c r="AF36" s="95"/>
      <c r="AG36" s="95"/>
    </row>
    <row r="37" spans="1:37" ht="15.75" x14ac:dyDescent="0.25">
      <c r="A37" s="3"/>
      <c r="B37" s="3"/>
      <c r="C37" s="3"/>
      <c r="F37" s="33" t="s">
        <v>87</v>
      </c>
      <c r="G37" s="33" t="s">
        <v>88</v>
      </c>
      <c r="H37" s="33" t="s">
        <v>89</v>
      </c>
      <c r="I37" s="33" t="s">
        <v>90</v>
      </c>
      <c r="J37" s="33" t="s">
        <v>23</v>
      </c>
      <c r="K37" s="33" t="s">
        <v>91</v>
      </c>
      <c r="L37" s="33" t="s">
        <v>92</v>
      </c>
      <c r="M37" s="33" t="s">
        <v>93</v>
      </c>
      <c r="N37" s="33" t="s">
        <v>94</v>
      </c>
      <c r="O37" s="33" t="s">
        <v>95</v>
      </c>
      <c r="P37" s="33" t="s">
        <v>96</v>
      </c>
      <c r="Q37" s="33" t="s">
        <v>97</v>
      </c>
      <c r="R37" s="33" t="s">
        <v>71</v>
      </c>
      <c r="V37" s="29"/>
      <c r="W37" s="29"/>
      <c r="X37" s="29"/>
      <c r="Y37" s="32"/>
      <c r="Z37" s="29"/>
      <c r="AA37" s="29"/>
      <c r="AF37" s="29"/>
      <c r="AG37" s="29"/>
    </row>
    <row r="38" spans="1:37" ht="15.75" x14ac:dyDescent="0.25">
      <c r="A38" s="3"/>
      <c r="B38" s="3"/>
      <c r="C38" s="3"/>
      <c r="F38" s="33"/>
      <c r="G38" s="27"/>
      <c r="H38" s="27"/>
      <c r="I38" s="33"/>
      <c r="J38" s="27"/>
      <c r="K38" s="27"/>
      <c r="L38" s="27"/>
      <c r="M38" s="27"/>
      <c r="N38" s="33"/>
      <c r="O38" s="27"/>
      <c r="P38" s="33"/>
      <c r="Q38" s="27"/>
      <c r="R38" s="33"/>
      <c r="V38" s="29"/>
      <c r="W38" s="29"/>
      <c r="X38" s="29"/>
      <c r="Y38" s="32"/>
      <c r="Z38" s="29"/>
      <c r="AA38" s="29"/>
      <c r="AF38" s="29"/>
      <c r="AG38" s="29"/>
    </row>
    <row r="39" spans="1:37" ht="15.75" x14ac:dyDescent="0.25">
      <c r="A39" s="3" t="s">
        <v>329</v>
      </c>
      <c r="B39" s="3"/>
      <c r="C39" s="29"/>
      <c r="F39" s="226">
        <v>0</v>
      </c>
      <c r="G39" s="226">
        <v>0</v>
      </c>
      <c r="H39" s="226">
        <v>0</v>
      </c>
      <c r="I39" s="226">
        <v>0.56000000000000005</v>
      </c>
      <c r="J39" s="226">
        <v>2.6</v>
      </c>
      <c r="K39" s="226">
        <v>4.38</v>
      </c>
      <c r="L39" s="226">
        <v>2.33</v>
      </c>
      <c r="M39" s="226">
        <v>2.96</v>
      </c>
      <c r="N39" s="226">
        <v>2.92</v>
      </c>
      <c r="O39" s="226">
        <v>1.57</v>
      </c>
      <c r="P39" s="226">
        <v>0</v>
      </c>
      <c r="Q39" s="226">
        <v>0</v>
      </c>
      <c r="R39" s="29">
        <f>SUM(F39:Q39)</f>
        <v>17.32</v>
      </c>
      <c r="V39" s="29"/>
      <c r="W39" s="29"/>
      <c r="X39" s="29"/>
      <c r="Y39" s="32"/>
      <c r="Z39" s="29"/>
      <c r="AA39" s="29"/>
      <c r="AB39" s="29"/>
      <c r="AC39" s="29"/>
      <c r="AD39" s="29"/>
      <c r="AE39" s="32"/>
      <c r="AF39" s="29"/>
      <c r="AG39" s="29"/>
    </row>
    <row r="40" spans="1:37" ht="15.75" x14ac:dyDescent="0.25">
      <c r="A40" s="3" t="s">
        <v>98</v>
      </c>
      <c r="B40" s="3"/>
      <c r="C40" s="29"/>
      <c r="F40" s="29">
        <f t="shared" ref="F40:Q40" si="26">F39/$R39</f>
        <v>0</v>
      </c>
      <c r="G40" s="29">
        <f t="shared" si="26"/>
        <v>0</v>
      </c>
      <c r="H40" s="29">
        <f t="shared" si="26"/>
        <v>0</v>
      </c>
      <c r="I40" s="29">
        <f t="shared" si="26"/>
        <v>3.2332563510392612E-2</v>
      </c>
      <c r="J40" s="29">
        <f t="shared" si="26"/>
        <v>0.15011547344110854</v>
      </c>
      <c r="K40" s="29">
        <f t="shared" si="26"/>
        <v>0.25288683602771361</v>
      </c>
      <c r="L40" s="29">
        <f t="shared" si="26"/>
        <v>0.13452655889145496</v>
      </c>
      <c r="M40" s="29">
        <f t="shared" si="26"/>
        <v>0.17090069284064666</v>
      </c>
      <c r="N40" s="29">
        <f t="shared" si="26"/>
        <v>0.16859122401847573</v>
      </c>
      <c r="O40" s="29">
        <f t="shared" si="26"/>
        <v>9.0646651270207851E-2</v>
      </c>
      <c r="P40" s="29">
        <f t="shared" si="26"/>
        <v>0</v>
      </c>
      <c r="Q40" s="29">
        <f t="shared" si="26"/>
        <v>0</v>
      </c>
      <c r="R40" s="29">
        <f>SUM(F40:Q40)</f>
        <v>1</v>
      </c>
      <c r="V40" s="29"/>
      <c r="W40" s="29"/>
      <c r="X40" s="29"/>
      <c r="Y40" s="32"/>
      <c r="Z40" s="29"/>
      <c r="AA40" s="29"/>
      <c r="AB40" s="29"/>
      <c r="AC40" s="29"/>
      <c r="AD40" s="29"/>
      <c r="AE40" s="32"/>
      <c r="AF40" s="29"/>
      <c r="AG40" s="29"/>
    </row>
    <row r="41" spans="1:37" ht="16.5" thickBot="1" x14ac:dyDescent="0.3">
      <c r="A41" s="3"/>
      <c r="B41" s="3"/>
      <c r="C41" s="29"/>
      <c r="F41" s="216"/>
      <c r="G41" s="32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32"/>
      <c r="T41" s="29"/>
      <c r="V41" s="29"/>
      <c r="W41" s="29"/>
      <c r="X41" s="29"/>
      <c r="Y41" s="32"/>
      <c r="Z41" s="29"/>
      <c r="AA41" s="29"/>
      <c r="AB41" s="29"/>
      <c r="AC41" s="29"/>
      <c r="AD41" s="29"/>
      <c r="AE41" s="32"/>
      <c r="AF41" s="29"/>
      <c r="AG41" s="29"/>
    </row>
    <row r="42" spans="1:37" s="95" customFormat="1" ht="16.5" thickBot="1" x14ac:dyDescent="0.3">
      <c r="A42" s="94" t="s">
        <v>191</v>
      </c>
      <c r="B42" s="94"/>
      <c r="F42" s="282">
        <v>16.670000000000002</v>
      </c>
      <c r="G42" s="94" t="s">
        <v>10</v>
      </c>
      <c r="Z42" s="94"/>
      <c r="AA42" s="94"/>
      <c r="AB42" s="94"/>
      <c r="AC42" s="94"/>
      <c r="AD42" s="94"/>
      <c r="AE42" s="101"/>
      <c r="AF42" s="94"/>
      <c r="AG42" s="94"/>
    </row>
    <row r="43" spans="1:37" ht="15.75" x14ac:dyDescent="0.25">
      <c r="A43" s="3"/>
      <c r="B43" s="3"/>
      <c r="C43" s="29"/>
      <c r="F43" s="33" t="s">
        <v>87</v>
      </c>
      <c r="G43" s="33" t="s">
        <v>88</v>
      </c>
      <c r="H43" s="33" t="s">
        <v>89</v>
      </c>
      <c r="I43" s="33" t="s">
        <v>90</v>
      </c>
      <c r="J43" s="33" t="s">
        <v>23</v>
      </c>
      <c r="K43" s="33" t="s">
        <v>91</v>
      </c>
      <c r="L43" s="33" t="s">
        <v>92</v>
      </c>
      <c r="M43" s="33" t="s">
        <v>93</v>
      </c>
      <c r="N43" s="33" t="s">
        <v>94</v>
      </c>
      <c r="O43" s="33" t="s">
        <v>95</v>
      </c>
      <c r="P43" s="33" t="s">
        <v>96</v>
      </c>
      <c r="Q43" s="33" t="s">
        <v>97</v>
      </c>
      <c r="R43" s="33" t="s">
        <v>71</v>
      </c>
      <c r="V43" s="29"/>
      <c r="W43" s="29"/>
      <c r="X43" s="29"/>
      <c r="Y43" s="32"/>
      <c r="Z43" s="29"/>
      <c r="AA43" s="29"/>
      <c r="AB43" s="29"/>
      <c r="AC43" s="29"/>
      <c r="AD43" s="29"/>
      <c r="AE43" s="32"/>
      <c r="AF43" s="29"/>
      <c r="AG43" s="29"/>
    </row>
    <row r="44" spans="1:37" ht="15.75" x14ac:dyDescent="0.25">
      <c r="A44" s="3"/>
      <c r="B44" s="3"/>
      <c r="C44" s="29"/>
      <c r="F44" s="33"/>
      <c r="G44" s="27"/>
      <c r="H44" s="27"/>
      <c r="I44" s="33"/>
      <c r="J44" s="27"/>
      <c r="K44" s="27"/>
      <c r="L44" s="27"/>
      <c r="M44" s="27"/>
      <c r="N44" s="33"/>
      <c r="O44" s="27"/>
      <c r="P44" s="33"/>
      <c r="Q44" s="27"/>
      <c r="R44" s="33"/>
      <c r="V44" s="29"/>
      <c r="W44" s="29"/>
      <c r="X44" s="29"/>
      <c r="Y44" s="32"/>
      <c r="Z44" s="29"/>
      <c r="AA44" s="29"/>
      <c r="AB44" s="29"/>
      <c r="AC44" s="29"/>
      <c r="AD44" s="29"/>
      <c r="AE44" s="32"/>
      <c r="AF44" s="29"/>
      <c r="AG44" s="29"/>
    </row>
    <row r="45" spans="1:37" ht="15.75" x14ac:dyDescent="0.25">
      <c r="A45" s="3" t="s">
        <v>7</v>
      </c>
      <c r="B45" s="3"/>
      <c r="C45" s="29"/>
      <c r="F45" s="29">
        <f t="shared" ref="F45:Q45" si="27">F40*$F42</f>
        <v>0</v>
      </c>
      <c r="G45" s="29">
        <f t="shared" si="27"/>
        <v>0</v>
      </c>
      <c r="H45" s="29">
        <f t="shared" si="27"/>
        <v>0</v>
      </c>
      <c r="I45" s="29">
        <f t="shared" si="27"/>
        <v>0.53898383371824488</v>
      </c>
      <c r="J45" s="29">
        <f t="shared" si="27"/>
        <v>2.5024249422632794</v>
      </c>
      <c r="K45" s="29">
        <f t="shared" si="27"/>
        <v>4.2156235565819866</v>
      </c>
      <c r="L45" s="29">
        <f t="shared" si="27"/>
        <v>2.2425577367205545</v>
      </c>
      <c r="M45" s="29">
        <f t="shared" si="27"/>
        <v>2.8489145496535802</v>
      </c>
      <c r="N45" s="29">
        <f t="shared" si="27"/>
        <v>2.8104157043879909</v>
      </c>
      <c r="O45" s="29">
        <f t="shared" si="27"/>
        <v>1.511079676674365</v>
      </c>
      <c r="P45" s="29">
        <f t="shared" si="27"/>
        <v>0</v>
      </c>
      <c r="Q45" s="29">
        <f t="shared" si="27"/>
        <v>0</v>
      </c>
      <c r="R45" s="29">
        <f>SUM(F45:Q45)</f>
        <v>16.670000000000002</v>
      </c>
      <c r="V45" s="29"/>
      <c r="W45" s="29"/>
      <c r="Y45" s="32"/>
      <c r="Z45" s="29"/>
      <c r="AA45" s="29"/>
      <c r="AB45" s="29"/>
      <c r="AC45" s="29"/>
      <c r="AD45" s="29"/>
      <c r="AE45" s="32"/>
      <c r="AF45" s="29"/>
      <c r="AG45" s="29"/>
    </row>
    <row r="46" spans="1:37" ht="15.75" x14ac:dyDescent="0.25">
      <c r="A46" s="3" t="s">
        <v>6</v>
      </c>
      <c r="B46" s="3"/>
      <c r="C46" s="29"/>
      <c r="F46" s="29">
        <f t="shared" ref="F46:Q46" si="28">F45/12</f>
        <v>0</v>
      </c>
      <c r="G46" s="29">
        <f t="shared" si="28"/>
        <v>0</v>
      </c>
      <c r="H46" s="29">
        <f t="shared" si="28"/>
        <v>0</v>
      </c>
      <c r="I46" s="29">
        <f t="shared" si="28"/>
        <v>4.4915319476520409E-2</v>
      </c>
      <c r="J46" s="29">
        <f t="shared" si="28"/>
        <v>0.20853541185527327</v>
      </c>
      <c r="K46" s="29">
        <f t="shared" si="28"/>
        <v>0.35130196304849887</v>
      </c>
      <c r="L46" s="29">
        <f t="shared" si="28"/>
        <v>0.18687981139337953</v>
      </c>
      <c r="M46" s="29">
        <f t="shared" si="28"/>
        <v>0.23740954580446502</v>
      </c>
      <c r="N46" s="29">
        <f t="shared" si="28"/>
        <v>0.23420130869899924</v>
      </c>
      <c r="O46" s="29">
        <f t="shared" si="28"/>
        <v>0.12592330638953042</v>
      </c>
      <c r="P46" s="29">
        <f t="shared" si="28"/>
        <v>0</v>
      </c>
      <c r="Q46" s="29">
        <f t="shared" si="28"/>
        <v>0</v>
      </c>
      <c r="R46" s="29">
        <f>SUM(F46:Q46)</f>
        <v>1.3891666666666667</v>
      </c>
      <c r="U46" s="29"/>
      <c r="V46" s="29"/>
      <c r="W46" s="29"/>
      <c r="X46" s="29"/>
      <c r="Y46" s="32"/>
      <c r="Z46" s="29"/>
      <c r="AA46" s="29"/>
      <c r="AB46" s="29"/>
      <c r="AC46" s="29"/>
      <c r="AD46" s="29"/>
      <c r="AE46" s="32"/>
      <c r="AF46" s="29"/>
      <c r="AG46" s="29"/>
    </row>
    <row r="52" spans="1:2" x14ac:dyDescent="0.2">
      <c r="A52" s="123"/>
      <c r="B52" s="29"/>
    </row>
    <row r="53" spans="1:2" x14ac:dyDescent="0.2">
      <c r="A53" s="35"/>
      <c r="B53" s="29"/>
    </row>
    <row r="54" spans="1:2" x14ac:dyDescent="0.2">
      <c r="A54" s="35"/>
      <c r="B54" s="29"/>
    </row>
    <row r="55" spans="1:2" x14ac:dyDescent="0.2">
      <c r="A55" s="35"/>
      <c r="B55" s="29"/>
    </row>
    <row r="56" spans="1:2" x14ac:dyDescent="0.2">
      <c r="A56" s="35"/>
      <c r="B56" s="29"/>
    </row>
    <row r="57" spans="1:2" x14ac:dyDescent="0.2">
      <c r="A57" s="35"/>
      <c r="B57" s="29"/>
    </row>
    <row r="58" spans="1:2" x14ac:dyDescent="0.2">
      <c r="A58" s="35"/>
      <c r="B58" s="29"/>
    </row>
    <row r="59" spans="1:2" x14ac:dyDescent="0.2">
      <c r="A59" s="35"/>
      <c r="B59" s="29"/>
    </row>
    <row r="60" spans="1:2" x14ac:dyDescent="0.2">
      <c r="A60" s="35"/>
      <c r="B60" s="29"/>
    </row>
    <row r="61" spans="1:2" x14ac:dyDescent="0.2">
      <c r="A61" s="35"/>
      <c r="B61" s="29"/>
    </row>
    <row r="62" spans="1:2" x14ac:dyDescent="0.2">
      <c r="A62" s="35"/>
      <c r="B62" s="29"/>
    </row>
    <row r="63" spans="1:2" x14ac:dyDescent="0.2">
      <c r="A63" s="35"/>
      <c r="B63" s="29"/>
    </row>
  </sheetData>
  <sheetProtection formatColumns="0"/>
  <mergeCells count="10">
    <mergeCell ref="F27:K27"/>
    <mergeCell ref="L27:Q27"/>
    <mergeCell ref="S27:X27"/>
    <mergeCell ref="A3:C3"/>
    <mergeCell ref="K6:P6"/>
    <mergeCell ref="Q6:V6"/>
    <mergeCell ref="W6:AB6"/>
    <mergeCell ref="AJ6:AN6"/>
    <mergeCell ref="E6:J6"/>
    <mergeCell ref="AC6:AH6"/>
  </mergeCells>
  <phoneticPr fontId="0" type="noConversion"/>
  <printOptions horizontalCentered="1" gridLines="1"/>
  <pageMargins left="0.75" right="0.25" top="0.75" bottom="0.75" header="0.5" footer="0.5"/>
  <pageSetup paperSize="17" scale="54" orientation="landscape" r:id="rId1"/>
  <headerFooter alignWithMargins="0">
    <oddHeader>&amp;L&amp;D</oddHeader>
    <oddFooter>&amp;L&amp;F&amp;R&amp;A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V62"/>
  <sheetViews>
    <sheetView zoomScaleNormal="100" zoomScaleSheetLayoutView="75" workbookViewId="0">
      <selection activeCell="F9" sqref="F9"/>
    </sheetView>
  </sheetViews>
  <sheetFormatPr defaultColWidth="9.140625" defaultRowHeight="15" x14ac:dyDescent="0.2"/>
  <cols>
    <col min="1" max="1" width="28.28515625" style="28" customWidth="1"/>
    <col min="2" max="24" width="10.7109375" style="28" customWidth="1"/>
    <col min="25" max="25" width="8.7109375" style="28" customWidth="1"/>
    <col min="26" max="27" width="9.85546875" style="28" bestFit="1" customWidth="1"/>
    <col min="28" max="28" width="8.7109375" style="28" bestFit="1" customWidth="1"/>
    <col min="29" max="30" width="9.85546875" style="28" bestFit="1" customWidth="1"/>
    <col min="31" max="31" width="10.140625" style="28" customWidth="1"/>
    <col min="32" max="33" width="9.85546875" style="28" bestFit="1" customWidth="1"/>
    <col min="34" max="34" width="9" style="28" customWidth="1"/>
    <col min="35" max="35" width="15.7109375" style="28" customWidth="1"/>
    <col min="36" max="36" width="7.140625" style="28" bestFit="1" customWidth="1"/>
    <col min="37" max="37" width="8.7109375" style="28" customWidth="1"/>
    <col min="38" max="39" width="8.7109375" style="28" bestFit="1" customWidth="1"/>
    <col min="40" max="40" width="8.85546875" style="28" customWidth="1"/>
    <col min="41" max="207" width="9.7109375" style="28" customWidth="1"/>
    <col min="208" max="16384" width="9.140625" style="28"/>
  </cols>
  <sheetData>
    <row r="1" spans="1:48" ht="18" x14ac:dyDescent="0.25">
      <c r="A1" s="39" t="s">
        <v>30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8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236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</row>
    <row r="3" spans="1:48" s="29" customFormat="1" ht="18.75" x14ac:dyDescent="0.25">
      <c r="A3" s="298" t="s">
        <v>164</v>
      </c>
      <c r="B3" s="298"/>
      <c r="C3" s="298"/>
      <c r="D3" s="40">
        <v>0.375</v>
      </c>
      <c r="E3" s="29" t="s">
        <v>170</v>
      </c>
      <c r="P3" s="32"/>
      <c r="R3" s="235"/>
      <c r="T3" s="32"/>
      <c r="Y3" s="32"/>
      <c r="AB3" s="3"/>
      <c r="AD3" s="35"/>
    </row>
    <row r="4" spans="1:48" ht="18" x14ac:dyDescent="0.2">
      <c r="A4" s="65" t="s">
        <v>221</v>
      </c>
      <c r="B4" s="29"/>
      <c r="C4" s="34"/>
      <c r="D4" s="34"/>
      <c r="E4" s="34"/>
      <c r="F4" s="34"/>
      <c r="G4" s="34"/>
      <c r="H4" s="34"/>
      <c r="L4" s="29"/>
      <c r="M4" s="29"/>
      <c r="N4" s="29"/>
      <c r="O4" s="32"/>
      <c r="P4" s="29"/>
      <c r="Q4" s="29"/>
    </row>
    <row r="5" spans="1:48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84"/>
      <c r="AH5" s="81"/>
      <c r="AI5" s="81"/>
      <c r="AJ5" s="81"/>
      <c r="AK5" s="81"/>
      <c r="AL5" s="81"/>
      <c r="AM5" s="81"/>
      <c r="AN5" s="81"/>
      <c r="AO5" s="81"/>
    </row>
    <row r="6" spans="1:48" s="29" customFormat="1" ht="15.75" customHeight="1" x14ac:dyDescent="0.25">
      <c r="A6" s="27"/>
      <c r="B6" s="27"/>
      <c r="D6" s="27"/>
      <c r="E6" s="303" t="s">
        <v>31</v>
      </c>
      <c r="F6" s="304"/>
      <c r="G6" s="304"/>
      <c r="H6" s="304"/>
      <c r="I6" s="304"/>
      <c r="J6" s="304"/>
      <c r="K6" s="69"/>
      <c r="L6" s="302"/>
      <c r="M6" s="302"/>
      <c r="N6" s="302"/>
      <c r="O6" s="302"/>
      <c r="P6" s="302"/>
      <c r="Q6" s="49"/>
      <c r="R6" s="302"/>
      <c r="S6" s="302"/>
      <c r="T6" s="302"/>
      <c r="U6" s="302"/>
      <c r="V6" s="302"/>
      <c r="W6" s="49"/>
      <c r="X6" s="302"/>
      <c r="Y6" s="302"/>
      <c r="Z6" s="302"/>
      <c r="AA6" s="302"/>
      <c r="AB6" s="302"/>
      <c r="AC6" s="49"/>
      <c r="AD6" s="302"/>
      <c r="AE6" s="302"/>
      <c r="AF6" s="302"/>
      <c r="AG6" s="302"/>
      <c r="AH6" s="302"/>
      <c r="AI6" s="49"/>
      <c r="AJ6" s="302"/>
      <c r="AK6" s="302"/>
      <c r="AL6" s="302"/>
      <c r="AM6" s="302"/>
      <c r="AN6" s="302"/>
      <c r="AO6" s="49"/>
      <c r="AP6" s="302"/>
      <c r="AQ6" s="302"/>
      <c r="AR6" s="302"/>
      <c r="AS6" s="302"/>
      <c r="AT6" s="302"/>
    </row>
    <row r="7" spans="1:48" s="29" customFormat="1" x14ac:dyDescent="0.2">
      <c r="F7" s="249">
        <v>0</v>
      </c>
      <c r="G7" s="82" t="s">
        <v>185</v>
      </c>
      <c r="H7" s="82"/>
      <c r="I7" s="82"/>
      <c r="L7" s="35"/>
      <c r="M7" s="82"/>
      <c r="N7" s="82"/>
      <c r="O7" s="82"/>
      <c r="S7" s="82"/>
      <c r="T7" s="82"/>
      <c r="U7" s="82"/>
      <c r="X7" s="35"/>
      <c r="Y7" s="82"/>
      <c r="Z7" s="82"/>
      <c r="AA7" s="82"/>
      <c r="AD7" s="35"/>
      <c r="AE7" s="82"/>
      <c r="AF7" s="82"/>
      <c r="AG7" s="82"/>
      <c r="AJ7" s="35"/>
      <c r="AK7" s="82"/>
      <c r="AL7" s="82"/>
      <c r="AM7" s="82"/>
      <c r="AP7" s="35"/>
      <c r="AQ7" s="82"/>
      <c r="AR7" s="82"/>
      <c r="AS7" s="82"/>
      <c r="AV7" s="82"/>
    </row>
    <row r="8" spans="1:48" s="29" customFormat="1" x14ac:dyDescent="0.2">
      <c r="F8" s="35">
        <v>0</v>
      </c>
      <c r="G8" s="82" t="s">
        <v>205</v>
      </c>
      <c r="H8" s="82"/>
      <c r="I8" s="82"/>
      <c r="L8" s="35"/>
      <c r="M8" s="235"/>
      <c r="N8" s="82"/>
      <c r="O8" s="82"/>
      <c r="R8" s="35"/>
      <c r="S8" s="82"/>
      <c r="T8" s="82"/>
      <c r="U8" s="82"/>
      <c r="X8" s="35"/>
      <c r="Y8" s="82"/>
      <c r="Z8" s="82"/>
      <c r="AA8" s="82"/>
      <c r="AD8" s="35"/>
      <c r="AE8" s="82"/>
      <c r="AF8" s="82"/>
      <c r="AG8" s="82"/>
      <c r="AJ8" s="35"/>
      <c r="AK8" s="82"/>
      <c r="AL8" s="82"/>
      <c r="AM8" s="82"/>
      <c r="AP8" s="35"/>
      <c r="AQ8" s="82"/>
      <c r="AR8" s="82"/>
      <c r="AS8" s="82"/>
    </row>
    <row r="9" spans="1:48" s="29" customFormat="1" x14ac:dyDescent="0.2">
      <c r="C9" s="32"/>
      <c r="F9" s="226">
        <v>17.89</v>
      </c>
      <c r="G9" s="29" t="s">
        <v>193</v>
      </c>
      <c r="L9" s="35"/>
      <c r="M9" s="236"/>
      <c r="R9" s="35"/>
      <c r="X9" s="35"/>
    </row>
    <row r="10" spans="1:48" s="29" customFormat="1" x14ac:dyDescent="0.2">
      <c r="C10" s="32"/>
      <c r="F10" s="35">
        <f>SUM(F7:F9)</f>
        <v>17.89</v>
      </c>
      <c r="G10" s="29" t="s">
        <v>194</v>
      </c>
      <c r="L10" s="35"/>
      <c r="R10" s="35"/>
      <c r="X10" s="35"/>
      <c r="AD10" s="35"/>
      <c r="AJ10" s="35"/>
    </row>
    <row r="11" spans="1:48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/>
      <c r="L11" s="86"/>
      <c r="M11" s="86"/>
      <c r="N11" s="86"/>
      <c r="O11" s="86"/>
      <c r="P11" s="86"/>
      <c r="Q11" s="87"/>
      <c r="R11" s="86"/>
      <c r="S11" s="86"/>
      <c r="T11" s="86"/>
      <c r="U11" s="86"/>
      <c r="V11" s="86"/>
      <c r="W11" s="87"/>
      <c r="X11" s="86"/>
      <c r="Y11" s="86"/>
      <c r="Z11" s="86"/>
      <c r="AA11" s="86"/>
      <c r="AB11" s="86"/>
      <c r="AC11" s="87"/>
      <c r="AD11" s="86"/>
      <c r="AE11" s="86"/>
      <c r="AF11" s="86"/>
      <c r="AG11" s="86"/>
      <c r="AH11" s="86"/>
      <c r="AI11" s="87"/>
      <c r="AJ11" s="86"/>
      <c r="AK11" s="86"/>
      <c r="AL11" s="86"/>
      <c r="AM11" s="86"/>
      <c r="AN11" s="86"/>
      <c r="AO11" s="87"/>
      <c r="AP11" s="86"/>
      <c r="AQ11" s="86"/>
      <c r="AR11" s="86"/>
      <c r="AS11" s="86"/>
      <c r="AT11" s="86"/>
    </row>
    <row r="12" spans="1:48" s="59" customFormat="1" ht="15.75" customHeight="1" x14ac:dyDescent="0.25">
      <c r="A12" s="36" t="s">
        <v>175</v>
      </c>
      <c r="B12" s="35">
        <f>F45/$D$3</f>
        <v>0</v>
      </c>
      <c r="C12" s="123">
        <f>1.64/12</f>
        <v>0.13666666666666666</v>
      </c>
      <c r="D12" s="278">
        <v>0.10833333333333334</v>
      </c>
      <c r="E12" s="249">
        <v>0</v>
      </c>
      <c r="F12" s="35">
        <f>$F$7*(IF($C12-$D12&lt;0,0,ABS($C12-$D12)))</f>
        <v>0</v>
      </c>
      <c r="G12" s="35">
        <f t="shared" ref="G12:G23" si="0">F12/$D$3</f>
        <v>0</v>
      </c>
      <c r="H12" s="29">
        <f>F$9*$B12</f>
        <v>0</v>
      </c>
      <c r="I12" s="35">
        <f>G12+H12</f>
        <v>0</v>
      </c>
      <c r="J12" s="35">
        <f>IF(E12-I12&gt;0,0,ABS(E12-I12))</f>
        <v>0</v>
      </c>
      <c r="K12" s="27"/>
      <c r="L12" s="276"/>
      <c r="M12" s="123">
        <f>2.48/12</f>
        <v>0.20666666666666667</v>
      </c>
      <c r="N12" s="59">
        <f>M12*12</f>
        <v>2.48</v>
      </c>
      <c r="O12" s="272"/>
      <c r="P12" s="86"/>
      <c r="Q12" s="27"/>
      <c r="R12" s="35"/>
      <c r="S12" s="86"/>
      <c r="T12" s="86"/>
      <c r="U12" s="86"/>
      <c r="V12" s="86"/>
      <c r="W12" s="27"/>
      <c r="X12" s="35"/>
      <c r="Y12" s="86"/>
      <c r="Z12" s="86"/>
      <c r="AA12" s="86"/>
      <c r="AB12" s="86"/>
      <c r="AC12" s="27"/>
      <c r="AD12" s="35"/>
      <c r="AE12" s="86"/>
      <c r="AF12" s="86"/>
      <c r="AG12" s="86"/>
      <c r="AH12" s="86"/>
      <c r="AI12" s="35"/>
      <c r="AJ12" s="86"/>
      <c r="AK12" s="86"/>
      <c r="AL12" s="86"/>
      <c r="AM12" s="86"/>
      <c r="AN12" s="86"/>
      <c r="AO12" s="27"/>
      <c r="AP12" s="35"/>
      <c r="AQ12" s="86"/>
      <c r="AR12" s="86"/>
      <c r="AS12" s="86"/>
      <c r="AT12" s="86"/>
    </row>
    <row r="13" spans="1:48" s="29" customFormat="1" ht="15.75" x14ac:dyDescent="0.25">
      <c r="A13" s="36" t="s">
        <v>21</v>
      </c>
      <c r="B13" s="35">
        <f>G45/$D$3</f>
        <v>0</v>
      </c>
      <c r="C13" s="35">
        <f>2.16/12</f>
        <v>0.18000000000000002</v>
      </c>
      <c r="D13" s="278">
        <v>0.1075</v>
      </c>
      <c r="E13" s="249">
        <v>0</v>
      </c>
      <c r="F13" s="35">
        <f t="shared" ref="F13:F23" si="1">$F$7*(IF($C13-$D13&lt;0,0,ABS($C13-$D13)))</f>
        <v>0</v>
      </c>
      <c r="G13" s="35">
        <f t="shared" si="0"/>
        <v>0</v>
      </c>
      <c r="H13" s="29">
        <f>F$9*$B13</f>
        <v>0</v>
      </c>
      <c r="I13" s="35">
        <f t="shared" ref="I13:I22" si="2">G13+H13</f>
        <v>0</v>
      </c>
      <c r="J13" s="35">
        <f>IF(E13-I13&gt;0,0,ABS(E13-I13))</f>
        <v>0</v>
      </c>
      <c r="L13" s="276"/>
      <c r="M13" s="35">
        <f>3.28/12</f>
        <v>0.27333333333333332</v>
      </c>
      <c r="N13" s="59">
        <f t="shared" ref="N13:N23" si="3">M13*12</f>
        <v>3.28</v>
      </c>
      <c r="O13" s="272"/>
      <c r="P13" s="35"/>
      <c r="R13" s="35"/>
      <c r="S13" s="35"/>
      <c r="U13" s="35"/>
      <c r="V13" s="35"/>
      <c r="X13" s="35"/>
      <c r="Y13" s="35"/>
      <c r="AA13" s="35"/>
      <c r="AB13" s="35"/>
      <c r="AD13" s="35"/>
      <c r="AE13" s="35"/>
      <c r="AG13" s="35"/>
      <c r="AH13" s="35"/>
      <c r="AI13" s="35"/>
      <c r="AJ13" s="35"/>
      <c r="AK13" s="35"/>
      <c r="AM13" s="35"/>
      <c r="AN13" s="35"/>
      <c r="AO13" s="90"/>
      <c r="AP13" s="35"/>
      <c r="AQ13" s="35"/>
      <c r="AS13" s="35"/>
      <c r="AT13" s="35"/>
    </row>
    <row r="14" spans="1:48" s="29" customFormat="1" ht="15.75" x14ac:dyDescent="0.25">
      <c r="A14" s="36" t="s">
        <v>20</v>
      </c>
      <c r="B14" s="35">
        <f>H45/$D$3</f>
        <v>0</v>
      </c>
      <c r="C14" s="35">
        <f>4.54/12</f>
        <v>0.37833333333333335</v>
      </c>
      <c r="D14" s="278">
        <v>0.1925</v>
      </c>
      <c r="E14" s="249">
        <v>0</v>
      </c>
      <c r="F14" s="35">
        <f t="shared" si="1"/>
        <v>0</v>
      </c>
      <c r="G14" s="35">
        <f t="shared" si="0"/>
        <v>0</v>
      </c>
      <c r="H14" s="29">
        <f>F$9*$B14</f>
        <v>0</v>
      </c>
      <c r="I14" s="35">
        <f t="shared" si="2"/>
        <v>0</v>
      </c>
      <c r="J14" s="35">
        <f>IF(E14-I14&gt;0,0,ABS(E14-I14))</f>
        <v>0</v>
      </c>
      <c r="L14" s="276"/>
      <c r="M14" s="35">
        <f>6.88/12</f>
        <v>0.57333333333333336</v>
      </c>
      <c r="N14" s="59">
        <f t="shared" si="3"/>
        <v>6.8800000000000008</v>
      </c>
      <c r="O14" s="272"/>
      <c r="P14" s="35"/>
      <c r="R14" s="35"/>
      <c r="S14" s="35"/>
      <c r="U14" s="35"/>
      <c r="V14" s="35"/>
      <c r="W14" s="35"/>
      <c r="X14" s="35"/>
      <c r="Y14" s="35"/>
      <c r="AA14" s="35"/>
      <c r="AB14" s="35"/>
      <c r="AC14" s="35"/>
      <c r="AD14" s="35"/>
      <c r="AE14" s="35"/>
      <c r="AG14" s="35"/>
      <c r="AH14" s="35"/>
      <c r="AI14" s="35"/>
      <c r="AJ14" s="35"/>
      <c r="AK14" s="35"/>
      <c r="AM14" s="35"/>
      <c r="AN14" s="35"/>
      <c r="AO14" s="90"/>
      <c r="AP14" s="35"/>
      <c r="AQ14" s="35"/>
      <c r="AS14" s="35"/>
      <c r="AT14" s="35"/>
    </row>
    <row r="15" spans="1:48" s="29" customFormat="1" ht="15.75" x14ac:dyDescent="0.25">
      <c r="A15" s="36" t="s">
        <v>22</v>
      </c>
      <c r="B15" s="35">
        <f>I45/$D$3</f>
        <v>0.22839312894107414</v>
      </c>
      <c r="C15" s="35">
        <f>5.91/12</f>
        <v>0.49249999999999999</v>
      </c>
      <c r="D15" s="278">
        <v>2.8333333333333335E-2</v>
      </c>
      <c r="E15" s="249">
        <v>0</v>
      </c>
      <c r="F15" s="35">
        <f t="shared" si="1"/>
        <v>0</v>
      </c>
      <c r="G15" s="35">
        <f t="shared" si="0"/>
        <v>0</v>
      </c>
      <c r="H15" s="29">
        <f t="shared" ref="H15:H22" si="4">F$9*$B15</f>
        <v>4.0859530767558168</v>
      </c>
      <c r="I15" s="35">
        <f t="shared" si="2"/>
        <v>4.0859530767558168</v>
      </c>
      <c r="J15" s="35">
        <f t="shared" ref="J15:J22" si="5">IF(E15-I15&gt;0,0,ABS(E15-I15))</f>
        <v>4.0859530767558168</v>
      </c>
      <c r="L15" s="276"/>
      <c r="M15" s="35">
        <f>8.96/12</f>
        <v>0.7466666666666667</v>
      </c>
      <c r="N15" s="59">
        <f t="shared" si="3"/>
        <v>8.9600000000000009</v>
      </c>
      <c r="O15" s="272"/>
      <c r="P15" s="35"/>
      <c r="Q15"/>
      <c r="R15" s="35"/>
      <c r="S15" s="35"/>
      <c r="U15" s="35"/>
      <c r="V15" s="35"/>
      <c r="W15" s="35"/>
      <c r="X15" s="35"/>
      <c r="Y15" s="35"/>
      <c r="AA15" s="35"/>
      <c r="AB15" s="35"/>
      <c r="AC15" s="35"/>
      <c r="AD15" s="35"/>
      <c r="AE15" s="35"/>
      <c r="AG15" s="35"/>
      <c r="AH15" s="35"/>
      <c r="AI15" s="35"/>
      <c r="AJ15" s="35"/>
      <c r="AK15" s="35"/>
      <c r="AM15" s="35"/>
      <c r="AN15" s="35"/>
      <c r="AO15" s="90"/>
      <c r="AP15" s="35"/>
      <c r="AQ15" s="35"/>
      <c r="AS15" s="35"/>
      <c r="AT15" s="35"/>
    </row>
    <row r="16" spans="1:48" s="29" customFormat="1" ht="15.75" x14ac:dyDescent="0.25">
      <c r="A16" s="36" t="s">
        <v>23</v>
      </c>
      <c r="B16" s="35">
        <f>J45/$D$3</f>
        <v>0.58279626005653407</v>
      </c>
      <c r="C16" s="35">
        <f>6.81/12</f>
        <v>0.5675</v>
      </c>
      <c r="D16" s="278">
        <v>9.1666666666666667E-3</v>
      </c>
      <c r="E16" s="249">
        <v>0</v>
      </c>
      <c r="F16" s="35">
        <f t="shared" si="1"/>
        <v>0</v>
      </c>
      <c r="G16" s="35">
        <f t="shared" si="0"/>
        <v>0</v>
      </c>
      <c r="H16" s="29">
        <f t="shared" si="4"/>
        <v>10.426225092411395</v>
      </c>
      <c r="I16" s="35">
        <f t="shared" si="2"/>
        <v>10.426225092411395</v>
      </c>
      <c r="J16" s="35">
        <f t="shared" si="5"/>
        <v>10.426225092411395</v>
      </c>
      <c r="L16" s="276"/>
      <c r="M16" s="35">
        <f>10.32/12</f>
        <v>0.86</v>
      </c>
      <c r="N16" s="59">
        <f t="shared" si="3"/>
        <v>10.32</v>
      </c>
      <c r="O16" s="272"/>
      <c r="P16" s="35"/>
      <c r="R16" s="35"/>
      <c r="S16" s="35"/>
      <c r="U16" s="35"/>
      <c r="V16" s="35"/>
      <c r="W16" s="35"/>
      <c r="X16" s="35"/>
      <c r="Y16" s="35"/>
      <c r="AA16" s="35"/>
      <c r="AB16" s="35"/>
      <c r="AC16" s="35"/>
      <c r="AD16" s="35"/>
      <c r="AE16" s="35"/>
      <c r="AG16" s="35"/>
      <c r="AH16" s="35"/>
      <c r="AI16" s="35"/>
      <c r="AJ16" s="35"/>
      <c r="AK16" s="35"/>
      <c r="AM16" s="35"/>
      <c r="AN16" s="35"/>
      <c r="AO16" s="90"/>
      <c r="AP16" s="35"/>
      <c r="AQ16" s="35"/>
      <c r="AS16" s="35"/>
      <c r="AT16" s="35"/>
    </row>
    <row r="17" spans="1:46" s="29" customFormat="1" ht="15.75" x14ac:dyDescent="0.25">
      <c r="A17" s="36" t="s">
        <v>24</v>
      </c>
      <c r="B17" s="35">
        <f>K45/$D$3</f>
        <v>0.8978212654924983</v>
      </c>
      <c r="C17" s="35">
        <f>8.13/12</f>
        <v>0.6775000000000001</v>
      </c>
      <c r="D17" s="278">
        <v>6.9999999999999993E-2</v>
      </c>
      <c r="E17" s="249">
        <v>0</v>
      </c>
      <c r="F17" s="35">
        <f t="shared" si="1"/>
        <v>0</v>
      </c>
      <c r="G17" s="35">
        <f t="shared" si="0"/>
        <v>0</v>
      </c>
      <c r="H17" s="29">
        <f t="shared" si="4"/>
        <v>16.062022439660794</v>
      </c>
      <c r="I17" s="35">
        <f t="shared" si="2"/>
        <v>16.062022439660794</v>
      </c>
      <c r="J17" s="35">
        <f t="shared" si="5"/>
        <v>16.062022439660794</v>
      </c>
      <c r="L17" s="276"/>
      <c r="M17" s="35">
        <f>12.32/12</f>
        <v>1.0266666666666666</v>
      </c>
      <c r="N17" s="59">
        <f t="shared" si="3"/>
        <v>12.32</v>
      </c>
      <c r="O17" s="272"/>
      <c r="P17" s="249"/>
      <c r="Q17" s="226"/>
      <c r="R17" s="249"/>
      <c r="S17" s="249"/>
      <c r="T17" s="226"/>
      <c r="U17" s="249"/>
      <c r="V17" s="249"/>
      <c r="W17" s="249"/>
      <c r="X17" s="249"/>
      <c r="Y17" s="249"/>
      <c r="AA17" s="35"/>
      <c r="AB17" s="35"/>
      <c r="AC17" s="35"/>
      <c r="AD17" s="35"/>
      <c r="AE17" s="35"/>
      <c r="AG17" s="35"/>
      <c r="AH17" s="35"/>
      <c r="AI17" s="35"/>
      <c r="AJ17" s="35"/>
      <c r="AK17" s="35"/>
      <c r="AM17" s="35"/>
      <c r="AN17" s="35"/>
      <c r="AO17" s="90"/>
      <c r="AP17" s="35"/>
      <c r="AQ17" s="35"/>
      <c r="AS17" s="35"/>
      <c r="AT17" s="35"/>
    </row>
    <row r="18" spans="1:46" s="29" customFormat="1" ht="15.75" x14ac:dyDescent="0.25">
      <c r="A18" s="36" t="s">
        <v>25</v>
      </c>
      <c r="B18" s="35">
        <f>L45/$D$3</f>
        <v>0.66155251141552518</v>
      </c>
      <c r="C18" s="35">
        <f>6.23/12</f>
        <v>0.51916666666666667</v>
      </c>
      <c r="D18" s="278">
        <v>0.25416666666666665</v>
      </c>
      <c r="E18" s="249">
        <v>0</v>
      </c>
      <c r="F18" s="35">
        <f t="shared" si="1"/>
        <v>0</v>
      </c>
      <c r="G18" s="35">
        <f t="shared" si="0"/>
        <v>0</v>
      </c>
      <c r="H18" s="29">
        <f t="shared" si="4"/>
        <v>11.835174429223747</v>
      </c>
      <c r="I18" s="35">
        <f t="shared" si="2"/>
        <v>11.835174429223747</v>
      </c>
      <c r="J18" s="35">
        <f t="shared" si="5"/>
        <v>11.835174429223747</v>
      </c>
      <c r="L18" s="276"/>
      <c r="M18" s="35">
        <f>9.44/12</f>
        <v>0.78666666666666663</v>
      </c>
      <c r="N18" s="59">
        <f t="shared" si="3"/>
        <v>9.44</v>
      </c>
      <c r="O18" s="272"/>
      <c r="P18" s="35"/>
      <c r="R18" s="35"/>
      <c r="S18" s="35"/>
      <c r="U18" s="35"/>
      <c r="V18" s="35"/>
      <c r="W18" s="35"/>
      <c r="X18" s="35"/>
      <c r="Y18" s="35"/>
      <c r="AA18" s="35"/>
      <c r="AB18" s="35"/>
      <c r="AC18" s="35"/>
      <c r="AD18" s="35"/>
      <c r="AE18" s="35"/>
      <c r="AG18" s="35"/>
      <c r="AH18" s="35"/>
      <c r="AI18" s="35"/>
      <c r="AJ18" s="35"/>
      <c r="AK18" s="35"/>
      <c r="AM18" s="35"/>
      <c r="AN18" s="35"/>
      <c r="AO18" s="90"/>
      <c r="AP18" s="35"/>
      <c r="AQ18" s="35"/>
      <c r="AS18" s="35"/>
      <c r="AT18" s="35"/>
    </row>
    <row r="19" spans="1:46" s="29" customFormat="1" ht="15.75" x14ac:dyDescent="0.25">
      <c r="A19" s="36" t="s">
        <v>26</v>
      </c>
      <c r="B19" s="35">
        <f>M45/$D$3</f>
        <v>0.71471298108284398</v>
      </c>
      <c r="C19" s="35">
        <f>5.17/12</f>
        <v>0.43083333333333335</v>
      </c>
      <c r="D19" s="278">
        <v>0.1575</v>
      </c>
      <c r="E19" s="249">
        <v>0</v>
      </c>
      <c r="F19" s="35">
        <f t="shared" si="1"/>
        <v>0</v>
      </c>
      <c r="G19" s="35">
        <f t="shared" si="0"/>
        <v>0</v>
      </c>
      <c r="H19" s="29">
        <f t="shared" si="4"/>
        <v>12.786215231572079</v>
      </c>
      <c r="I19" s="35">
        <f t="shared" si="2"/>
        <v>12.786215231572079</v>
      </c>
      <c r="J19" s="35">
        <f t="shared" si="5"/>
        <v>12.786215231572079</v>
      </c>
      <c r="L19" s="276"/>
      <c r="M19" s="35">
        <f>7.84/12</f>
        <v>0.65333333333333332</v>
      </c>
      <c r="N19" s="59">
        <f t="shared" si="3"/>
        <v>7.84</v>
      </c>
      <c r="O19" s="272"/>
      <c r="P19" s="35"/>
      <c r="R19" s="35"/>
      <c r="S19" s="35"/>
      <c r="U19" s="35"/>
      <c r="V19" s="35"/>
      <c r="W19" s="35"/>
      <c r="X19" s="35"/>
      <c r="Y19" s="35"/>
      <c r="AA19" s="35"/>
      <c r="AB19" s="35"/>
      <c r="AC19" s="35"/>
      <c r="AD19" s="35"/>
      <c r="AE19" s="35"/>
      <c r="AG19" s="35"/>
      <c r="AH19" s="35"/>
      <c r="AI19" s="35"/>
      <c r="AJ19" s="35"/>
      <c r="AK19" s="35"/>
      <c r="AM19" s="35"/>
      <c r="AN19" s="35"/>
      <c r="AO19" s="90"/>
      <c r="AP19" s="35"/>
      <c r="AQ19" s="35"/>
      <c r="AS19" s="35"/>
      <c r="AT19" s="35"/>
    </row>
    <row r="20" spans="1:46" s="29" customFormat="1" ht="15.75" x14ac:dyDescent="0.25">
      <c r="A20" s="36" t="s">
        <v>27</v>
      </c>
      <c r="B20" s="35">
        <f>N45/$D$3</f>
        <v>0.61036094803218099</v>
      </c>
      <c r="C20" s="35">
        <f>4.59/12</f>
        <v>0.38250000000000001</v>
      </c>
      <c r="D20" s="278">
        <v>4.5833333333333337E-2</v>
      </c>
      <c r="E20" s="249">
        <v>0</v>
      </c>
      <c r="F20" s="35">
        <f t="shared" si="1"/>
        <v>0</v>
      </c>
      <c r="G20" s="35">
        <f t="shared" si="0"/>
        <v>0</v>
      </c>
      <c r="H20" s="29">
        <f t="shared" si="4"/>
        <v>10.919357360295718</v>
      </c>
      <c r="I20" s="35">
        <f t="shared" si="2"/>
        <v>10.919357360295718</v>
      </c>
      <c r="J20" s="35">
        <f t="shared" si="5"/>
        <v>10.919357360295718</v>
      </c>
      <c r="L20" s="276"/>
      <c r="M20" s="35">
        <f>6.96/12</f>
        <v>0.57999999999999996</v>
      </c>
      <c r="N20" s="59">
        <f t="shared" si="3"/>
        <v>6.9599999999999991</v>
      </c>
      <c r="O20" s="272"/>
      <c r="P20" s="35"/>
      <c r="R20" s="35"/>
      <c r="S20" s="35"/>
      <c r="U20" s="35"/>
      <c r="V20" s="35"/>
      <c r="W20" s="35"/>
      <c r="X20" s="35"/>
      <c r="Y20" s="35"/>
      <c r="AA20" s="35"/>
      <c r="AB20" s="35"/>
      <c r="AC20" s="35"/>
      <c r="AD20" s="35"/>
      <c r="AE20" s="35"/>
      <c r="AG20" s="35"/>
      <c r="AH20" s="35"/>
      <c r="AI20" s="35"/>
      <c r="AJ20" s="35"/>
      <c r="AK20" s="35"/>
      <c r="AM20" s="35"/>
      <c r="AN20" s="35"/>
      <c r="AO20" s="90"/>
      <c r="AP20" s="35"/>
      <c r="AQ20" s="35"/>
      <c r="AS20" s="35"/>
      <c r="AT20" s="35"/>
    </row>
    <row r="21" spans="1:46" s="29" customFormat="1" ht="15.75" x14ac:dyDescent="0.25">
      <c r="A21" s="36" t="s">
        <v>28</v>
      </c>
      <c r="B21" s="35">
        <f>O45/$D$3</f>
        <v>0.32486953685583825</v>
      </c>
      <c r="C21" s="35">
        <f>3.85/12</f>
        <v>0.32083333333333336</v>
      </c>
      <c r="D21" s="278">
        <v>5.3333333333333337E-2</v>
      </c>
      <c r="E21" s="249">
        <v>0</v>
      </c>
      <c r="F21" s="35">
        <f t="shared" si="1"/>
        <v>0</v>
      </c>
      <c r="G21" s="35">
        <f t="shared" si="0"/>
        <v>0</v>
      </c>
      <c r="H21" s="29">
        <f t="shared" si="4"/>
        <v>5.8119160143509463</v>
      </c>
      <c r="I21" s="35">
        <f t="shared" si="2"/>
        <v>5.8119160143509463</v>
      </c>
      <c r="J21" s="35">
        <f t="shared" si="5"/>
        <v>5.8119160143509463</v>
      </c>
      <c r="L21" s="276"/>
      <c r="M21" s="35">
        <f>5.84/12</f>
        <v>0.48666666666666664</v>
      </c>
      <c r="N21" s="59">
        <f t="shared" si="3"/>
        <v>5.84</v>
      </c>
      <c r="O21" s="272"/>
      <c r="P21" s="35"/>
      <c r="R21" s="35"/>
      <c r="S21" s="35"/>
      <c r="U21" s="35"/>
      <c r="V21" s="35"/>
      <c r="W21" s="35"/>
      <c r="X21" s="35"/>
      <c r="Y21" s="35"/>
      <c r="AA21" s="35"/>
      <c r="AB21" s="35"/>
      <c r="AC21" s="35"/>
      <c r="AD21" s="35"/>
      <c r="AE21" s="35"/>
      <c r="AG21" s="35"/>
      <c r="AH21" s="35"/>
      <c r="AI21" s="35"/>
      <c r="AJ21" s="35"/>
      <c r="AK21" s="35"/>
      <c r="AM21" s="35"/>
      <c r="AN21" s="35"/>
      <c r="AO21" s="90"/>
      <c r="AP21" s="35"/>
      <c r="AQ21" s="35"/>
      <c r="AS21" s="35"/>
      <c r="AT21" s="35"/>
    </row>
    <row r="22" spans="1:46" s="29" customFormat="1" ht="15.75" x14ac:dyDescent="0.25">
      <c r="A22" s="36" t="s">
        <v>29</v>
      </c>
      <c r="B22" s="35">
        <f>P45/$D$3</f>
        <v>3.9378125679495552E-3</v>
      </c>
      <c r="C22" s="35">
        <f>2.01/12</f>
        <v>0.16749999999999998</v>
      </c>
      <c r="D22" s="278">
        <v>4.9999999999999996E-2</v>
      </c>
      <c r="E22" s="249">
        <v>0</v>
      </c>
      <c r="F22" s="35">
        <f t="shared" si="1"/>
        <v>0</v>
      </c>
      <c r="G22" s="35">
        <f t="shared" si="0"/>
        <v>0</v>
      </c>
      <c r="H22" s="29">
        <f t="shared" si="4"/>
        <v>7.0447466840617548E-2</v>
      </c>
      <c r="I22" s="35">
        <f t="shared" si="2"/>
        <v>7.0447466840617548E-2</v>
      </c>
      <c r="J22" s="35">
        <f t="shared" si="5"/>
        <v>7.0447466840617548E-2</v>
      </c>
      <c r="L22" s="276"/>
      <c r="M22" s="35">
        <f>3.04/12</f>
        <v>0.25333333333333335</v>
      </c>
      <c r="N22" s="59">
        <f t="shared" si="3"/>
        <v>3.04</v>
      </c>
      <c r="O22" s="272"/>
      <c r="P22" s="35"/>
      <c r="R22" s="35"/>
      <c r="S22" s="35"/>
      <c r="U22" s="35"/>
      <c r="V22" s="35"/>
      <c r="W22" s="35"/>
      <c r="X22" s="35"/>
      <c r="Y22" s="35"/>
      <c r="AA22" s="35"/>
      <c r="AB22" s="35"/>
      <c r="AC22" s="35"/>
      <c r="AD22" s="35"/>
      <c r="AE22" s="35"/>
      <c r="AG22" s="35"/>
      <c r="AH22" s="35"/>
      <c r="AI22" s="35"/>
      <c r="AJ22" s="35"/>
      <c r="AK22" s="35"/>
      <c r="AM22" s="35"/>
      <c r="AN22" s="35"/>
      <c r="AO22" s="90"/>
      <c r="AP22" s="35"/>
      <c r="AQ22" s="35"/>
      <c r="AS22" s="35"/>
      <c r="AT22" s="35"/>
    </row>
    <row r="23" spans="1:46" s="29" customFormat="1" ht="15.75" x14ac:dyDescent="0.25">
      <c r="A23" s="36" t="s">
        <v>204</v>
      </c>
      <c r="B23" s="35">
        <f>Q45/$D$3</f>
        <v>0</v>
      </c>
      <c r="C23" s="123">
        <f>1.64/12</f>
        <v>0.13666666666666666</v>
      </c>
      <c r="D23" s="278">
        <v>0</v>
      </c>
      <c r="E23" s="249">
        <v>0</v>
      </c>
      <c r="F23" s="35">
        <f t="shared" si="1"/>
        <v>0</v>
      </c>
      <c r="G23" s="35">
        <f t="shared" si="0"/>
        <v>0</v>
      </c>
      <c r="H23" s="29">
        <f>F$9*$B23</f>
        <v>0</v>
      </c>
      <c r="I23" s="35">
        <f>G23+H23</f>
        <v>0</v>
      </c>
      <c r="J23" s="35">
        <f>IF(E23-I23&gt;0,0,ABS(E23-I23))</f>
        <v>0</v>
      </c>
      <c r="L23" s="276"/>
      <c r="M23" s="123">
        <f>2.48/12</f>
        <v>0.20666666666666667</v>
      </c>
      <c r="N23" s="59">
        <f t="shared" si="3"/>
        <v>2.48</v>
      </c>
      <c r="O23" s="272"/>
      <c r="P23" s="35"/>
      <c r="R23" s="35"/>
      <c r="S23" s="35"/>
      <c r="T23" s="35"/>
      <c r="U23" s="35"/>
      <c r="V23" s="35"/>
      <c r="X23" s="35"/>
      <c r="Y23" s="35"/>
      <c r="Z23" s="35"/>
      <c r="AA23" s="35"/>
      <c r="AB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P23" s="35"/>
      <c r="AQ23" s="35"/>
      <c r="AR23" s="35"/>
      <c r="AS23" s="35"/>
      <c r="AT23" s="35"/>
    </row>
    <row r="24" spans="1:46" s="33" customFormat="1" ht="15.75" x14ac:dyDescent="0.25">
      <c r="A24" s="33" t="s">
        <v>34</v>
      </c>
      <c r="B24" s="33">
        <f t="shared" ref="B24:J24" si="6">SUM(B12:B23)</f>
        <v>4.0244444444444447</v>
      </c>
      <c r="C24" s="33">
        <f t="shared" si="6"/>
        <v>4.3900000000000006</v>
      </c>
      <c r="D24" s="33">
        <f t="shared" si="6"/>
        <v>1.0766666666666664</v>
      </c>
      <c r="E24" s="33">
        <f t="shared" si="6"/>
        <v>0</v>
      </c>
      <c r="F24" s="33">
        <f t="shared" si="6"/>
        <v>0</v>
      </c>
      <c r="G24" s="33">
        <f t="shared" si="6"/>
        <v>0</v>
      </c>
      <c r="H24" s="33">
        <f t="shared" si="6"/>
        <v>71.997311111111102</v>
      </c>
      <c r="I24" s="33">
        <f t="shared" si="6"/>
        <v>71.997311111111102</v>
      </c>
      <c r="J24" s="33">
        <f t="shared" si="6"/>
        <v>71.997311111111102</v>
      </c>
    </row>
    <row r="25" spans="1:46" s="29" customFormat="1" x14ac:dyDescent="0.2">
      <c r="A25" s="172" t="s">
        <v>339</v>
      </c>
      <c r="B25" s="172"/>
      <c r="C25" s="172"/>
      <c r="D25" s="176"/>
      <c r="E25" s="176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1" t="s">
        <v>331</v>
      </c>
      <c r="U25" s="206"/>
      <c r="V25" s="206"/>
    </row>
    <row r="26" spans="1:46" s="104" customFormat="1" ht="18" x14ac:dyDescent="0.25">
      <c r="A26" s="98" t="s">
        <v>35</v>
      </c>
      <c r="B26" s="99"/>
      <c r="C26" s="102"/>
      <c r="D26" s="103"/>
      <c r="E26" s="103"/>
      <c r="F26" s="305" t="s">
        <v>117</v>
      </c>
      <c r="G26" s="306"/>
      <c r="H26" s="306"/>
      <c r="I26" s="306"/>
      <c r="J26" s="306"/>
      <c r="K26" s="306"/>
      <c r="L26" s="307" t="s">
        <v>118</v>
      </c>
      <c r="M26" s="306"/>
      <c r="N26" s="306"/>
      <c r="O26" s="306"/>
      <c r="P26" s="306"/>
      <c r="Q26" s="306"/>
      <c r="R26" s="137"/>
      <c r="S26" s="308" t="s">
        <v>71</v>
      </c>
      <c r="T26" s="309"/>
      <c r="U26" s="309"/>
      <c r="V26" s="309"/>
      <c r="W26" s="309"/>
      <c r="X26" s="309"/>
      <c r="Y26" s="162"/>
      <c r="Z26" s="160"/>
      <c r="AA26" s="137"/>
      <c r="AB26" s="137"/>
      <c r="AC26" s="137"/>
      <c r="AD26" s="137"/>
      <c r="AE26" s="137"/>
      <c r="AF26" s="161"/>
      <c r="AG26" s="163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</row>
    <row r="27" spans="1:46" s="2" customFormat="1" ht="72.75" customHeight="1" x14ac:dyDescent="0.25">
      <c r="A27" s="89"/>
      <c r="B27" s="89"/>
      <c r="C27" s="105" t="s">
        <v>8</v>
      </c>
      <c r="D27" s="105" t="s">
        <v>9</v>
      </c>
      <c r="E27" s="105"/>
      <c r="F27" s="83" t="s">
        <v>200</v>
      </c>
      <c r="G27" s="86" t="s">
        <v>0</v>
      </c>
      <c r="H27" s="83" t="s">
        <v>2</v>
      </c>
      <c r="I27" s="83" t="s">
        <v>3</v>
      </c>
      <c r="J27" s="83" t="s">
        <v>288</v>
      </c>
      <c r="K27" s="83" t="s">
        <v>289</v>
      </c>
      <c r="L27" s="89"/>
      <c r="M27" s="83" t="s">
        <v>202</v>
      </c>
      <c r="N27" s="86" t="s">
        <v>0</v>
      </c>
      <c r="O27" s="83" t="s">
        <v>289</v>
      </c>
      <c r="P27" s="83" t="s">
        <v>201</v>
      </c>
      <c r="Q27" s="86" t="s">
        <v>0</v>
      </c>
      <c r="S27" s="86" t="s">
        <v>119</v>
      </c>
      <c r="T27" s="83" t="s">
        <v>1</v>
      </c>
      <c r="U27" s="83" t="s">
        <v>4</v>
      </c>
      <c r="V27" s="86" t="s">
        <v>290</v>
      </c>
      <c r="W27" s="86" t="s">
        <v>120</v>
      </c>
      <c r="X27" s="86" t="s">
        <v>291</v>
      </c>
      <c r="Y27" s="83"/>
      <c r="Z27" s="86"/>
      <c r="AA27" s="83"/>
      <c r="AB27" s="83"/>
      <c r="AC27" s="86"/>
      <c r="AD27" s="86"/>
      <c r="AE27" s="86"/>
      <c r="AG27" s="59"/>
      <c r="AH27" s="3"/>
      <c r="AI27" s="29"/>
      <c r="AJ27" s="3"/>
      <c r="AK27" s="32"/>
      <c r="AL27" s="29"/>
    </row>
    <row r="28" spans="1:46" ht="15.75" x14ac:dyDescent="0.25">
      <c r="A28" s="28" t="s">
        <v>235</v>
      </c>
      <c r="B28" s="29"/>
      <c r="C28" s="35">
        <f>B24*D3</f>
        <v>1.5091666666666668</v>
      </c>
      <c r="E28" s="35"/>
      <c r="F28" s="35">
        <f>($F9+$L9+$R9+$X9+$AD9+$AJ9)-F29</f>
        <v>17.89</v>
      </c>
      <c r="G28" s="35">
        <f>F28*$C28</f>
        <v>26.998991666666669</v>
      </c>
      <c r="H28" s="29">
        <f>H24+N24+T24+Z24+AF24+AL24</f>
        <v>71.997311111111102</v>
      </c>
      <c r="I28" s="29"/>
      <c r="J28" s="29"/>
      <c r="K28" s="29">
        <f>G28*J31</f>
        <v>26.998991666666669</v>
      </c>
      <c r="L28" s="29"/>
      <c r="M28" s="249">
        <v>124.26</v>
      </c>
      <c r="N28" s="35">
        <f>M28*$C28</f>
        <v>187.52905000000001</v>
      </c>
      <c r="O28" s="29">
        <f>J31*N28</f>
        <v>187.52905000000001</v>
      </c>
      <c r="P28" s="226">
        <v>14.86</v>
      </c>
      <c r="Q28" s="35">
        <f>P28*$C28</f>
        <v>22.426216666666669</v>
      </c>
      <c r="S28" s="29">
        <f>F28+M28+P28</f>
        <v>157.01</v>
      </c>
      <c r="T28" s="29">
        <f>G28+N28+Q28</f>
        <v>236.95425833333337</v>
      </c>
      <c r="U28" s="29">
        <f>O28+K28</f>
        <v>214.5280416666667</v>
      </c>
      <c r="V28" s="29">
        <f>T28-U28</f>
        <v>22.426216666666676</v>
      </c>
      <c r="W28" s="29"/>
      <c r="X28" s="29"/>
      <c r="Y28" s="29"/>
      <c r="Z28" s="29"/>
      <c r="AA28" s="3"/>
      <c r="AB28" s="29"/>
      <c r="AC28" s="29"/>
      <c r="AD28" s="29"/>
      <c r="AE28" s="29"/>
      <c r="AG28" s="29"/>
      <c r="AH28" s="30"/>
      <c r="AI28" s="30"/>
      <c r="AM28" s="29"/>
    </row>
    <row r="29" spans="1:46" ht="15.75" x14ac:dyDescent="0.25">
      <c r="A29" s="28" t="s">
        <v>236</v>
      </c>
      <c r="B29" s="29"/>
      <c r="C29" s="29"/>
      <c r="D29" s="35"/>
      <c r="E29" s="35"/>
      <c r="F29" s="35"/>
      <c r="G29" s="35"/>
      <c r="H29" s="29"/>
      <c r="I29" s="29"/>
      <c r="J29" s="29"/>
      <c r="K29" s="29"/>
      <c r="L29" s="29"/>
      <c r="M29" s="35">
        <v>0</v>
      </c>
      <c r="N29" s="35"/>
      <c r="O29" s="29"/>
      <c r="P29" s="29">
        <v>0</v>
      </c>
      <c r="Q29" s="35"/>
      <c r="S29" s="29"/>
      <c r="T29" s="29"/>
      <c r="U29" s="29"/>
      <c r="V29" s="29"/>
      <c r="W29" s="29"/>
      <c r="X29" s="29"/>
      <c r="Y29" s="29"/>
      <c r="Z29" s="29"/>
      <c r="AA29" s="3"/>
      <c r="AB29" s="29"/>
      <c r="AC29" s="29"/>
      <c r="AD29" s="29"/>
      <c r="AE29" s="29"/>
      <c r="AG29" s="29"/>
      <c r="AH29" s="29"/>
      <c r="AI29" s="3"/>
      <c r="AJ29" s="29"/>
      <c r="AK29" s="29"/>
      <c r="AL29" s="29"/>
      <c r="AM29" s="29"/>
    </row>
    <row r="30" spans="1:46" s="29" customFormat="1" ht="15.75" x14ac:dyDescent="0.25">
      <c r="A30" s="29" t="s">
        <v>48</v>
      </c>
      <c r="E30" s="35"/>
      <c r="F30" s="35">
        <f>F7+L7+R7+X7+AD7+AJ7</f>
        <v>0</v>
      </c>
      <c r="G30" s="35">
        <f>F30*($C24-$D24)</f>
        <v>0</v>
      </c>
      <c r="H30" s="29">
        <f>G24+M24+S24+Y24+AE24+AK24</f>
        <v>0</v>
      </c>
      <c r="K30" s="29">
        <f>G30*J31</f>
        <v>0</v>
      </c>
      <c r="M30" s="249">
        <v>5.0599999999999996</v>
      </c>
      <c r="N30" s="35">
        <f>M30*($C24-$D24)</f>
        <v>16.765466666666672</v>
      </c>
      <c r="O30" s="35">
        <f>J31*N30</f>
        <v>16.765466666666672</v>
      </c>
      <c r="P30" s="226">
        <v>0</v>
      </c>
      <c r="Q30" s="35">
        <f>P30*($C24-$D24)</f>
        <v>0</v>
      </c>
      <c r="R30" s="35"/>
      <c r="S30" s="29">
        <f>F30+M30+P30</f>
        <v>5.0599999999999996</v>
      </c>
      <c r="T30" s="29">
        <f>G30+N30+Q30</f>
        <v>16.765466666666672</v>
      </c>
      <c r="U30" s="29">
        <f>O30+K30</f>
        <v>16.765466666666672</v>
      </c>
      <c r="V30" s="29">
        <f>T30-U30</f>
        <v>0</v>
      </c>
      <c r="W30" s="32"/>
      <c r="AA30" s="3"/>
      <c r="AD30" s="32"/>
      <c r="AI30" s="3"/>
      <c r="AJ30" s="35"/>
    </row>
    <row r="31" spans="1:46" ht="15.75" x14ac:dyDescent="0.25">
      <c r="A31" s="3" t="s">
        <v>71</v>
      </c>
      <c r="B31" s="29"/>
      <c r="D31" s="35"/>
      <c r="E31" s="35"/>
      <c r="F31" s="35">
        <f>SUM(F28:F30)</f>
        <v>17.89</v>
      </c>
      <c r="G31" s="35">
        <f>SUM(G28:G30)</f>
        <v>26.998991666666669</v>
      </c>
      <c r="H31" s="35">
        <f>SUM(H28:H30)</f>
        <v>71.997311111111102</v>
      </c>
      <c r="I31" s="29">
        <f>J24+AB24</f>
        <v>71.997311111111102</v>
      </c>
      <c r="J31" s="33">
        <f>I31/H31</f>
        <v>1</v>
      </c>
      <c r="K31" s="35">
        <f>J31*G31</f>
        <v>26.998991666666669</v>
      </c>
      <c r="L31" s="29"/>
      <c r="M31" s="35">
        <f>SUM(M28:M30)</f>
        <v>129.32</v>
      </c>
      <c r="N31" s="35">
        <f>SUM(N28:N30)</f>
        <v>204.29451666666668</v>
      </c>
      <c r="O31" s="35">
        <f>SUM(O28:O30)</f>
        <v>204.29451666666668</v>
      </c>
      <c r="P31" s="35">
        <f>SUM(P28:P30)</f>
        <v>14.86</v>
      </c>
      <c r="Q31" s="35">
        <f>SUM(Q28:Q30)</f>
        <v>22.426216666666669</v>
      </c>
      <c r="S31" s="29">
        <f>SUM(S28:S30)</f>
        <v>162.07</v>
      </c>
      <c r="T31" s="29">
        <f>SUM(T28:T30)</f>
        <v>253.71972500000004</v>
      </c>
      <c r="U31" s="29">
        <f>SUM(U28:U30)</f>
        <v>231.29350833333336</v>
      </c>
      <c r="V31" s="29">
        <f>SUM(V28:V30)</f>
        <v>22.426216666666676</v>
      </c>
      <c r="W31" s="35">
        <f>(V31-Q31)*0.1+(Q31*0.02)</f>
        <v>0.44852433333333408</v>
      </c>
      <c r="X31" s="29">
        <f>W31+V31</f>
        <v>22.874741000000011</v>
      </c>
      <c r="Y31" s="29"/>
      <c r="Z31" s="3"/>
      <c r="AA31" s="3"/>
      <c r="AB31" s="3"/>
      <c r="AC31" s="3"/>
      <c r="AD31" s="27"/>
      <c r="AE31" s="3"/>
      <c r="AG31" s="29"/>
      <c r="AH31" s="29"/>
      <c r="AI31" s="3"/>
      <c r="AJ31" s="35"/>
      <c r="AK31" s="29"/>
      <c r="AL31" s="29"/>
      <c r="AM31" s="29"/>
    </row>
    <row r="32" spans="1:46" ht="15.75" x14ac:dyDescent="0.25">
      <c r="A32" s="29"/>
      <c r="B32" s="29"/>
      <c r="C32" s="29"/>
      <c r="D32" s="35"/>
      <c r="E32" s="35"/>
      <c r="F32" s="35"/>
      <c r="G32" s="35"/>
      <c r="H32" s="29"/>
      <c r="I32" s="29"/>
      <c r="J32" s="35"/>
      <c r="K32" s="35"/>
      <c r="L32" s="29"/>
      <c r="M32" s="35"/>
      <c r="N32" s="35"/>
      <c r="O32" s="29"/>
      <c r="P32" s="35"/>
      <c r="Q32" s="35"/>
      <c r="R32" s="35"/>
      <c r="S32" s="29"/>
      <c r="T32" s="29"/>
      <c r="U32" s="29"/>
      <c r="V32" s="29"/>
      <c r="W32" s="29"/>
      <c r="X32" s="3"/>
      <c r="Y32" s="29"/>
      <c r="Z32" s="29"/>
      <c r="AA32" s="29"/>
      <c r="AF32" s="29"/>
      <c r="AG32" s="29"/>
      <c r="AH32" s="2"/>
      <c r="AI32" s="3"/>
      <c r="AJ32" s="29"/>
      <c r="AK32" s="29"/>
      <c r="AL32" s="29"/>
    </row>
    <row r="33" spans="1:38" ht="15.75" x14ac:dyDescent="0.25">
      <c r="A33" s="29" t="s">
        <v>121</v>
      </c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G33" s="29"/>
      <c r="AH33" s="3"/>
      <c r="AI33" s="29"/>
      <c r="AJ33" s="3"/>
      <c r="AK33" s="2"/>
      <c r="AL33" s="2"/>
    </row>
    <row r="34" spans="1:38" x14ac:dyDescent="0.2">
      <c r="A34" s="34" t="s">
        <v>262</v>
      </c>
      <c r="B34" s="29"/>
      <c r="C34" s="34"/>
      <c r="D34" s="34"/>
      <c r="E34" s="34"/>
      <c r="F34" s="34"/>
      <c r="G34" s="34"/>
      <c r="H34" s="34"/>
      <c r="L34" s="29"/>
      <c r="M34" s="29"/>
      <c r="N34" s="29"/>
      <c r="O34" s="32"/>
      <c r="P34" s="29"/>
      <c r="Q34" s="29"/>
    </row>
    <row r="35" spans="1:38" s="97" customFormat="1" ht="15.75" x14ac:dyDescent="0.25">
      <c r="A35" s="100" t="s">
        <v>192</v>
      </c>
      <c r="B35" s="100"/>
      <c r="D35" s="94"/>
      <c r="E35" s="94"/>
      <c r="F35" s="94"/>
      <c r="G35" s="101"/>
      <c r="H35" s="94"/>
      <c r="I35" s="94"/>
      <c r="J35" s="94"/>
      <c r="K35" s="94"/>
      <c r="L35" s="94"/>
      <c r="M35" s="101"/>
      <c r="N35" s="94"/>
      <c r="O35" s="94"/>
      <c r="P35" s="94"/>
      <c r="Q35" s="94"/>
      <c r="R35" s="94"/>
      <c r="S35" s="101"/>
      <c r="T35" s="94"/>
      <c r="U35" s="94"/>
      <c r="V35" s="95"/>
      <c r="W35" s="95"/>
      <c r="X35" s="95"/>
      <c r="Y35" s="96"/>
      <c r="Z35" s="95"/>
      <c r="AA35" s="95"/>
      <c r="AF35" s="95"/>
      <c r="AG35" s="95"/>
    </row>
    <row r="36" spans="1:38" ht="15.75" x14ac:dyDescent="0.25">
      <c r="A36" s="3"/>
      <c r="B36" s="3"/>
      <c r="C36" s="3"/>
      <c r="F36" s="33" t="s">
        <v>87</v>
      </c>
      <c r="G36" s="33" t="s">
        <v>88</v>
      </c>
      <c r="H36" s="33" t="s">
        <v>89</v>
      </c>
      <c r="I36" s="33" t="s">
        <v>90</v>
      </c>
      <c r="J36" s="33" t="s">
        <v>23</v>
      </c>
      <c r="K36" s="33" t="s">
        <v>91</v>
      </c>
      <c r="L36" s="33" t="s">
        <v>92</v>
      </c>
      <c r="M36" s="33" t="s">
        <v>93</v>
      </c>
      <c r="N36" s="33" t="s">
        <v>94</v>
      </c>
      <c r="O36" s="33" t="s">
        <v>95</v>
      </c>
      <c r="P36" s="33" t="s">
        <v>96</v>
      </c>
      <c r="Q36" s="33" t="s">
        <v>97</v>
      </c>
      <c r="R36" s="33" t="s">
        <v>71</v>
      </c>
      <c r="V36" s="29"/>
      <c r="W36" s="29"/>
      <c r="X36" s="29"/>
      <c r="Y36" s="32"/>
      <c r="Z36" s="29"/>
      <c r="AA36" s="29"/>
      <c r="AF36" s="29"/>
      <c r="AG36" s="29"/>
    </row>
    <row r="37" spans="1:38" ht="15.75" x14ac:dyDescent="0.25">
      <c r="A37" s="3"/>
      <c r="B37" s="3"/>
      <c r="C37" s="3"/>
      <c r="F37" s="33"/>
      <c r="G37" s="27"/>
      <c r="H37" s="27"/>
      <c r="I37" s="33"/>
      <c r="J37" s="27"/>
      <c r="K37" s="27"/>
      <c r="L37" s="27"/>
      <c r="M37" s="27"/>
      <c r="N37" s="33"/>
      <c r="O37" s="27"/>
      <c r="P37" s="33"/>
      <c r="Q37" s="27"/>
      <c r="R37" s="33"/>
      <c r="V37" s="29"/>
      <c r="W37" s="29"/>
      <c r="X37" s="29"/>
      <c r="Y37" s="32"/>
      <c r="Z37" s="29"/>
      <c r="AA37" s="29"/>
      <c r="AF37" s="29"/>
      <c r="AG37" s="29"/>
    </row>
    <row r="38" spans="1:38" ht="15.75" x14ac:dyDescent="0.25">
      <c r="A38" s="3" t="s">
        <v>329</v>
      </c>
      <c r="B38" s="3"/>
      <c r="C38" s="106"/>
      <c r="F38" s="226">
        <v>0</v>
      </c>
      <c r="G38" s="226">
        <v>0</v>
      </c>
      <c r="H38" s="226">
        <v>0</v>
      </c>
      <c r="I38" s="226">
        <v>1.1599999999999999</v>
      </c>
      <c r="J38" s="226">
        <v>2.96</v>
      </c>
      <c r="K38" s="226">
        <v>4.5599999999999996</v>
      </c>
      <c r="L38" s="226">
        <v>3.36</v>
      </c>
      <c r="M38" s="226">
        <v>3.63</v>
      </c>
      <c r="N38" s="226">
        <v>3.1</v>
      </c>
      <c r="O38" s="226">
        <v>1.65</v>
      </c>
      <c r="P38" s="226">
        <v>0.02</v>
      </c>
      <c r="Q38" s="226">
        <v>0</v>
      </c>
      <c r="R38" s="29">
        <f>SUM(F38:Q38)</f>
        <v>20.439999999999998</v>
      </c>
      <c r="V38" s="29"/>
      <c r="W38" s="29"/>
      <c r="X38" s="29"/>
      <c r="Y38" s="32"/>
      <c r="Z38" s="29"/>
      <c r="AA38" s="29"/>
      <c r="AB38" s="29"/>
      <c r="AC38" s="29"/>
      <c r="AD38" s="29"/>
      <c r="AE38" s="32"/>
      <c r="AF38" s="29"/>
      <c r="AG38" s="29"/>
    </row>
    <row r="39" spans="1:38" ht="15.75" x14ac:dyDescent="0.25">
      <c r="A39" s="3" t="s">
        <v>98</v>
      </c>
      <c r="B39" s="3"/>
      <c r="C39" s="29"/>
      <c r="F39" s="29">
        <f>F38/$R38</f>
        <v>0</v>
      </c>
      <c r="G39" s="29">
        <f t="shared" ref="G39:Q39" si="7">G38/$R38</f>
        <v>0</v>
      </c>
      <c r="H39" s="29">
        <f t="shared" si="7"/>
        <v>0</v>
      </c>
      <c r="I39" s="29">
        <f t="shared" si="7"/>
        <v>5.6751467710371824E-2</v>
      </c>
      <c r="J39" s="29">
        <f t="shared" si="7"/>
        <v>0.14481409001956949</v>
      </c>
      <c r="K39" s="29">
        <f t="shared" si="7"/>
        <v>0.22309197651663407</v>
      </c>
      <c r="L39" s="29">
        <f t="shared" si="7"/>
        <v>0.16438356164383564</v>
      </c>
      <c r="M39" s="29">
        <f t="shared" si="7"/>
        <v>0.17759295499021527</v>
      </c>
      <c r="N39" s="29">
        <f t="shared" si="7"/>
        <v>0.15166340508806264</v>
      </c>
      <c r="O39" s="29">
        <f t="shared" si="7"/>
        <v>8.0724070450097857E-2</v>
      </c>
      <c r="P39" s="29">
        <f t="shared" si="7"/>
        <v>9.784735812133074E-4</v>
      </c>
      <c r="Q39" s="29">
        <f t="shared" si="7"/>
        <v>0</v>
      </c>
      <c r="R39" s="29">
        <f>SUM(F39:Q39)</f>
        <v>1</v>
      </c>
      <c r="V39" s="29"/>
      <c r="W39" s="29"/>
      <c r="X39" s="29"/>
      <c r="Y39" s="32"/>
      <c r="Z39" s="29"/>
      <c r="AA39" s="29"/>
      <c r="AB39" s="29"/>
      <c r="AC39" s="29"/>
      <c r="AD39" s="29"/>
      <c r="AE39" s="32"/>
      <c r="AF39" s="29"/>
      <c r="AG39" s="29"/>
    </row>
    <row r="40" spans="1:38" ht="16.5" thickBot="1" x14ac:dyDescent="0.3">
      <c r="A40" s="3"/>
      <c r="B40" s="3"/>
      <c r="C40" s="29"/>
      <c r="F40" s="29"/>
      <c r="G40" s="32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32"/>
      <c r="T40" s="29"/>
      <c r="V40" s="29"/>
      <c r="W40" s="29"/>
      <c r="X40" s="29"/>
      <c r="Y40" s="32"/>
      <c r="Z40" s="29"/>
      <c r="AA40" s="29"/>
      <c r="AB40" s="29"/>
      <c r="AC40" s="29"/>
      <c r="AD40" s="29"/>
      <c r="AE40" s="32"/>
      <c r="AF40" s="29"/>
      <c r="AG40" s="29"/>
    </row>
    <row r="41" spans="1:38" s="95" customFormat="1" ht="16.5" thickBot="1" x14ac:dyDescent="0.3">
      <c r="A41" s="94" t="s">
        <v>191</v>
      </c>
      <c r="B41" s="94"/>
      <c r="F41" s="282">
        <v>18.11</v>
      </c>
      <c r="G41" s="94" t="s">
        <v>10</v>
      </c>
      <c r="Z41" s="94"/>
      <c r="AA41" s="94"/>
      <c r="AB41" s="94"/>
      <c r="AC41" s="94"/>
      <c r="AD41" s="94"/>
      <c r="AE41" s="101"/>
      <c r="AF41" s="94"/>
      <c r="AG41" s="94"/>
    </row>
    <row r="42" spans="1:38" ht="15.75" x14ac:dyDescent="0.25">
      <c r="A42" s="3"/>
      <c r="B42" s="3"/>
      <c r="C42" s="29"/>
      <c r="F42" s="33" t="s">
        <v>87</v>
      </c>
      <c r="G42" s="33" t="s">
        <v>88</v>
      </c>
      <c r="H42" s="33" t="s">
        <v>89</v>
      </c>
      <c r="I42" s="33" t="s">
        <v>90</v>
      </c>
      <c r="J42" s="33" t="s">
        <v>23</v>
      </c>
      <c r="K42" s="33" t="s">
        <v>91</v>
      </c>
      <c r="L42" s="33" t="s">
        <v>92</v>
      </c>
      <c r="M42" s="33" t="s">
        <v>93</v>
      </c>
      <c r="N42" s="33" t="s">
        <v>94</v>
      </c>
      <c r="O42" s="33" t="s">
        <v>95</v>
      </c>
      <c r="P42" s="33" t="s">
        <v>96</v>
      </c>
      <c r="Q42" s="33" t="s">
        <v>97</v>
      </c>
      <c r="R42" s="33" t="s">
        <v>71</v>
      </c>
      <c r="V42" s="29"/>
      <c r="W42" s="29"/>
      <c r="X42" s="29"/>
      <c r="Y42" s="32"/>
      <c r="Z42" s="29"/>
      <c r="AA42" s="29"/>
      <c r="AB42" s="29"/>
      <c r="AC42" s="29"/>
      <c r="AD42" s="29"/>
      <c r="AE42" s="32"/>
      <c r="AF42" s="29"/>
      <c r="AG42" s="29"/>
    </row>
    <row r="43" spans="1:38" ht="15.75" x14ac:dyDescent="0.25">
      <c r="A43" s="3"/>
      <c r="B43" s="3"/>
      <c r="C43" s="29"/>
      <c r="F43" s="33"/>
      <c r="G43" s="27"/>
      <c r="H43" s="27"/>
      <c r="I43" s="33"/>
      <c r="J43" s="27"/>
      <c r="K43" s="27"/>
      <c r="L43" s="27"/>
      <c r="M43" s="27"/>
      <c r="N43" s="33"/>
      <c r="O43" s="27"/>
      <c r="P43" s="33"/>
      <c r="Q43" s="27"/>
      <c r="R43" s="33"/>
      <c r="V43" s="29"/>
      <c r="W43" s="29"/>
      <c r="X43" s="29"/>
      <c r="Y43" s="32"/>
      <c r="Z43" s="29"/>
      <c r="AA43" s="29"/>
      <c r="AB43" s="29"/>
      <c r="AC43" s="29"/>
      <c r="AD43" s="29"/>
      <c r="AE43" s="32"/>
      <c r="AF43" s="29"/>
      <c r="AG43" s="29"/>
    </row>
    <row r="44" spans="1:38" ht="15.75" x14ac:dyDescent="0.25">
      <c r="A44" s="3" t="s">
        <v>7</v>
      </c>
      <c r="B44" s="3"/>
      <c r="C44" s="29"/>
      <c r="F44" s="29">
        <f>F39*$F41</f>
        <v>0</v>
      </c>
      <c r="G44" s="29">
        <f t="shared" ref="G44:R44" si="8">G39*$F41</f>
        <v>0</v>
      </c>
      <c r="H44" s="29">
        <f t="shared" si="8"/>
        <v>0</v>
      </c>
      <c r="I44" s="29">
        <f t="shared" si="8"/>
        <v>1.0277690802348336</v>
      </c>
      <c r="J44" s="29">
        <f t="shared" si="8"/>
        <v>2.6225831702544036</v>
      </c>
      <c r="K44" s="29">
        <f t="shared" si="8"/>
        <v>4.0401956947162425</v>
      </c>
      <c r="L44" s="29">
        <f>L39*$F41</f>
        <v>2.9769863013698634</v>
      </c>
      <c r="M44" s="29">
        <f t="shared" si="8"/>
        <v>3.2162084148727983</v>
      </c>
      <c r="N44" s="29">
        <f t="shared" si="8"/>
        <v>2.7466242661448144</v>
      </c>
      <c r="O44" s="29">
        <f t="shared" si="8"/>
        <v>1.461912915851272</v>
      </c>
      <c r="P44" s="29">
        <f t="shared" si="8"/>
        <v>1.7720156555772998E-2</v>
      </c>
      <c r="Q44" s="29">
        <f t="shared" si="8"/>
        <v>0</v>
      </c>
      <c r="R44" s="29">
        <f t="shared" si="8"/>
        <v>18.11</v>
      </c>
      <c r="V44" s="29"/>
      <c r="W44" s="29"/>
      <c r="Y44" s="32"/>
      <c r="Z44" s="29"/>
      <c r="AA44" s="29"/>
      <c r="AB44" s="29"/>
      <c r="AC44" s="29"/>
      <c r="AD44" s="29"/>
      <c r="AE44" s="32"/>
      <c r="AF44" s="29"/>
      <c r="AG44" s="29"/>
    </row>
    <row r="45" spans="1:38" ht="15.75" x14ac:dyDescent="0.25">
      <c r="A45" s="3" t="s">
        <v>6</v>
      </c>
      <c r="B45" s="3"/>
      <c r="C45" s="29"/>
      <c r="F45" s="29">
        <f t="shared" ref="F45:Q45" si="9">F44/12</f>
        <v>0</v>
      </c>
      <c r="G45" s="29">
        <f t="shared" si="9"/>
        <v>0</v>
      </c>
      <c r="H45" s="29">
        <f t="shared" si="9"/>
        <v>0</v>
      </c>
      <c r="I45" s="29">
        <f t="shared" si="9"/>
        <v>8.5647423352902805E-2</v>
      </c>
      <c r="J45" s="29">
        <f t="shared" si="9"/>
        <v>0.21854859752120029</v>
      </c>
      <c r="K45" s="29">
        <f t="shared" si="9"/>
        <v>0.33668297455968688</v>
      </c>
      <c r="L45" s="29">
        <f t="shared" si="9"/>
        <v>0.24808219178082194</v>
      </c>
      <c r="M45" s="29">
        <f t="shared" si="9"/>
        <v>0.26801736790606651</v>
      </c>
      <c r="N45" s="29">
        <f t="shared" si="9"/>
        <v>0.22888535551206787</v>
      </c>
      <c r="O45" s="29">
        <f t="shared" si="9"/>
        <v>0.12182607632093934</v>
      </c>
      <c r="P45" s="29">
        <f t="shared" si="9"/>
        <v>1.4766797129810831E-3</v>
      </c>
      <c r="Q45" s="29">
        <f t="shared" si="9"/>
        <v>0</v>
      </c>
      <c r="R45" s="29">
        <f>SUM(F45:Q45)</f>
        <v>1.5091666666666665</v>
      </c>
      <c r="U45" s="29"/>
      <c r="V45" s="29"/>
      <c r="W45" s="29"/>
      <c r="X45" s="29"/>
      <c r="Y45" s="32"/>
      <c r="Z45" s="29"/>
      <c r="AA45" s="29"/>
      <c r="AB45" s="29"/>
      <c r="AC45" s="29"/>
      <c r="AD45" s="29"/>
      <c r="AE45" s="32"/>
      <c r="AF45" s="29"/>
      <c r="AG45" s="29"/>
    </row>
    <row r="49" spans="1:17" x14ac:dyDescent="0.2">
      <c r="F49" s="28">
        <v>0</v>
      </c>
      <c r="G49" s="28">
        <v>0</v>
      </c>
      <c r="H49" s="28">
        <v>0</v>
      </c>
      <c r="I49" s="28">
        <v>1.1599999999999999</v>
      </c>
      <c r="J49" s="28">
        <v>2.96</v>
      </c>
      <c r="K49" s="28">
        <v>4.5599999999999996</v>
      </c>
      <c r="L49" s="28">
        <v>3.36</v>
      </c>
      <c r="M49" s="28">
        <v>3.63</v>
      </c>
      <c r="N49" s="28">
        <v>3.1</v>
      </c>
      <c r="O49" s="28">
        <v>1.65</v>
      </c>
      <c r="P49" s="28">
        <v>0.02</v>
      </c>
      <c r="Q49" s="28">
        <v>0</v>
      </c>
    </row>
    <row r="51" spans="1:17" x14ac:dyDescent="0.2">
      <c r="A51" s="123"/>
      <c r="B51" s="29"/>
    </row>
    <row r="52" spans="1:17" ht="15.75" x14ac:dyDescent="0.25">
      <c r="A52" s="35"/>
      <c r="B52" s="29"/>
      <c r="F52" s="248"/>
    </row>
    <row r="53" spans="1:17" x14ac:dyDescent="0.2">
      <c r="A53" s="35"/>
      <c r="B53" s="29"/>
    </row>
    <row r="54" spans="1:17" x14ac:dyDescent="0.2">
      <c r="A54" s="35"/>
      <c r="B54" s="29"/>
    </row>
    <row r="55" spans="1:17" x14ac:dyDescent="0.2">
      <c r="A55" s="35"/>
      <c r="B55" s="29"/>
    </row>
    <row r="56" spans="1:17" x14ac:dyDescent="0.2">
      <c r="A56" s="35"/>
      <c r="B56" s="29"/>
    </row>
    <row r="57" spans="1:17" x14ac:dyDescent="0.2">
      <c r="A57" s="35"/>
      <c r="B57" s="29"/>
    </row>
    <row r="58" spans="1:17" x14ac:dyDescent="0.2">
      <c r="A58" s="35"/>
      <c r="B58" s="29"/>
    </row>
    <row r="59" spans="1:17" x14ac:dyDescent="0.2">
      <c r="A59" s="35"/>
      <c r="B59" s="29"/>
    </row>
    <row r="60" spans="1:17" x14ac:dyDescent="0.2">
      <c r="A60" s="35"/>
      <c r="B60" s="29"/>
    </row>
    <row r="61" spans="1:17" x14ac:dyDescent="0.2">
      <c r="A61" s="35"/>
      <c r="B61" s="29"/>
    </row>
    <row r="62" spans="1:17" x14ac:dyDescent="0.2">
      <c r="A62" s="35"/>
      <c r="B62" s="29"/>
    </row>
  </sheetData>
  <sheetProtection formatColumns="0"/>
  <mergeCells count="11">
    <mergeCell ref="AP6:AT6"/>
    <mergeCell ref="A3:C3"/>
    <mergeCell ref="E6:J6"/>
    <mergeCell ref="L6:P6"/>
    <mergeCell ref="R6:V6"/>
    <mergeCell ref="AJ6:AN6"/>
    <mergeCell ref="F26:K26"/>
    <mergeCell ref="L26:Q26"/>
    <mergeCell ref="S26:X26"/>
    <mergeCell ref="X6:AB6"/>
    <mergeCell ref="AD6:AH6"/>
  </mergeCells>
  <phoneticPr fontId="0" type="noConversion"/>
  <printOptions horizontalCentered="1" gridLines="1"/>
  <pageMargins left="0.75" right="0.25" top="0.75" bottom="0.75" header="0.5" footer="0.5"/>
  <pageSetup paperSize="17" scale="74" orientation="landscape" r:id="rId1"/>
  <headerFooter alignWithMargins="0">
    <oddHeader>&amp;L&amp;D</oddHeader>
    <oddFooter>&amp;L&amp;F&amp;R&amp;A</oddFooter>
  </headerFooter>
  <colBreaks count="1" manualBreakCount="1">
    <brk id="46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Z63"/>
  <sheetViews>
    <sheetView zoomScaleNormal="100" zoomScaleSheetLayoutView="75" workbookViewId="0">
      <selection activeCell="C12" sqref="C12:C23"/>
    </sheetView>
  </sheetViews>
  <sheetFormatPr defaultColWidth="9.140625" defaultRowHeight="15" x14ac:dyDescent="0.2"/>
  <cols>
    <col min="1" max="1" width="28.28515625" style="28" customWidth="1"/>
    <col min="2" max="34" width="10.7109375" style="28" customWidth="1"/>
    <col min="35" max="35" width="12.85546875" style="28" customWidth="1"/>
    <col min="36" max="46" width="10.7109375" style="28" customWidth="1"/>
    <col min="47" max="207" width="9.7109375" style="28" customWidth="1"/>
    <col min="208" max="16384" width="9.140625" style="28"/>
  </cols>
  <sheetData>
    <row r="1" spans="1:49" ht="18" x14ac:dyDescent="0.25">
      <c r="A1" s="133" t="s">
        <v>258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36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9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235"/>
      <c r="S2" s="93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93"/>
    </row>
    <row r="3" spans="1:49" s="29" customFormat="1" ht="18.75" x14ac:dyDescent="0.25">
      <c r="A3" s="298" t="s">
        <v>164</v>
      </c>
      <c r="B3" s="326"/>
      <c r="C3" s="327"/>
      <c r="D3" s="40">
        <v>0.375</v>
      </c>
      <c r="E3" s="29" t="s">
        <v>170</v>
      </c>
      <c r="N3" s="235"/>
      <c r="P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 spans="1:49" ht="18.75" x14ac:dyDescent="0.25">
      <c r="A4" s="65" t="s">
        <v>203</v>
      </c>
      <c r="B4" s="65"/>
      <c r="C4" s="29"/>
      <c r="F4" s="3"/>
      <c r="G4" s="27"/>
      <c r="H4" s="3"/>
      <c r="I4" s="3"/>
      <c r="J4" s="3"/>
      <c r="K4" s="3"/>
      <c r="L4" s="3"/>
      <c r="M4" s="27"/>
      <c r="N4" s="236"/>
      <c r="O4" s="3"/>
      <c r="P4" s="3"/>
      <c r="Q4" s="3"/>
      <c r="R4" s="3"/>
      <c r="S4" s="27"/>
      <c r="T4" s="3"/>
      <c r="U4" s="3"/>
      <c r="V4" s="29"/>
      <c r="W4" s="29"/>
      <c r="X4" s="29"/>
      <c r="Y4" s="32"/>
      <c r="Z4" s="3"/>
      <c r="AG4" s="29"/>
    </row>
    <row r="5" spans="1:49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84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</row>
    <row r="6" spans="1:49" s="29" customFormat="1" ht="15.75" customHeight="1" x14ac:dyDescent="0.25">
      <c r="A6" s="27"/>
      <c r="B6" s="27"/>
      <c r="D6" s="27"/>
      <c r="E6" s="303" t="s">
        <v>384</v>
      </c>
      <c r="F6" s="304"/>
      <c r="G6" s="304"/>
      <c r="H6" s="304"/>
      <c r="I6" s="304"/>
      <c r="J6" s="304"/>
      <c r="K6" s="300" t="s">
        <v>99</v>
      </c>
      <c r="L6" s="300"/>
      <c r="M6" s="300"/>
      <c r="N6" s="300"/>
      <c r="O6" s="300"/>
      <c r="P6" s="300"/>
      <c r="Q6" s="301" t="s">
        <v>211</v>
      </c>
      <c r="R6" s="301"/>
      <c r="S6" s="301"/>
      <c r="T6" s="301"/>
      <c r="U6" s="301"/>
      <c r="V6" s="301"/>
      <c r="W6" s="300" t="s">
        <v>212</v>
      </c>
      <c r="X6" s="300"/>
      <c r="Y6" s="300"/>
      <c r="Z6" s="300"/>
      <c r="AA6" s="300"/>
      <c r="AB6" s="300"/>
      <c r="AC6" s="301" t="s">
        <v>213</v>
      </c>
      <c r="AD6" s="301"/>
      <c r="AE6" s="301"/>
      <c r="AF6" s="301"/>
      <c r="AG6" s="301"/>
      <c r="AH6" s="301"/>
      <c r="AI6" s="300" t="s">
        <v>214</v>
      </c>
      <c r="AJ6" s="300"/>
      <c r="AK6" s="300"/>
      <c r="AL6" s="300"/>
      <c r="AM6" s="300"/>
      <c r="AN6" s="300"/>
      <c r="AO6" s="301" t="s">
        <v>215</v>
      </c>
      <c r="AP6" s="301"/>
      <c r="AQ6" s="301"/>
      <c r="AR6" s="301"/>
      <c r="AS6" s="301"/>
      <c r="AT6" s="301"/>
    </row>
    <row r="7" spans="1:49" s="29" customFormat="1" ht="15.75" x14ac:dyDescent="0.25">
      <c r="F7" s="249">
        <v>0</v>
      </c>
      <c r="G7" s="82" t="s">
        <v>185</v>
      </c>
      <c r="H7" s="82"/>
      <c r="I7" s="82"/>
      <c r="L7" s="249">
        <v>0</v>
      </c>
      <c r="M7" s="82" t="s">
        <v>185</v>
      </c>
      <c r="N7" s="82"/>
      <c r="O7" s="82"/>
      <c r="R7" s="249">
        <v>0</v>
      </c>
      <c r="S7" s="82" t="s">
        <v>185</v>
      </c>
      <c r="T7" s="82"/>
      <c r="U7" s="82"/>
      <c r="X7" s="249">
        <v>0.16</v>
      </c>
      <c r="Y7" s="82" t="s">
        <v>185</v>
      </c>
      <c r="Z7" s="82"/>
      <c r="AA7" s="82"/>
      <c r="AD7" s="249">
        <v>0</v>
      </c>
      <c r="AE7" s="82" t="s">
        <v>185</v>
      </c>
      <c r="AF7" s="82"/>
      <c r="AG7" s="82"/>
      <c r="AJ7" s="283">
        <v>1.1499999999999999</v>
      </c>
      <c r="AK7" s="82" t="s">
        <v>185</v>
      </c>
      <c r="AL7" s="82"/>
      <c r="AM7" s="82"/>
      <c r="AP7" s="249">
        <v>3</v>
      </c>
      <c r="AQ7" s="82" t="s">
        <v>185</v>
      </c>
      <c r="AR7" s="82"/>
      <c r="AS7" s="82"/>
      <c r="AV7" s="82"/>
    </row>
    <row r="8" spans="1:49" s="29" customFormat="1" x14ac:dyDescent="0.2">
      <c r="F8" s="35">
        <v>0</v>
      </c>
      <c r="G8" s="82" t="s">
        <v>205</v>
      </c>
      <c r="H8" s="82"/>
      <c r="I8" s="82"/>
      <c r="L8" s="35">
        <v>0</v>
      </c>
      <c r="M8" s="82" t="s">
        <v>205</v>
      </c>
      <c r="N8" s="82"/>
      <c r="O8" s="82"/>
      <c r="R8" s="35">
        <v>0</v>
      </c>
      <c r="S8" s="82" t="s">
        <v>205</v>
      </c>
      <c r="T8" s="82"/>
      <c r="U8" s="82"/>
      <c r="X8" s="35">
        <v>0</v>
      </c>
      <c r="Y8" s="82" t="s">
        <v>205</v>
      </c>
      <c r="Z8" s="82"/>
      <c r="AA8" s="82"/>
      <c r="AD8" s="35">
        <v>0</v>
      </c>
      <c r="AE8" s="82" t="s">
        <v>205</v>
      </c>
      <c r="AF8" s="82"/>
      <c r="AG8" s="82"/>
      <c r="AJ8" s="35">
        <v>0</v>
      </c>
      <c r="AK8" s="82" t="s">
        <v>205</v>
      </c>
      <c r="AL8" s="82"/>
      <c r="AM8" s="82"/>
      <c r="AP8" s="35">
        <v>0</v>
      </c>
      <c r="AQ8" s="82" t="s">
        <v>205</v>
      </c>
      <c r="AR8" s="82"/>
      <c r="AS8" s="82"/>
    </row>
    <row r="9" spans="1:49" s="29" customFormat="1" x14ac:dyDescent="0.2">
      <c r="C9" s="32"/>
      <c r="F9" s="226">
        <v>84.31</v>
      </c>
      <c r="G9" s="29" t="s">
        <v>193</v>
      </c>
      <c r="L9" s="249">
        <v>20.22</v>
      </c>
      <c r="M9" s="29" t="s">
        <v>193</v>
      </c>
      <c r="R9" s="226">
        <v>95.85</v>
      </c>
      <c r="S9" s="29" t="s">
        <v>193</v>
      </c>
      <c r="X9" s="226">
        <v>19.02</v>
      </c>
      <c r="Y9" s="29" t="s">
        <v>193</v>
      </c>
      <c r="AD9" s="226">
        <v>7.63</v>
      </c>
      <c r="AE9" s="29" t="s">
        <v>193</v>
      </c>
      <c r="AJ9" s="226">
        <v>0</v>
      </c>
      <c r="AK9" s="29" t="s">
        <v>193</v>
      </c>
      <c r="AP9" s="226">
        <v>1.71</v>
      </c>
      <c r="AQ9" s="29" t="s">
        <v>193</v>
      </c>
    </row>
    <row r="10" spans="1:49" s="29" customFormat="1" x14ac:dyDescent="0.2">
      <c r="C10" s="32"/>
      <c r="F10" s="35">
        <f>SUM(F7:F9)</f>
        <v>84.31</v>
      </c>
      <c r="G10" s="29" t="s">
        <v>194</v>
      </c>
      <c r="L10" s="35">
        <f>SUM(L7:L9)</f>
        <v>20.22</v>
      </c>
      <c r="M10" s="29" t="s">
        <v>194</v>
      </c>
      <c r="R10" s="35">
        <f>SUM(R7:R9)</f>
        <v>95.85</v>
      </c>
      <c r="S10" s="29" t="s">
        <v>194</v>
      </c>
      <c r="X10" s="35">
        <f>SUM(X7:X9)</f>
        <v>19.18</v>
      </c>
      <c r="Y10" s="29" t="s">
        <v>194</v>
      </c>
      <c r="AD10" s="35">
        <f>SUM(AD7:AD9)</f>
        <v>7.63</v>
      </c>
      <c r="AE10" s="29" t="s">
        <v>194</v>
      </c>
      <c r="AJ10" s="35">
        <f>SUM(AJ7:AJ9)</f>
        <v>1.1499999999999999</v>
      </c>
      <c r="AK10" s="29" t="s">
        <v>194</v>
      </c>
      <c r="AP10" s="35">
        <f>SUM(AP7:AP9)</f>
        <v>4.71</v>
      </c>
      <c r="AQ10" s="29" t="s">
        <v>194</v>
      </c>
    </row>
    <row r="11" spans="1:49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 t="s">
        <v>19</v>
      </c>
      <c r="L11" s="86" t="s">
        <v>347</v>
      </c>
      <c r="M11" s="86" t="s">
        <v>210</v>
      </c>
      <c r="N11" s="86" t="s">
        <v>186</v>
      </c>
      <c r="O11" s="86" t="s">
        <v>189</v>
      </c>
      <c r="P11" s="86" t="s">
        <v>287</v>
      </c>
      <c r="Q11" s="87" t="s">
        <v>19</v>
      </c>
      <c r="R11" s="86" t="s">
        <v>347</v>
      </c>
      <c r="S11" s="86" t="s">
        <v>210</v>
      </c>
      <c r="T11" s="86" t="s">
        <v>186</v>
      </c>
      <c r="U11" s="86" t="s">
        <v>189</v>
      </c>
      <c r="V11" s="86" t="s">
        <v>287</v>
      </c>
      <c r="W11" s="87" t="s">
        <v>19</v>
      </c>
      <c r="X11" s="86" t="s">
        <v>347</v>
      </c>
      <c r="Y11" s="86" t="s">
        <v>210</v>
      </c>
      <c r="Z11" s="86" t="s">
        <v>186</v>
      </c>
      <c r="AA11" s="86" t="s">
        <v>189</v>
      </c>
      <c r="AB11" s="86" t="s">
        <v>287</v>
      </c>
      <c r="AC11" s="87" t="s">
        <v>19</v>
      </c>
      <c r="AD11" s="86" t="s">
        <v>347</v>
      </c>
      <c r="AE11" s="86" t="s">
        <v>210</v>
      </c>
      <c r="AF11" s="86" t="s">
        <v>186</v>
      </c>
      <c r="AG11" s="86" t="s">
        <v>189</v>
      </c>
      <c r="AH11" s="86" t="s">
        <v>287</v>
      </c>
      <c r="AI11" s="87" t="s">
        <v>19</v>
      </c>
      <c r="AJ11" s="86" t="s">
        <v>347</v>
      </c>
      <c r="AK11" s="86" t="s">
        <v>210</v>
      </c>
      <c r="AL11" s="86" t="s">
        <v>186</v>
      </c>
      <c r="AM11" s="86" t="s">
        <v>189</v>
      </c>
      <c r="AN11" s="86" t="s">
        <v>287</v>
      </c>
      <c r="AO11" s="87" t="s">
        <v>19</v>
      </c>
      <c r="AP11" s="86" t="s">
        <v>347</v>
      </c>
      <c r="AQ11" s="86" t="s">
        <v>210</v>
      </c>
      <c r="AR11" s="86" t="s">
        <v>186</v>
      </c>
      <c r="AS11" s="86" t="s">
        <v>189</v>
      </c>
      <c r="AT11" s="86" t="s">
        <v>287</v>
      </c>
    </row>
    <row r="12" spans="1:49" s="59" customFormat="1" ht="15.75" customHeight="1" x14ac:dyDescent="0.25">
      <c r="A12" s="36" t="s">
        <v>175</v>
      </c>
      <c r="B12" s="35">
        <f>F46/$D$3</f>
        <v>0</v>
      </c>
      <c r="C12" s="123">
        <f>1.74/12</f>
        <v>0.14499999999999999</v>
      </c>
      <c r="D12" s="270">
        <v>0.11</v>
      </c>
      <c r="E12" s="249">
        <v>0</v>
      </c>
      <c r="F12" s="35">
        <f>$F$7*(IF($C12-$D12&lt;0,0,ABS($C12-$D12)))</f>
        <v>0</v>
      </c>
      <c r="G12" s="35">
        <f>F12/$D$3</f>
        <v>0</v>
      </c>
      <c r="H12" s="29">
        <f>F$9*$B12</f>
        <v>0</v>
      </c>
      <c r="I12" s="35">
        <f>G12+H12</f>
        <v>0</v>
      </c>
      <c r="J12" s="35">
        <f>IF(E12-I12&gt;0,0,ABS(E12-I12))</f>
        <v>0</v>
      </c>
      <c r="K12" s="249">
        <v>0</v>
      </c>
      <c r="L12" s="35">
        <f t="shared" ref="L12:L23" si="0">$L$7*(IF($C12-$D12&lt;0,0,ABS($C12-$D12)))</f>
        <v>0</v>
      </c>
      <c r="M12" s="35">
        <f>L12/$D$3</f>
        <v>0</v>
      </c>
      <c r="N12" s="29">
        <f>L$9*$B12</f>
        <v>0</v>
      </c>
      <c r="O12" s="35">
        <f>M12+N12</f>
        <v>0</v>
      </c>
      <c r="P12" s="35">
        <f>IF(K12-O12&gt;0,0,ABS(K12-O12))</f>
        <v>0</v>
      </c>
      <c r="Q12" s="249">
        <v>0</v>
      </c>
      <c r="R12" s="35">
        <f>R$7*(IF($C12-$D12&lt;0,0,ABS($C12-$D12)))</f>
        <v>0</v>
      </c>
      <c r="S12" s="35">
        <f>R12/$D$3</f>
        <v>0</v>
      </c>
      <c r="T12" s="29">
        <f>R$9*$B12</f>
        <v>0</v>
      </c>
      <c r="U12" s="35">
        <f>S12+T12</f>
        <v>0</v>
      </c>
      <c r="V12" s="35">
        <f>IF(Q12-U12&gt;0,0,ABS(Q12-U12))</f>
        <v>0</v>
      </c>
      <c r="W12" s="249">
        <v>0</v>
      </c>
      <c r="X12" s="35">
        <f t="shared" ref="X12:X23" si="1">$X$7*(IF($C12-$D12&lt;0,0,ABS($C12-$D12)))</f>
        <v>5.5999999999999982E-3</v>
      </c>
      <c r="Y12" s="35">
        <f>X12/$D$3</f>
        <v>1.4933333333333328E-2</v>
      </c>
      <c r="Z12" s="29">
        <f>X$9*$B12</f>
        <v>0</v>
      </c>
      <c r="AA12" s="35">
        <f>Y12+Z12</f>
        <v>1.4933333333333328E-2</v>
      </c>
      <c r="AB12" s="249">
        <v>0</v>
      </c>
      <c r="AC12" s="249">
        <v>0</v>
      </c>
      <c r="AD12" s="35">
        <f t="shared" ref="AD12:AD23" si="2">$AD$7*(IF($C12-$D12&lt;0,0,ABS($C12-$D12)))</f>
        <v>0</v>
      </c>
      <c r="AE12" s="35">
        <f>AD12/$D$3</f>
        <v>0</v>
      </c>
      <c r="AF12" s="29">
        <f>AD$9*$B12</f>
        <v>0</v>
      </c>
      <c r="AG12" s="35">
        <f>AE12+AF12</f>
        <v>0</v>
      </c>
      <c r="AH12" s="249">
        <f>IF(AC12-AG12&gt;0,0,ABS(AC12-AG12))</f>
        <v>0</v>
      </c>
      <c r="AI12" s="249">
        <v>0</v>
      </c>
      <c r="AJ12" s="35">
        <f t="shared" ref="AJ12:AJ23" si="3">$AJ$7*(IF($C12-$D12&lt;0,0,ABS($C12-$D12)))</f>
        <v>4.0249999999999987E-2</v>
      </c>
      <c r="AK12" s="35">
        <f>AJ12/$D$3</f>
        <v>0.10733333333333329</v>
      </c>
      <c r="AL12" s="29">
        <f>AJ$9*$B12</f>
        <v>0</v>
      </c>
      <c r="AM12" s="35">
        <f>AK12+AL12</f>
        <v>0.10733333333333329</v>
      </c>
      <c r="AN12" s="249">
        <v>0</v>
      </c>
      <c r="AO12" s="249">
        <v>0</v>
      </c>
      <c r="AP12" s="35">
        <f>$AP$7*(IF($C12-$D12&lt;0,0,ABS($C12-$D12)))</f>
        <v>0.10499999999999997</v>
      </c>
      <c r="AQ12" s="35">
        <f>AP12/$D$3</f>
        <v>0.27999999999999992</v>
      </c>
      <c r="AR12" s="29">
        <f>AP$9*$B12</f>
        <v>0</v>
      </c>
      <c r="AS12" s="35">
        <f>AQ12+AR12</f>
        <v>0.27999999999999992</v>
      </c>
      <c r="AT12" s="35">
        <f>IF(AO12-AS12&gt;0,0,ABS(AO12-AS12))</f>
        <v>0.27999999999999992</v>
      </c>
      <c r="AW12" s="276"/>
    </row>
    <row r="13" spans="1:49" s="29" customFormat="1" ht="15.75" x14ac:dyDescent="0.25">
      <c r="A13" s="36" t="s">
        <v>21</v>
      </c>
      <c r="B13" s="35">
        <f>G46/$D$3</f>
        <v>0</v>
      </c>
      <c r="C13" s="35">
        <f>2.3/12</f>
        <v>0.19166666666666665</v>
      </c>
      <c r="D13" s="270">
        <v>0.13500000000000001</v>
      </c>
      <c r="E13" s="249">
        <v>0</v>
      </c>
      <c r="F13" s="35">
        <f t="shared" ref="F13:F23" si="4">$F$7*(IF($C13-$D13&lt;0,0,ABS($C13-$D13)))</f>
        <v>0</v>
      </c>
      <c r="G13" s="35">
        <f>F13/$D$3</f>
        <v>0</v>
      </c>
      <c r="H13" s="29">
        <f>F$9*$B13</f>
        <v>0</v>
      </c>
      <c r="I13" s="35">
        <f t="shared" ref="I13:I22" si="5">G13+H13</f>
        <v>0</v>
      </c>
      <c r="J13" s="35">
        <f>IF(E13-I13&gt;0,0,ABS(E13-I13))</f>
        <v>0</v>
      </c>
      <c r="K13" s="249">
        <v>0</v>
      </c>
      <c r="L13" s="35">
        <f t="shared" si="0"/>
        <v>0</v>
      </c>
      <c r="M13" s="35">
        <f>L13/$D$3</f>
        <v>0</v>
      </c>
      <c r="N13" s="29">
        <f>L$9*$B13</f>
        <v>0</v>
      </c>
      <c r="O13" s="35">
        <f t="shared" ref="O13:O22" si="6">M13+N13</f>
        <v>0</v>
      </c>
      <c r="P13" s="35">
        <f>IF(K13-O13&gt;0,0,ABS(K13-O13))</f>
        <v>0</v>
      </c>
      <c r="Q13" s="249">
        <v>0</v>
      </c>
      <c r="R13" s="35">
        <f>R$7*(IF($C13-$D13&lt;0,0,ABS($C13-$D13)))</f>
        <v>0</v>
      </c>
      <c r="S13" s="35">
        <f>R13/$D$3</f>
        <v>0</v>
      </c>
      <c r="T13" s="29">
        <f t="shared" ref="T13:T22" si="7">R$9*$B13</f>
        <v>0</v>
      </c>
      <c r="U13" s="35">
        <f t="shared" ref="U13:U22" si="8">S13+T13</f>
        <v>0</v>
      </c>
      <c r="V13" s="35">
        <f>IF(Q13-U13&gt;0,0,ABS(Q13-U13))</f>
        <v>0</v>
      </c>
      <c r="W13" s="249">
        <v>0</v>
      </c>
      <c r="X13" s="35">
        <f t="shared" si="1"/>
        <v>9.0666666666666638E-3</v>
      </c>
      <c r="Y13" s="35">
        <f>X13/$D$3</f>
        <v>2.417777777777777E-2</v>
      </c>
      <c r="Z13" s="29">
        <f t="shared" ref="Z13:Z22" si="9">X$9*$B13</f>
        <v>0</v>
      </c>
      <c r="AA13" s="35">
        <f t="shared" ref="AA13:AA22" si="10">Y13+Z13</f>
        <v>2.417777777777777E-2</v>
      </c>
      <c r="AB13" s="249">
        <v>0</v>
      </c>
      <c r="AC13" s="280">
        <v>0</v>
      </c>
      <c r="AD13" s="35">
        <f t="shared" si="2"/>
        <v>0</v>
      </c>
      <c r="AE13" s="35">
        <f>AD13/$D$3</f>
        <v>0</v>
      </c>
      <c r="AF13" s="29">
        <f t="shared" ref="AF13:AF22" si="11">AD$9*$B13</f>
        <v>0</v>
      </c>
      <c r="AG13" s="35">
        <f t="shared" ref="AG13:AG22" si="12">AE13+AF13</f>
        <v>0</v>
      </c>
      <c r="AH13" s="249">
        <f t="shared" ref="AH13:AH23" si="13">IF(AC13-AG13&gt;0,0,ABS(AC13-AG13))</f>
        <v>0</v>
      </c>
      <c r="AI13" s="280">
        <v>0</v>
      </c>
      <c r="AJ13" s="35">
        <f t="shared" si="3"/>
        <v>6.5166666666666637E-2</v>
      </c>
      <c r="AK13" s="35">
        <f>AJ13/$D$3</f>
        <v>0.1737777777777777</v>
      </c>
      <c r="AL13" s="29">
        <f t="shared" ref="AL13:AL22" si="14">AJ$9*$B13</f>
        <v>0</v>
      </c>
      <c r="AM13" s="35">
        <f t="shared" ref="AM13:AM22" si="15">AK13+AL13</f>
        <v>0.1737777777777777</v>
      </c>
      <c r="AN13" s="249">
        <v>0</v>
      </c>
      <c r="AO13" s="249">
        <v>0</v>
      </c>
      <c r="AP13" s="35">
        <f t="shared" ref="AP13:AP23" si="16">$AP$7*(IF($C13-$D13&lt;0,0,ABS($C13-$D13)))</f>
        <v>0.16999999999999993</v>
      </c>
      <c r="AQ13" s="35">
        <f>AP13/$D$3</f>
        <v>0.45333333333333314</v>
      </c>
      <c r="AR13" s="29">
        <f t="shared" ref="AR13:AR22" si="17">AP$9*$B13</f>
        <v>0</v>
      </c>
      <c r="AS13" s="35">
        <f t="shared" ref="AS13:AS22" si="18">AQ13+AR13</f>
        <v>0.45333333333333314</v>
      </c>
      <c r="AT13" s="35">
        <f>IF(AO13-AS13&gt;0,0,ABS(AO13-AS13))</f>
        <v>0.45333333333333314</v>
      </c>
      <c r="AW13" s="276"/>
    </row>
    <row r="14" spans="1:49" s="29" customFormat="1" ht="15.75" x14ac:dyDescent="0.25">
      <c r="A14" s="36" t="s">
        <v>20</v>
      </c>
      <c r="B14" s="35">
        <f>H46/$D$3</f>
        <v>0</v>
      </c>
      <c r="C14" s="35">
        <f>4.82/12</f>
        <v>0.40166666666666667</v>
      </c>
      <c r="D14" s="270">
        <v>0.2175</v>
      </c>
      <c r="E14" s="279">
        <v>0</v>
      </c>
      <c r="F14" s="35">
        <f t="shared" si="4"/>
        <v>0</v>
      </c>
      <c r="G14" s="35">
        <f t="shared" ref="G14:G22" si="19">F14/$D$3</f>
        <v>0</v>
      </c>
      <c r="H14" s="29">
        <f>F$9*$B14</f>
        <v>0</v>
      </c>
      <c r="I14" s="35">
        <f t="shared" si="5"/>
        <v>0</v>
      </c>
      <c r="J14" s="35">
        <f>IF(E14-I14&gt;0,0,ABS(E14-I14))</f>
        <v>0</v>
      </c>
      <c r="K14" s="280">
        <v>0</v>
      </c>
      <c r="L14" s="35">
        <f t="shared" si="0"/>
        <v>0</v>
      </c>
      <c r="M14" s="35">
        <f t="shared" ref="M14:M22" si="20">L14/$D$3</f>
        <v>0</v>
      </c>
      <c r="N14" s="29">
        <f>L$9*$B14</f>
        <v>0</v>
      </c>
      <c r="O14" s="35">
        <f t="shared" si="6"/>
        <v>0</v>
      </c>
      <c r="P14" s="35">
        <f>IF(K14-O14&gt;0,0,ABS(K14-O14))</f>
        <v>0</v>
      </c>
      <c r="Q14" s="280">
        <v>0</v>
      </c>
      <c r="R14" s="35">
        <f>R$7*(IF($C14-$D14&lt;0,0,ABS($C14-$D14)))</f>
        <v>0</v>
      </c>
      <c r="S14" s="35">
        <f t="shared" ref="S14:S22" si="21">R14/$D$3</f>
        <v>0</v>
      </c>
      <c r="T14" s="29">
        <f t="shared" si="7"/>
        <v>0</v>
      </c>
      <c r="U14" s="35">
        <f t="shared" si="8"/>
        <v>0</v>
      </c>
      <c r="V14" s="35">
        <f>IF(Q14-U14&gt;0,0,ABS(Q14-U14))</f>
        <v>0</v>
      </c>
      <c r="W14" s="249">
        <v>0</v>
      </c>
      <c r="X14" s="35">
        <f t="shared" si="1"/>
        <v>2.9466666666666669E-2</v>
      </c>
      <c r="Y14" s="35">
        <f t="shared" ref="Y14:Y22" si="22">X14/$D$3</f>
        <v>7.8577777777777788E-2</v>
      </c>
      <c r="Z14" s="29">
        <f t="shared" si="9"/>
        <v>0</v>
      </c>
      <c r="AA14" s="35">
        <f t="shared" si="10"/>
        <v>7.8577777777777788E-2</v>
      </c>
      <c r="AB14" s="35">
        <f t="shared" ref="AB14:AB22" si="23">IF(W14-AA14&gt;0,0,ABS(W14-AA14))</f>
        <v>7.8577777777777788E-2</v>
      </c>
      <c r="AC14" s="280">
        <v>0</v>
      </c>
      <c r="AD14" s="35">
        <f t="shared" si="2"/>
        <v>0</v>
      </c>
      <c r="AE14" s="35">
        <f t="shared" ref="AE14:AE22" si="24">AD14/$D$3</f>
        <v>0</v>
      </c>
      <c r="AF14" s="29">
        <f t="shared" si="11"/>
        <v>0</v>
      </c>
      <c r="AG14" s="35">
        <f t="shared" si="12"/>
        <v>0</v>
      </c>
      <c r="AH14" s="35">
        <f t="shared" si="13"/>
        <v>0</v>
      </c>
      <c r="AI14" s="280">
        <v>570.5451455000001</v>
      </c>
      <c r="AJ14" s="35">
        <f t="shared" si="3"/>
        <v>0.21179166666666666</v>
      </c>
      <c r="AK14" s="35">
        <f t="shared" ref="AK14:AK22" si="25">AJ14/$D$3</f>
        <v>0.56477777777777771</v>
      </c>
      <c r="AL14" s="29">
        <f t="shared" si="14"/>
        <v>0</v>
      </c>
      <c r="AM14" s="35">
        <f t="shared" si="15"/>
        <v>0.56477777777777771</v>
      </c>
      <c r="AN14" s="35">
        <f t="shared" ref="AN14:AN22" si="26">IF(AI14-AM14&gt;0,0,ABS(AI14-AM14))</f>
        <v>0</v>
      </c>
      <c r="AO14" s="280">
        <v>3.38578329</v>
      </c>
      <c r="AP14" s="35">
        <f t="shared" si="16"/>
        <v>0.55249999999999999</v>
      </c>
      <c r="AQ14" s="35">
        <f t="shared" ref="AQ14:AQ22" si="27">AP14/$D$3</f>
        <v>1.4733333333333334</v>
      </c>
      <c r="AR14" s="29">
        <f t="shared" si="17"/>
        <v>0</v>
      </c>
      <c r="AS14" s="35">
        <f t="shared" si="18"/>
        <v>1.4733333333333334</v>
      </c>
      <c r="AT14" s="35">
        <f>IF(AO14-AS14&gt;0,0,ABS(AO14-AS14))</f>
        <v>0</v>
      </c>
      <c r="AW14" s="276"/>
    </row>
    <row r="15" spans="1:49" s="29" customFormat="1" ht="15.75" x14ac:dyDescent="0.25">
      <c r="A15" s="36" t="s">
        <v>22</v>
      </c>
      <c r="B15" s="35">
        <f>I46/$D$3</f>
        <v>0.33617968936678611</v>
      </c>
      <c r="C15" s="35">
        <f>6.27/12</f>
        <v>0.52249999999999996</v>
      </c>
      <c r="D15" s="270">
        <v>0.02</v>
      </c>
      <c r="E15" s="279">
        <v>119.59795174666668</v>
      </c>
      <c r="F15" s="35">
        <f t="shared" si="4"/>
        <v>0</v>
      </c>
      <c r="G15" s="35">
        <f t="shared" si="19"/>
        <v>0</v>
      </c>
      <c r="H15" s="29">
        <f t="shared" ref="H15:H22" si="28">F$9*$B15</f>
        <v>28.343309610513739</v>
      </c>
      <c r="I15" s="35">
        <f t="shared" si="5"/>
        <v>28.343309610513739</v>
      </c>
      <c r="J15" s="35">
        <f t="shared" ref="J15:J22" si="29">IF(E15-I15&gt;0,0,ABS(E15-I15))</f>
        <v>0</v>
      </c>
      <c r="K15" s="280">
        <v>138.92223880000003</v>
      </c>
      <c r="L15" s="35">
        <f t="shared" si="0"/>
        <v>0</v>
      </c>
      <c r="M15" s="35">
        <f t="shared" si="20"/>
        <v>0</v>
      </c>
      <c r="N15" s="29">
        <f t="shared" ref="N15:N22" si="30">L$9*$B15</f>
        <v>6.7975533189964148</v>
      </c>
      <c r="O15" s="35">
        <f t="shared" si="6"/>
        <v>6.7975533189964148</v>
      </c>
      <c r="P15" s="35">
        <f t="shared" ref="P15:P22" si="31">IF(K15-O15&gt;0,0,ABS(K15-O15))</f>
        <v>0</v>
      </c>
      <c r="Q15" s="280">
        <v>50.698248807619059</v>
      </c>
      <c r="R15" s="35">
        <f t="shared" ref="R15:R22" si="32">R$7*(IF($C15-$D15&lt;0,0,ABS($C15-$D15)))</f>
        <v>0</v>
      </c>
      <c r="S15" s="35">
        <f t="shared" si="21"/>
        <v>0</v>
      </c>
      <c r="T15" s="29">
        <f t="shared" si="7"/>
        <v>32.222823225806444</v>
      </c>
      <c r="U15" s="35">
        <f t="shared" si="8"/>
        <v>32.222823225806444</v>
      </c>
      <c r="V15" s="35">
        <f t="shared" ref="V15:V22" si="33">IF(Q15-U15&gt;0,0,ABS(Q15-U15))</f>
        <v>0</v>
      </c>
      <c r="W15" s="249">
        <v>0</v>
      </c>
      <c r="X15" s="35">
        <f t="shared" si="1"/>
        <v>8.0399999999999999E-2</v>
      </c>
      <c r="Y15" s="35">
        <f t="shared" si="22"/>
        <v>0.21440000000000001</v>
      </c>
      <c r="Z15" s="29">
        <f t="shared" si="9"/>
        <v>6.3941376917562716</v>
      </c>
      <c r="AA15" s="35">
        <f t="shared" si="10"/>
        <v>6.6085376917562719</v>
      </c>
      <c r="AB15" s="35">
        <f t="shared" si="23"/>
        <v>6.6085376917562719</v>
      </c>
      <c r="AC15" s="280">
        <v>0</v>
      </c>
      <c r="AD15" s="35">
        <f t="shared" si="2"/>
        <v>0</v>
      </c>
      <c r="AE15" s="35">
        <f t="shared" si="24"/>
        <v>0</v>
      </c>
      <c r="AF15" s="29">
        <f t="shared" si="11"/>
        <v>2.5650510298685778</v>
      </c>
      <c r="AG15" s="35">
        <f t="shared" si="12"/>
        <v>2.5650510298685778</v>
      </c>
      <c r="AH15" s="35">
        <f t="shared" si="13"/>
        <v>2.5650510298685778</v>
      </c>
      <c r="AI15" s="280">
        <v>908.80611929999998</v>
      </c>
      <c r="AJ15" s="35">
        <f t="shared" si="3"/>
        <v>0.57787499999999992</v>
      </c>
      <c r="AK15" s="35">
        <f t="shared" si="25"/>
        <v>1.5409999999999997</v>
      </c>
      <c r="AL15" s="29">
        <f t="shared" si="14"/>
        <v>0</v>
      </c>
      <c r="AM15" s="35">
        <f t="shared" si="15"/>
        <v>1.5409999999999997</v>
      </c>
      <c r="AN15" s="35">
        <f t="shared" si="26"/>
        <v>0</v>
      </c>
      <c r="AO15" s="280">
        <v>2.7927257600000011</v>
      </c>
      <c r="AP15" s="35">
        <f t="shared" si="16"/>
        <v>1.5074999999999998</v>
      </c>
      <c r="AQ15" s="35">
        <f t="shared" si="27"/>
        <v>4.0199999999999996</v>
      </c>
      <c r="AR15" s="29">
        <f t="shared" si="17"/>
        <v>0.57486726881720418</v>
      </c>
      <c r="AS15" s="35">
        <f t="shared" si="18"/>
        <v>4.5948672688172039</v>
      </c>
      <c r="AT15" s="35">
        <f t="shared" ref="AT15:AT23" si="34">IF(AO15-AS15&gt;0,0,ABS(AO15-AS15))</f>
        <v>1.8021415088172028</v>
      </c>
      <c r="AW15" s="276"/>
    </row>
    <row r="16" spans="1:49" s="29" customFormat="1" ht="15.75" x14ac:dyDescent="0.25">
      <c r="A16" s="36" t="s">
        <v>23</v>
      </c>
      <c r="B16" s="35">
        <f>J46/$D$3</f>
        <v>0.6251431302270013</v>
      </c>
      <c r="C16" s="35">
        <f>7.22/12</f>
        <v>0.60166666666666668</v>
      </c>
      <c r="D16" s="270">
        <v>6.6666666666666671E-3</v>
      </c>
      <c r="E16" s="279">
        <v>144.41663960190479</v>
      </c>
      <c r="F16" s="35">
        <f t="shared" si="4"/>
        <v>0</v>
      </c>
      <c r="G16" s="35">
        <f t="shared" si="19"/>
        <v>0</v>
      </c>
      <c r="H16" s="29">
        <f t="shared" si="28"/>
        <v>52.70581730943848</v>
      </c>
      <c r="I16" s="35">
        <f t="shared" si="5"/>
        <v>52.70581730943848</v>
      </c>
      <c r="J16" s="35">
        <f t="shared" si="29"/>
        <v>0</v>
      </c>
      <c r="K16" s="280">
        <v>149.85115849999997</v>
      </c>
      <c r="L16" s="35">
        <f t="shared" si="0"/>
        <v>0</v>
      </c>
      <c r="M16" s="35">
        <f t="shared" si="20"/>
        <v>0</v>
      </c>
      <c r="N16" s="29">
        <f t="shared" si="30"/>
        <v>12.640394093189965</v>
      </c>
      <c r="O16" s="35">
        <f t="shared" si="6"/>
        <v>12.640394093189965</v>
      </c>
      <c r="P16" s="35">
        <f t="shared" si="31"/>
        <v>0</v>
      </c>
      <c r="Q16" s="280">
        <v>40.391265016309532</v>
      </c>
      <c r="R16" s="35">
        <f t="shared" si="32"/>
        <v>0</v>
      </c>
      <c r="S16" s="35">
        <f t="shared" si="21"/>
        <v>0</v>
      </c>
      <c r="T16" s="29">
        <f t="shared" si="7"/>
        <v>59.919969032258074</v>
      </c>
      <c r="U16" s="35">
        <f t="shared" si="8"/>
        <v>59.919969032258074</v>
      </c>
      <c r="V16" s="35">
        <f t="shared" si="33"/>
        <v>19.528704015948541</v>
      </c>
      <c r="W16" s="249">
        <v>0</v>
      </c>
      <c r="X16" s="35">
        <f t="shared" si="1"/>
        <v>9.5199999999999993E-2</v>
      </c>
      <c r="Y16" s="35">
        <f t="shared" si="22"/>
        <v>0.25386666666666663</v>
      </c>
      <c r="Z16" s="29">
        <f t="shared" si="9"/>
        <v>11.890222336917564</v>
      </c>
      <c r="AA16" s="35">
        <f t="shared" si="10"/>
        <v>12.144089003584231</v>
      </c>
      <c r="AB16" s="35">
        <f t="shared" si="23"/>
        <v>12.144089003584231</v>
      </c>
      <c r="AC16" s="280">
        <v>31.24264836614584</v>
      </c>
      <c r="AD16" s="35">
        <f t="shared" si="2"/>
        <v>0</v>
      </c>
      <c r="AE16" s="35">
        <f t="shared" si="24"/>
        <v>0</v>
      </c>
      <c r="AF16" s="29">
        <f t="shared" si="11"/>
        <v>4.7698420836320201</v>
      </c>
      <c r="AG16" s="35">
        <f t="shared" si="12"/>
        <v>4.7698420836320201</v>
      </c>
      <c r="AH16" s="35">
        <f t="shared" si="13"/>
        <v>0</v>
      </c>
      <c r="AI16" s="280">
        <v>275.26596660000001</v>
      </c>
      <c r="AJ16" s="35">
        <f t="shared" si="3"/>
        <v>0.68424999999999991</v>
      </c>
      <c r="AK16" s="35">
        <f t="shared" si="25"/>
        <v>1.8246666666666664</v>
      </c>
      <c r="AL16" s="29">
        <f t="shared" si="14"/>
        <v>0</v>
      </c>
      <c r="AM16" s="35">
        <f t="shared" si="15"/>
        <v>1.8246666666666664</v>
      </c>
      <c r="AN16" s="35">
        <f t="shared" si="26"/>
        <v>0</v>
      </c>
      <c r="AO16" s="280">
        <v>4.4786752600000002</v>
      </c>
      <c r="AP16" s="35">
        <f t="shared" si="16"/>
        <v>1.7849999999999999</v>
      </c>
      <c r="AQ16" s="35">
        <f t="shared" si="27"/>
        <v>4.76</v>
      </c>
      <c r="AR16" s="29">
        <f t="shared" si="17"/>
        <v>1.0689947526881722</v>
      </c>
      <c r="AS16" s="35">
        <f t="shared" si="18"/>
        <v>5.828994752688172</v>
      </c>
      <c r="AT16" s="35">
        <f t="shared" si="34"/>
        <v>1.3503194926881719</v>
      </c>
      <c r="AW16" s="276"/>
    </row>
    <row r="17" spans="1:52" s="29" customFormat="1" ht="15.75" x14ac:dyDescent="0.25">
      <c r="A17" s="36" t="s">
        <v>24</v>
      </c>
      <c r="B17" s="35">
        <f>K46/$D$3</f>
        <v>0.95376821983273607</v>
      </c>
      <c r="C17" s="35">
        <f>8.62/12</f>
        <v>0.71833333333333327</v>
      </c>
      <c r="D17" s="270">
        <v>6.9166666666666668E-2</v>
      </c>
      <c r="E17" s="279">
        <v>23.17032983428571</v>
      </c>
      <c r="F17" s="35">
        <f t="shared" si="4"/>
        <v>0</v>
      </c>
      <c r="G17" s="35">
        <f t="shared" si="19"/>
        <v>0</v>
      </c>
      <c r="H17" s="29">
        <f t="shared" si="28"/>
        <v>80.412198614097974</v>
      </c>
      <c r="I17" s="35">
        <f t="shared" si="5"/>
        <v>80.412198614097974</v>
      </c>
      <c r="J17" s="35">
        <f t="shared" si="29"/>
        <v>57.241868779812265</v>
      </c>
      <c r="K17" s="280">
        <v>38.677665000000012</v>
      </c>
      <c r="L17" s="35">
        <f t="shared" si="0"/>
        <v>0</v>
      </c>
      <c r="M17" s="35">
        <f t="shared" si="20"/>
        <v>0</v>
      </c>
      <c r="N17" s="29">
        <f t="shared" si="30"/>
        <v>19.285193405017921</v>
      </c>
      <c r="O17" s="35">
        <f t="shared" si="6"/>
        <v>19.285193405017921</v>
      </c>
      <c r="P17" s="35">
        <f t="shared" si="31"/>
        <v>0</v>
      </c>
      <c r="Q17" s="280">
        <v>14.076686590000003</v>
      </c>
      <c r="R17" s="35">
        <f t="shared" si="32"/>
        <v>0</v>
      </c>
      <c r="S17" s="35">
        <f t="shared" si="21"/>
        <v>0</v>
      </c>
      <c r="T17" s="29">
        <f t="shared" si="7"/>
        <v>91.41868387096774</v>
      </c>
      <c r="U17" s="35">
        <f t="shared" si="8"/>
        <v>91.41868387096774</v>
      </c>
      <c r="V17" s="35">
        <f t="shared" si="33"/>
        <v>77.341997280967732</v>
      </c>
      <c r="W17" s="249">
        <v>0</v>
      </c>
      <c r="X17" s="35">
        <f t="shared" si="1"/>
        <v>0.10386666666666665</v>
      </c>
      <c r="Y17" s="35">
        <f t="shared" si="22"/>
        <v>0.27697777777777771</v>
      </c>
      <c r="Z17" s="29">
        <f t="shared" si="9"/>
        <v>18.140671541218641</v>
      </c>
      <c r="AA17" s="35">
        <f t="shared" si="10"/>
        <v>18.417649318996418</v>
      </c>
      <c r="AB17" s="35">
        <f t="shared" si="23"/>
        <v>18.417649318996418</v>
      </c>
      <c r="AC17" s="280">
        <v>52.786087110000004</v>
      </c>
      <c r="AD17" s="35">
        <f t="shared" si="2"/>
        <v>0</v>
      </c>
      <c r="AE17" s="35">
        <f t="shared" si="24"/>
        <v>0</v>
      </c>
      <c r="AF17" s="29">
        <f t="shared" si="11"/>
        <v>7.2772515173237764</v>
      </c>
      <c r="AG17" s="35">
        <f t="shared" si="12"/>
        <v>7.2772515173237764</v>
      </c>
      <c r="AH17" s="35">
        <f t="shared" si="13"/>
        <v>0</v>
      </c>
      <c r="AI17" s="280">
        <v>121.22968640000003</v>
      </c>
      <c r="AJ17" s="35">
        <f t="shared" si="3"/>
        <v>0.74654166666666644</v>
      </c>
      <c r="AK17" s="35">
        <f t="shared" si="25"/>
        <v>1.9907777777777771</v>
      </c>
      <c r="AL17" s="29">
        <f t="shared" si="14"/>
        <v>0</v>
      </c>
      <c r="AM17" s="35">
        <f t="shared" si="15"/>
        <v>1.9907777777777771</v>
      </c>
      <c r="AN17" s="35">
        <f t="shared" si="26"/>
        <v>0</v>
      </c>
      <c r="AO17" s="280">
        <v>7.4975166000000009</v>
      </c>
      <c r="AP17" s="35">
        <f t="shared" si="16"/>
        <v>1.9474999999999998</v>
      </c>
      <c r="AQ17" s="35">
        <f t="shared" si="27"/>
        <v>5.1933333333333325</v>
      </c>
      <c r="AR17" s="29">
        <f t="shared" si="17"/>
        <v>1.6309436559139787</v>
      </c>
      <c r="AS17" s="35">
        <f t="shared" si="18"/>
        <v>6.824276989247311</v>
      </c>
      <c r="AT17" s="35">
        <f t="shared" si="34"/>
        <v>0</v>
      </c>
      <c r="AW17" s="276"/>
    </row>
    <row r="18" spans="1:52" s="29" customFormat="1" ht="15.75" x14ac:dyDescent="0.25">
      <c r="A18" s="36" t="s">
        <v>25</v>
      </c>
      <c r="B18" s="35">
        <f>L46/$D$3</f>
        <v>0.68557992831541226</v>
      </c>
      <c r="C18" s="35">
        <f>6.61/12</f>
        <v>0.5508333333333334</v>
      </c>
      <c r="D18" s="270">
        <v>0.28250000000000003</v>
      </c>
      <c r="E18" s="279">
        <v>28.167257469999996</v>
      </c>
      <c r="F18" s="35">
        <f t="shared" si="4"/>
        <v>0</v>
      </c>
      <c r="G18" s="35">
        <f t="shared" si="19"/>
        <v>0</v>
      </c>
      <c r="H18" s="29">
        <f t="shared" si="28"/>
        <v>57.801243756272406</v>
      </c>
      <c r="I18" s="35">
        <f t="shared" si="5"/>
        <v>57.801243756272406</v>
      </c>
      <c r="J18" s="35">
        <f t="shared" si="29"/>
        <v>29.63398628627241</v>
      </c>
      <c r="K18" s="280">
        <v>73.917866297222233</v>
      </c>
      <c r="L18" s="35">
        <f t="shared" si="0"/>
        <v>0</v>
      </c>
      <c r="M18" s="35">
        <f t="shared" si="20"/>
        <v>0</v>
      </c>
      <c r="N18" s="29">
        <f t="shared" si="30"/>
        <v>13.862426150537635</v>
      </c>
      <c r="O18" s="35">
        <f t="shared" si="6"/>
        <v>13.862426150537635</v>
      </c>
      <c r="P18" s="35">
        <f t="shared" si="31"/>
        <v>0</v>
      </c>
      <c r="Q18" s="280">
        <v>114.67828499000005</v>
      </c>
      <c r="R18" s="35">
        <f t="shared" si="32"/>
        <v>0</v>
      </c>
      <c r="S18" s="35">
        <f t="shared" si="21"/>
        <v>0</v>
      </c>
      <c r="T18" s="29">
        <f t="shared" si="7"/>
        <v>65.712836129032254</v>
      </c>
      <c r="U18" s="35">
        <f t="shared" si="8"/>
        <v>65.712836129032254</v>
      </c>
      <c r="V18" s="35">
        <f t="shared" si="33"/>
        <v>0</v>
      </c>
      <c r="W18" s="249">
        <v>0</v>
      </c>
      <c r="X18" s="35">
        <f t="shared" si="1"/>
        <v>4.2933333333333337E-2</v>
      </c>
      <c r="Y18" s="35">
        <f t="shared" si="22"/>
        <v>0.1144888888888889</v>
      </c>
      <c r="Z18" s="29">
        <f t="shared" si="9"/>
        <v>13.039730236559141</v>
      </c>
      <c r="AA18" s="35">
        <f t="shared" si="10"/>
        <v>13.15421912544803</v>
      </c>
      <c r="AB18" s="35">
        <f t="shared" si="23"/>
        <v>13.15421912544803</v>
      </c>
      <c r="AC18" s="280">
        <v>108.44225531000002</v>
      </c>
      <c r="AD18" s="35">
        <f t="shared" si="2"/>
        <v>0</v>
      </c>
      <c r="AE18" s="35">
        <f t="shared" si="24"/>
        <v>0</v>
      </c>
      <c r="AF18" s="29">
        <f t="shared" si="11"/>
        <v>5.2309748530465958</v>
      </c>
      <c r="AG18" s="35">
        <f t="shared" si="12"/>
        <v>5.2309748530465958</v>
      </c>
      <c r="AH18" s="35">
        <f t="shared" si="13"/>
        <v>0</v>
      </c>
      <c r="AI18" s="280">
        <v>168.4561071</v>
      </c>
      <c r="AJ18" s="35">
        <f t="shared" si="3"/>
        <v>0.30858333333333338</v>
      </c>
      <c r="AK18" s="35">
        <f t="shared" si="25"/>
        <v>0.822888888888889</v>
      </c>
      <c r="AL18" s="29">
        <f t="shared" si="14"/>
        <v>0</v>
      </c>
      <c r="AM18" s="35">
        <f t="shared" si="15"/>
        <v>0.822888888888889</v>
      </c>
      <c r="AN18" s="35">
        <f t="shared" si="26"/>
        <v>0</v>
      </c>
      <c r="AO18" s="280">
        <v>5.4842945500000004</v>
      </c>
      <c r="AP18" s="35">
        <f t="shared" si="16"/>
        <v>0.80500000000000016</v>
      </c>
      <c r="AQ18" s="35">
        <f t="shared" si="27"/>
        <v>2.1466666666666669</v>
      </c>
      <c r="AR18" s="29">
        <f t="shared" si="17"/>
        <v>1.1723416774193549</v>
      </c>
      <c r="AS18" s="35">
        <f t="shared" si="18"/>
        <v>3.3190083440860221</v>
      </c>
      <c r="AT18" s="35">
        <f t="shared" si="34"/>
        <v>0</v>
      </c>
      <c r="AW18" s="276"/>
    </row>
    <row r="19" spans="1:52" s="29" customFormat="1" ht="15.75" x14ac:dyDescent="0.25">
      <c r="A19" s="36" t="s">
        <v>26</v>
      </c>
      <c r="B19" s="35">
        <f>M46/$D$3</f>
        <v>0.85178112305854237</v>
      </c>
      <c r="C19" s="35">
        <f>5.49/12</f>
        <v>0.45750000000000002</v>
      </c>
      <c r="D19" s="270">
        <v>0.1075</v>
      </c>
      <c r="E19" s="279">
        <v>6.0376826799999996</v>
      </c>
      <c r="F19" s="35">
        <f t="shared" si="4"/>
        <v>0</v>
      </c>
      <c r="G19" s="35">
        <f t="shared" si="19"/>
        <v>0</v>
      </c>
      <c r="H19" s="29">
        <f t="shared" si="28"/>
        <v>71.81366648506571</v>
      </c>
      <c r="I19" s="35">
        <f t="shared" si="5"/>
        <v>71.81366648506571</v>
      </c>
      <c r="J19" s="35">
        <f t="shared" si="29"/>
        <v>65.775983805065707</v>
      </c>
      <c r="K19" s="280">
        <v>0</v>
      </c>
      <c r="L19" s="35">
        <f t="shared" si="0"/>
        <v>0</v>
      </c>
      <c r="M19" s="35">
        <f t="shared" si="20"/>
        <v>0</v>
      </c>
      <c r="N19" s="29">
        <f t="shared" si="30"/>
        <v>17.223014308243727</v>
      </c>
      <c r="O19" s="35">
        <f t="shared" si="6"/>
        <v>17.223014308243727</v>
      </c>
      <c r="P19" s="35">
        <f t="shared" si="31"/>
        <v>17.223014308243727</v>
      </c>
      <c r="Q19" s="280">
        <v>6.9619797000000014</v>
      </c>
      <c r="R19" s="35">
        <f t="shared" si="32"/>
        <v>0</v>
      </c>
      <c r="S19" s="35">
        <f t="shared" si="21"/>
        <v>0</v>
      </c>
      <c r="T19" s="29">
        <f t="shared" si="7"/>
        <v>81.643220645161279</v>
      </c>
      <c r="U19" s="35">
        <f t="shared" si="8"/>
        <v>81.643220645161279</v>
      </c>
      <c r="V19" s="35">
        <f t="shared" si="33"/>
        <v>74.681240945161278</v>
      </c>
      <c r="W19" s="249">
        <v>0</v>
      </c>
      <c r="X19" s="35">
        <f t="shared" si="1"/>
        <v>5.6000000000000008E-2</v>
      </c>
      <c r="Y19" s="35">
        <f t="shared" si="22"/>
        <v>0.14933333333333335</v>
      </c>
      <c r="Z19" s="29">
        <f t="shared" si="9"/>
        <v>16.200876960573474</v>
      </c>
      <c r="AA19" s="35">
        <f t="shared" si="10"/>
        <v>16.350210293906809</v>
      </c>
      <c r="AB19" s="35">
        <f t="shared" si="23"/>
        <v>16.350210293906809</v>
      </c>
      <c r="AC19" s="280">
        <v>0</v>
      </c>
      <c r="AD19" s="35">
        <f t="shared" si="2"/>
        <v>0</v>
      </c>
      <c r="AE19" s="35">
        <f t="shared" si="24"/>
        <v>0</v>
      </c>
      <c r="AF19" s="29">
        <f t="shared" si="11"/>
        <v>6.4990899689366781</v>
      </c>
      <c r="AG19" s="35">
        <f t="shared" si="12"/>
        <v>6.4990899689366781</v>
      </c>
      <c r="AH19" s="35">
        <f t="shared" si="13"/>
        <v>6.4990899689366781</v>
      </c>
      <c r="AI19" s="280">
        <v>143.8809138</v>
      </c>
      <c r="AJ19" s="35">
        <f t="shared" si="3"/>
        <v>0.40250000000000002</v>
      </c>
      <c r="AK19" s="35">
        <f t="shared" si="25"/>
        <v>1.0733333333333335</v>
      </c>
      <c r="AL19" s="29">
        <f t="shared" si="14"/>
        <v>0</v>
      </c>
      <c r="AM19" s="35">
        <f t="shared" si="15"/>
        <v>1.0733333333333335</v>
      </c>
      <c r="AN19" s="35">
        <f t="shared" si="26"/>
        <v>0</v>
      </c>
      <c r="AO19" s="280">
        <v>1.8181808333333334E-2</v>
      </c>
      <c r="AP19" s="35">
        <f t="shared" si="16"/>
        <v>1.05</v>
      </c>
      <c r="AQ19" s="35">
        <f t="shared" si="27"/>
        <v>2.8000000000000003</v>
      </c>
      <c r="AR19" s="29">
        <f t="shared" si="17"/>
        <v>1.4565457204301073</v>
      </c>
      <c r="AS19" s="35">
        <f t="shared" si="18"/>
        <v>4.2565457204301076</v>
      </c>
      <c r="AT19" s="35">
        <f t="shared" si="34"/>
        <v>4.2383639120967747</v>
      </c>
      <c r="AW19" s="276"/>
    </row>
    <row r="20" spans="1:52" s="29" customFormat="1" ht="15.75" x14ac:dyDescent="0.25">
      <c r="A20" s="36" t="s">
        <v>27</v>
      </c>
      <c r="B20" s="35">
        <f>N46/$D$3</f>
        <v>0.57792688172043027</v>
      </c>
      <c r="C20" s="35">
        <f>4.87/12</f>
        <v>0.40583333333333332</v>
      </c>
      <c r="D20" s="270">
        <v>7.6666666666666675E-2</v>
      </c>
      <c r="E20" s="279">
        <v>0</v>
      </c>
      <c r="F20" s="35">
        <f t="shared" si="4"/>
        <v>0</v>
      </c>
      <c r="G20" s="35">
        <f t="shared" si="19"/>
        <v>0</v>
      </c>
      <c r="H20" s="29">
        <f t="shared" si="28"/>
        <v>48.725015397849475</v>
      </c>
      <c r="I20" s="35">
        <f t="shared" si="5"/>
        <v>48.725015397849475</v>
      </c>
      <c r="J20" s="35">
        <f t="shared" si="29"/>
        <v>48.725015397849475</v>
      </c>
      <c r="K20" s="280">
        <v>0</v>
      </c>
      <c r="L20" s="35">
        <f t="shared" si="0"/>
        <v>0</v>
      </c>
      <c r="M20" s="35">
        <f t="shared" si="20"/>
        <v>0</v>
      </c>
      <c r="N20" s="29">
        <f t="shared" si="30"/>
        <v>11.6856815483871</v>
      </c>
      <c r="O20" s="35">
        <f t="shared" si="6"/>
        <v>11.6856815483871</v>
      </c>
      <c r="P20" s="35">
        <f t="shared" si="31"/>
        <v>11.6856815483871</v>
      </c>
      <c r="Q20" s="280">
        <v>0</v>
      </c>
      <c r="R20" s="35">
        <f t="shared" si="32"/>
        <v>0</v>
      </c>
      <c r="S20" s="35">
        <f t="shared" si="21"/>
        <v>0</v>
      </c>
      <c r="T20" s="29">
        <f t="shared" si="7"/>
        <v>55.394291612903238</v>
      </c>
      <c r="U20" s="35">
        <f t="shared" si="8"/>
        <v>55.394291612903238</v>
      </c>
      <c r="V20" s="35">
        <f t="shared" si="33"/>
        <v>55.394291612903238</v>
      </c>
      <c r="W20" s="249">
        <v>0</v>
      </c>
      <c r="X20" s="35">
        <f t="shared" si="1"/>
        <v>5.2666666666666667E-2</v>
      </c>
      <c r="Y20" s="35">
        <f t="shared" si="22"/>
        <v>0.14044444444444446</v>
      </c>
      <c r="Z20" s="29">
        <f t="shared" si="9"/>
        <v>10.992169290322584</v>
      </c>
      <c r="AA20" s="35">
        <f t="shared" si="10"/>
        <v>11.132613734767029</v>
      </c>
      <c r="AB20" s="35">
        <f t="shared" si="23"/>
        <v>11.132613734767029</v>
      </c>
      <c r="AC20" s="280">
        <v>0</v>
      </c>
      <c r="AD20" s="35">
        <f t="shared" si="2"/>
        <v>0</v>
      </c>
      <c r="AE20" s="35">
        <f t="shared" si="24"/>
        <v>0</v>
      </c>
      <c r="AF20" s="29">
        <f t="shared" si="11"/>
        <v>4.4095821075268828</v>
      </c>
      <c r="AG20" s="35">
        <f t="shared" si="12"/>
        <v>4.4095821075268828</v>
      </c>
      <c r="AH20" s="35">
        <f t="shared" si="13"/>
        <v>4.4095821075268828</v>
      </c>
      <c r="AI20" s="280">
        <v>108.11894969999994</v>
      </c>
      <c r="AJ20" s="35">
        <f t="shared" si="3"/>
        <v>0.37854166666666661</v>
      </c>
      <c r="AK20" s="35">
        <f t="shared" si="25"/>
        <v>1.0094444444444444</v>
      </c>
      <c r="AL20" s="29">
        <f t="shared" si="14"/>
        <v>0</v>
      </c>
      <c r="AM20" s="35">
        <f t="shared" si="15"/>
        <v>1.0094444444444444</v>
      </c>
      <c r="AN20" s="35">
        <f t="shared" si="26"/>
        <v>0</v>
      </c>
      <c r="AO20" s="280">
        <v>0</v>
      </c>
      <c r="AP20" s="35">
        <f t="shared" si="16"/>
        <v>0.98750000000000004</v>
      </c>
      <c r="AQ20" s="35">
        <f t="shared" si="27"/>
        <v>2.6333333333333333</v>
      </c>
      <c r="AR20" s="29">
        <f t="shared" si="17"/>
        <v>0.98825496774193577</v>
      </c>
      <c r="AS20" s="35">
        <f t="shared" si="18"/>
        <v>3.6215883010752692</v>
      </c>
      <c r="AT20" s="35">
        <f t="shared" si="34"/>
        <v>3.6215883010752692</v>
      </c>
      <c r="AW20" s="276"/>
    </row>
    <row r="21" spans="1:52" s="29" customFormat="1" ht="15.75" x14ac:dyDescent="0.25">
      <c r="A21" s="36" t="s">
        <v>28</v>
      </c>
      <c r="B21" s="35">
        <f>O46/$D$3</f>
        <v>0.33995698924731194</v>
      </c>
      <c r="C21" s="35">
        <f>4.09/12</f>
        <v>0.34083333333333332</v>
      </c>
      <c r="D21" s="270">
        <v>5.8333333333333327E-2</v>
      </c>
      <c r="E21" s="279">
        <v>0</v>
      </c>
      <c r="F21" s="35">
        <f t="shared" si="4"/>
        <v>0</v>
      </c>
      <c r="G21" s="35">
        <f t="shared" si="19"/>
        <v>0</v>
      </c>
      <c r="H21" s="29">
        <f t="shared" si="28"/>
        <v>28.66177376344087</v>
      </c>
      <c r="I21" s="35">
        <f t="shared" si="5"/>
        <v>28.66177376344087</v>
      </c>
      <c r="J21" s="35">
        <f t="shared" si="29"/>
        <v>28.66177376344087</v>
      </c>
      <c r="K21" s="280">
        <v>0</v>
      </c>
      <c r="L21" s="35">
        <f t="shared" si="0"/>
        <v>0</v>
      </c>
      <c r="M21" s="35">
        <f t="shared" si="20"/>
        <v>0</v>
      </c>
      <c r="N21" s="29">
        <f t="shared" si="30"/>
        <v>6.8739303225806472</v>
      </c>
      <c r="O21" s="35">
        <f t="shared" si="6"/>
        <v>6.8739303225806472</v>
      </c>
      <c r="P21" s="35">
        <f t="shared" si="31"/>
        <v>6.8739303225806472</v>
      </c>
      <c r="Q21" s="280">
        <v>0</v>
      </c>
      <c r="R21" s="35">
        <f t="shared" si="32"/>
        <v>0</v>
      </c>
      <c r="S21" s="35">
        <f t="shared" si="21"/>
        <v>0</v>
      </c>
      <c r="T21" s="29">
        <f t="shared" si="7"/>
        <v>32.584877419354846</v>
      </c>
      <c r="U21" s="35">
        <f t="shared" si="8"/>
        <v>32.584877419354846</v>
      </c>
      <c r="V21" s="35">
        <f t="shared" si="33"/>
        <v>32.584877419354846</v>
      </c>
      <c r="W21" s="249">
        <v>0</v>
      </c>
      <c r="X21" s="35">
        <f t="shared" si="1"/>
        <v>4.5199999999999997E-2</v>
      </c>
      <c r="Y21" s="35">
        <f t="shared" si="22"/>
        <v>0.12053333333333333</v>
      </c>
      <c r="Z21" s="29">
        <f t="shared" si="9"/>
        <v>6.4659819354838728</v>
      </c>
      <c r="AA21" s="35">
        <f t="shared" si="10"/>
        <v>6.5865152688172062</v>
      </c>
      <c r="AB21" s="35">
        <f t="shared" si="23"/>
        <v>6.5865152688172062</v>
      </c>
      <c r="AC21" s="280">
        <v>0</v>
      </c>
      <c r="AD21" s="35">
        <f t="shared" si="2"/>
        <v>0</v>
      </c>
      <c r="AE21" s="35">
        <f t="shared" si="24"/>
        <v>0</v>
      </c>
      <c r="AF21" s="29">
        <f t="shared" si="11"/>
        <v>2.5938718279569901</v>
      </c>
      <c r="AG21" s="35">
        <f t="shared" si="12"/>
        <v>2.5938718279569901</v>
      </c>
      <c r="AH21" s="35">
        <f t="shared" si="13"/>
        <v>2.5938718279569901</v>
      </c>
      <c r="AI21" s="280">
        <v>131.24620990000003</v>
      </c>
      <c r="AJ21" s="35">
        <f t="shared" si="3"/>
        <v>0.32487499999999997</v>
      </c>
      <c r="AK21" s="35">
        <f t="shared" si="25"/>
        <v>0.86633333333333329</v>
      </c>
      <c r="AL21" s="29">
        <f t="shared" si="14"/>
        <v>0</v>
      </c>
      <c r="AM21" s="35">
        <f t="shared" si="15"/>
        <v>0.86633333333333329</v>
      </c>
      <c r="AN21" s="35">
        <f t="shared" si="26"/>
        <v>0</v>
      </c>
      <c r="AO21" s="280">
        <v>0</v>
      </c>
      <c r="AP21" s="35">
        <f t="shared" si="16"/>
        <v>0.84749999999999992</v>
      </c>
      <c r="AQ21" s="35">
        <f t="shared" si="27"/>
        <v>2.2599999999999998</v>
      </c>
      <c r="AR21" s="29">
        <f t="shared" si="17"/>
        <v>0.58132645161290342</v>
      </c>
      <c r="AS21" s="35">
        <f t="shared" si="18"/>
        <v>2.8413264516129031</v>
      </c>
      <c r="AT21" s="35">
        <f t="shared" si="34"/>
        <v>2.8413264516129031</v>
      </c>
      <c r="AW21" s="276"/>
    </row>
    <row r="22" spans="1:52" s="29" customFormat="1" ht="15.75" x14ac:dyDescent="0.25">
      <c r="A22" s="36" t="s">
        <v>29</v>
      </c>
      <c r="B22" s="35">
        <f>P46/$D$3</f>
        <v>2.0775149342891281E-2</v>
      </c>
      <c r="C22" s="35">
        <f>2.13/12</f>
        <v>0.17749999999999999</v>
      </c>
      <c r="D22" s="270">
        <v>5.8333333333333327E-2</v>
      </c>
      <c r="E22" s="279">
        <v>0</v>
      </c>
      <c r="F22" s="35">
        <f t="shared" si="4"/>
        <v>0</v>
      </c>
      <c r="G22" s="35">
        <f t="shared" si="19"/>
        <v>0</v>
      </c>
      <c r="H22" s="29">
        <f t="shared" si="28"/>
        <v>1.7515528410991639</v>
      </c>
      <c r="I22" s="35">
        <f t="shared" si="5"/>
        <v>1.7515528410991639</v>
      </c>
      <c r="J22" s="35">
        <f t="shared" si="29"/>
        <v>1.7515528410991639</v>
      </c>
      <c r="K22" s="280">
        <v>0</v>
      </c>
      <c r="L22" s="35">
        <f t="shared" si="0"/>
        <v>0</v>
      </c>
      <c r="M22" s="35">
        <f t="shared" si="20"/>
        <v>0</v>
      </c>
      <c r="N22" s="29">
        <f t="shared" si="30"/>
        <v>0.42007351971326168</v>
      </c>
      <c r="O22" s="35">
        <f t="shared" si="6"/>
        <v>0.42007351971326168</v>
      </c>
      <c r="P22" s="35">
        <f t="shared" si="31"/>
        <v>0.42007351971326168</v>
      </c>
      <c r="Q22" s="280">
        <v>0</v>
      </c>
      <c r="R22" s="35">
        <f t="shared" si="32"/>
        <v>0</v>
      </c>
      <c r="S22" s="35">
        <f t="shared" si="21"/>
        <v>0</v>
      </c>
      <c r="T22" s="29">
        <f t="shared" si="7"/>
        <v>1.9912980645161291</v>
      </c>
      <c r="U22" s="35">
        <f t="shared" si="8"/>
        <v>1.9912980645161291</v>
      </c>
      <c r="V22" s="35">
        <f t="shared" si="33"/>
        <v>1.9912980645161291</v>
      </c>
      <c r="W22" s="249">
        <v>0</v>
      </c>
      <c r="X22" s="35">
        <f t="shared" si="1"/>
        <v>1.9066666666666669E-2</v>
      </c>
      <c r="Y22" s="35">
        <f t="shared" si="22"/>
        <v>5.0844444444444449E-2</v>
      </c>
      <c r="Z22" s="29">
        <f t="shared" si="9"/>
        <v>0.39514334050179217</v>
      </c>
      <c r="AA22" s="35">
        <f t="shared" si="10"/>
        <v>0.44598778494623664</v>
      </c>
      <c r="AB22" s="35">
        <f t="shared" si="23"/>
        <v>0.44598778494623664</v>
      </c>
      <c r="AC22" s="280">
        <v>0</v>
      </c>
      <c r="AD22" s="35">
        <f t="shared" si="2"/>
        <v>0</v>
      </c>
      <c r="AE22" s="35">
        <f t="shared" si="24"/>
        <v>0</v>
      </c>
      <c r="AF22" s="29">
        <f t="shared" si="11"/>
        <v>0.15851438948626048</v>
      </c>
      <c r="AG22" s="35">
        <f t="shared" si="12"/>
        <v>0.15851438948626048</v>
      </c>
      <c r="AH22" s="35">
        <f t="shared" si="13"/>
        <v>0.15851438948626048</v>
      </c>
      <c r="AI22" s="280">
        <v>189.63956670000002</v>
      </c>
      <c r="AJ22" s="35">
        <f t="shared" si="3"/>
        <v>0.13704166666666667</v>
      </c>
      <c r="AK22" s="35">
        <f t="shared" si="25"/>
        <v>0.36544444444444446</v>
      </c>
      <c r="AL22" s="29">
        <f t="shared" si="14"/>
        <v>0</v>
      </c>
      <c r="AM22" s="35">
        <f t="shared" si="15"/>
        <v>0.36544444444444446</v>
      </c>
      <c r="AN22" s="35">
        <f t="shared" si="26"/>
        <v>0</v>
      </c>
      <c r="AO22" s="280">
        <v>0</v>
      </c>
      <c r="AP22" s="35">
        <f t="shared" si="16"/>
        <v>0.35750000000000004</v>
      </c>
      <c r="AQ22" s="35">
        <f t="shared" si="27"/>
        <v>0.95333333333333348</v>
      </c>
      <c r="AR22" s="29">
        <f t="shared" si="17"/>
        <v>3.5525505376344087E-2</v>
      </c>
      <c r="AS22" s="35">
        <f t="shared" si="18"/>
        <v>0.98885883870967761</v>
      </c>
      <c r="AT22" s="35">
        <f t="shared" si="34"/>
        <v>0.98885883870967761</v>
      </c>
      <c r="AW22" s="276"/>
    </row>
    <row r="23" spans="1:52" s="29" customFormat="1" ht="15.75" x14ac:dyDescent="0.25">
      <c r="A23" s="36" t="s">
        <v>204</v>
      </c>
      <c r="B23" s="35">
        <f>Q46/$D$3</f>
        <v>0</v>
      </c>
      <c r="C23" s="123">
        <f>1.74/12</f>
        <v>0.14499999999999999</v>
      </c>
      <c r="D23" s="270">
        <v>0</v>
      </c>
      <c r="E23" s="249">
        <v>0</v>
      </c>
      <c r="F23" s="35">
        <f t="shared" si="4"/>
        <v>0</v>
      </c>
      <c r="G23" s="35">
        <f>F23/$D$3</f>
        <v>0</v>
      </c>
      <c r="H23" s="29">
        <f>F$9*$B23</f>
        <v>0</v>
      </c>
      <c r="I23" s="35">
        <f>G23+H23</f>
        <v>0</v>
      </c>
      <c r="J23" s="35">
        <f>IF(E23-I23&gt;0,0,ABS(E23-I23))</f>
        <v>0</v>
      </c>
      <c r="K23" s="249">
        <v>0</v>
      </c>
      <c r="L23" s="35">
        <f t="shared" si="0"/>
        <v>0</v>
      </c>
      <c r="M23" s="35">
        <f>L23/$D$3</f>
        <v>0</v>
      </c>
      <c r="N23" s="29">
        <f>L$9*$B23</f>
        <v>0</v>
      </c>
      <c r="O23" s="35">
        <f>M23+N23</f>
        <v>0</v>
      </c>
      <c r="P23" s="35">
        <f>IF(K23-O23&gt;0,0,ABS(K23-O23))</f>
        <v>0</v>
      </c>
      <c r="Q23" s="249">
        <v>0</v>
      </c>
      <c r="R23" s="35">
        <f>R$7*(IF($C23-$D23&lt;0,0,ABS($C23-$D23)))</f>
        <v>0</v>
      </c>
      <c r="S23" s="35">
        <f>R23/$D$3</f>
        <v>0</v>
      </c>
      <c r="T23" s="29">
        <f>R$9*$B23</f>
        <v>0</v>
      </c>
      <c r="U23" s="35">
        <f>S23+T23</f>
        <v>0</v>
      </c>
      <c r="V23" s="35">
        <f>IF(Q23-U23&gt;0,0,ABS(Q23-U23))</f>
        <v>0</v>
      </c>
      <c r="W23" s="249">
        <v>0</v>
      </c>
      <c r="X23" s="35">
        <f t="shared" si="1"/>
        <v>2.3199999999999998E-2</v>
      </c>
      <c r="Y23" s="35">
        <f>X23/$D$3</f>
        <v>6.186666666666666E-2</v>
      </c>
      <c r="Z23" s="29">
        <f>X$9*$B23</f>
        <v>0</v>
      </c>
      <c r="AA23" s="35">
        <f>Y23+Z23</f>
        <v>6.186666666666666E-2</v>
      </c>
      <c r="AB23" s="249">
        <v>0</v>
      </c>
      <c r="AC23" s="249">
        <v>0</v>
      </c>
      <c r="AD23" s="35">
        <f t="shared" si="2"/>
        <v>0</v>
      </c>
      <c r="AE23" s="35">
        <f>AD23/$D$3</f>
        <v>0</v>
      </c>
      <c r="AF23" s="29">
        <f>AD$9*$B23</f>
        <v>0</v>
      </c>
      <c r="AG23" s="35">
        <f>AE23+AF23</f>
        <v>0</v>
      </c>
      <c r="AH23" s="249">
        <f t="shared" si="13"/>
        <v>0</v>
      </c>
      <c r="AI23" s="249">
        <v>5.7322283000000001</v>
      </c>
      <c r="AJ23" s="35">
        <f t="shared" si="3"/>
        <v>0.16674999999999998</v>
      </c>
      <c r="AK23" s="35">
        <f>AJ23/$D$3</f>
        <v>0.4446666666666666</v>
      </c>
      <c r="AL23" s="29">
        <f>AJ$9*$B23</f>
        <v>0</v>
      </c>
      <c r="AM23" s="35">
        <f>AK23+AL23</f>
        <v>0.4446666666666666</v>
      </c>
      <c r="AN23" s="249">
        <v>0</v>
      </c>
      <c r="AO23" s="249">
        <v>0</v>
      </c>
      <c r="AP23" s="35">
        <f t="shared" si="16"/>
        <v>0.43499999999999994</v>
      </c>
      <c r="AQ23" s="35">
        <f>AP23/$D$3</f>
        <v>1.1599999999999999</v>
      </c>
      <c r="AR23" s="29">
        <f>AP$9*$B23</f>
        <v>0</v>
      </c>
      <c r="AS23" s="35">
        <f>AQ23+AR23</f>
        <v>1.1599999999999999</v>
      </c>
      <c r="AT23" s="35">
        <f t="shared" si="34"/>
        <v>1.1599999999999999</v>
      </c>
      <c r="AW23" s="276"/>
    </row>
    <row r="24" spans="1:52" s="33" customFormat="1" ht="15.75" x14ac:dyDescent="0.25">
      <c r="A24" s="33" t="s">
        <v>34</v>
      </c>
      <c r="B24" s="33">
        <f>SUM(B12:B23)</f>
        <v>4.391111111111111</v>
      </c>
      <c r="C24" s="33">
        <f t="shared" ref="C24:AT24" si="35">SUM(C12:C23)</f>
        <v>4.6583333333333332</v>
      </c>
      <c r="D24" s="33">
        <f t="shared" si="35"/>
        <v>1.1416666666666668</v>
      </c>
      <c r="E24" s="33">
        <f t="shared" si="35"/>
        <v>321.38986133285715</v>
      </c>
      <c r="F24" s="33">
        <f t="shared" si="35"/>
        <v>0</v>
      </c>
      <c r="G24" s="33">
        <f t="shared" si="35"/>
        <v>0</v>
      </c>
      <c r="H24" s="33">
        <f t="shared" si="35"/>
        <v>370.21457777777783</v>
      </c>
      <c r="I24" s="33">
        <f t="shared" si="35"/>
        <v>370.21457777777783</v>
      </c>
      <c r="J24" s="33">
        <f t="shared" si="35"/>
        <v>231.7901808735399</v>
      </c>
      <c r="K24" s="33">
        <f t="shared" si="35"/>
        <v>401.36892859722224</v>
      </c>
      <c r="L24" s="33">
        <f t="shared" si="35"/>
        <v>0</v>
      </c>
      <c r="M24" s="33">
        <f t="shared" si="35"/>
        <v>0</v>
      </c>
      <c r="N24" s="33">
        <f t="shared" si="35"/>
        <v>88.788266666666658</v>
      </c>
      <c r="O24" s="33">
        <f t="shared" si="35"/>
        <v>88.788266666666658</v>
      </c>
      <c r="P24" s="33">
        <f t="shared" si="35"/>
        <v>36.202699698924739</v>
      </c>
      <c r="Q24" s="33">
        <f t="shared" si="35"/>
        <v>226.80646510392867</v>
      </c>
      <c r="R24" s="33">
        <f t="shared" si="35"/>
        <v>0</v>
      </c>
      <c r="S24" s="33">
        <f t="shared" si="35"/>
        <v>0</v>
      </c>
      <c r="T24" s="33">
        <f t="shared" si="35"/>
        <v>420.88800000000003</v>
      </c>
      <c r="U24" s="33">
        <f t="shared" si="35"/>
        <v>420.88800000000003</v>
      </c>
      <c r="V24" s="33">
        <f t="shared" si="35"/>
        <v>261.52240933885173</v>
      </c>
      <c r="W24" s="33">
        <f t="shared" si="35"/>
        <v>0</v>
      </c>
      <c r="X24" s="33">
        <f t="shared" si="35"/>
        <v>0.56266666666666665</v>
      </c>
      <c r="Y24" s="33">
        <f t="shared" si="35"/>
        <v>1.5004444444444445</v>
      </c>
      <c r="Z24" s="33">
        <f t="shared" si="35"/>
        <v>83.518933333333322</v>
      </c>
      <c r="AA24" s="33">
        <f t="shared" si="35"/>
        <v>85.019377777777791</v>
      </c>
      <c r="AB24" s="33">
        <f t="shared" si="35"/>
        <v>84.91840000000002</v>
      </c>
      <c r="AC24" s="33">
        <f t="shared" si="35"/>
        <v>192.47099078614588</v>
      </c>
      <c r="AD24" s="33">
        <f t="shared" si="35"/>
        <v>0</v>
      </c>
      <c r="AE24" s="33">
        <f t="shared" si="35"/>
        <v>0</v>
      </c>
      <c r="AF24" s="33">
        <f t="shared" si="35"/>
        <v>33.504177777777791</v>
      </c>
      <c r="AG24" s="33">
        <f t="shared" si="35"/>
        <v>33.504177777777791</v>
      </c>
      <c r="AH24" s="33">
        <f t="shared" si="35"/>
        <v>16.226109323775386</v>
      </c>
      <c r="AI24" s="33">
        <f t="shared" si="35"/>
        <v>2622.9208933</v>
      </c>
      <c r="AJ24" s="33">
        <f t="shared" si="35"/>
        <v>4.0441666666666665</v>
      </c>
      <c r="AK24" s="33">
        <f t="shared" si="35"/>
        <v>10.784444444444443</v>
      </c>
      <c r="AL24" s="33">
        <f t="shared" si="35"/>
        <v>0</v>
      </c>
      <c r="AM24" s="33">
        <f t="shared" si="35"/>
        <v>10.784444444444443</v>
      </c>
      <c r="AN24" s="33">
        <f t="shared" si="35"/>
        <v>0</v>
      </c>
      <c r="AO24" s="33">
        <f t="shared" si="35"/>
        <v>23.657177268333339</v>
      </c>
      <c r="AP24" s="33">
        <f t="shared" si="35"/>
        <v>10.55</v>
      </c>
      <c r="AQ24" s="33">
        <f t="shared" si="35"/>
        <v>28.133333333333336</v>
      </c>
      <c r="AR24" s="33">
        <f t="shared" si="35"/>
        <v>7.5088000000000008</v>
      </c>
      <c r="AS24" s="33">
        <f t="shared" si="35"/>
        <v>35.642133333333327</v>
      </c>
      <c r="AT24" s="33">
        <f t="shared" si="35"/>
        <v>16.735931838333332</v>
      </c>
    </row>
    <row r="25" spans="1:52" s="29" customFormat="1" x14ac:dyDescent="0.2">
      <c r="A25" s="172" t="s">
        <v>339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1" t="s">
        <v>331</v>
      </c>
      <c r="U25" s="206"/>
      <c r="V25" s="206"/>
    </row>
    <row r="26" spans="1:52" s="29" customFormat="1" x14ac:dyDescent="0.2">
      <c r="A26" s="29" t="s">
        <v>338</v>
      </c>
    </row>
    <row r="27" spans="1:52" s="104" customFormat="1" ht="18" x14ac:dyDescent="0.25">
      <c r="A27" s="98" t="s">
        <v>35</v>
      </c>
      <c r="B27" s="99"/>
      <c r="C27" s="102"/>
      <c r="D27" s="103"/>
      <c r="E27" s="103"/>
      <c r="F27" s="305" t="s">
        <v>117</v>
      </c>
      <c r="G27" s="306"/>
      <c r="H27" s="306"/>
      <c r="I27" s="306"/>
      <c r="J27" s="306"/>
      <c r="K27" s="306"/>
      <c r="L27" s="307" t="s">
        <v>118</v>
      </c>
      <c r="M27" s="306"/>
      <c r="N27" s="306"/>
      <c r="O27" s="306"/>
      <c r="P27" s="306"/>
      <c r="Q27" s="306"/>
      <c r="R27" s="137"/>
      <c r="S27" s="308" t="s">
        <v>71</v>
      </c>
      <c r="T27" s="309"/>
      <c r="U27" s="309"/>
      <c r="V27" s="309"/>
      <c r="W27" s="309"/>
      <c r="X27" s="309"/>
      <c r="Y27" s="162"/>
      <c r="Z27" s="164"/>
      <c r="AA27" s="48"/>
      <c r="AB27" s="48"/>
      <c r="AC27" s="48"/>
      <c r="AD27" s="48"/>
      <c r="AE27" s="48"/>
      <c r="AF27" s="48"/>
      <c r="AG27" s="162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165"/>
      <c r="AV27" s="165"/>
      <c r="AW27" s="165"/>
      <c r="AX27" s="165"/>
      <c r="AY27" s="165"/>
      <c r="AZ27" s="165"/>
    </row>
    <row r="28" spans="1:52" s="2" customFormat="1" ht="72.75" customHeight="1" x14ac:dyDescent="0.2">
      <c r="A28" s="89"/>
      <c r="B28" s="89"/>
      <c r="C28" s="105" t="s">
        <v>8</v>
      </c>
      <c r="D28" s="105" t="s">
        <v>9</v>
      </c>
      <c r="E28" s="105"/>
      <c r="F28" s="83" t="s">
        <v>200</v>
      </c>
      <c r="G28" s="86" t="s">
        <v>0</v>
      </c>
      <c r="H28" s="83" t="s">
        <v>2</v>
      </c>
      <c r="I28" s="83" t="s">
        <v>3</v>
      </c>
      <c r="J28" s="83" t="s">
        <v>288</v>
      </c>
      <c r="K28" s="83" t="s">
        <v>289</v>
      </c>
      <c r="L28" s="89"/>
      <c r="M28" s="83" t="s">
        <v>202</v>
      </c>
      <c r="N28" s="86" t="s">
        <v>0</v>
      </c>
      <c r="O28" s="83" t="s">
        <v>289</v>
      </c>
      <c r="P28" s="83" t="s">
        <v>201</v>
      </c>
      <c r="Q28" s="86" t="s">
        <v>0</v>
      </c>
      <c r="S28" s="86" t="s">
        <v>119</v>
      </c>
      <c r="T28" s="83" t="s">
        <v>1</v>
      </c>
      <c r="U28" s="83" t="s">
        <v>4</v>
      </c>
      <c r="V28" s="86" t="s">
        <v>290</v>
      </c>
      <c r="W28" s="86" t="s">
        <v>120</v>
      </c>
      <c r="X28" s="86" t="s">
        <v>291</v>
      </c>
      <c r="Y28" s="83"/>
      <c r="Z28" s="86"/>
      <c r="AA28"/>
      <c r="AB28" s="83"/>
      <c r="AC28" s="86"/>
      <c r="AD28" s="86"/>
      <c r="AE28" s="86"/>
      <c r="AG28" s="59"/>
    </row>
    <row r="29" spans="1:52" ht="15.75" x14ac:dyDescent="0.25">
      <c r="A29" s="28" t="s">
        <v>235</v>
      </c>
      <c r="B29" s="29"/>
      <c r="C29" s="35">
        <f>B24*D3</f>
        <v>1.6466666666666665</v>
      </c>
      <c r="E29" s="35"/>
      <c r="F29" s="35">
        <f>($F9+$L9+$R9+$X9+$AD9+$AJ9+$AP9)-F30</f>
        <v>228.74</v>
      </c>
      <c r="G29" s="35">
        <f>F29*$C29</f>
        <v>376.65853333333331</v>
      </c>
      <c r="H29" s="29">
        <f>H24+N24+T24+Z24+AF24+AL24</f>
        <v>996.91395555555562</v>
      </c>
      <c r="I29" s="29"/>
      <c r="J29" s="29"/>
      <c r="K29" s="29">
        <f>G29*J32</f>
        <v>235.07139928384203</v>
      </c>
      <c r="L29" s="29"/>
      <c r="M29" s="249">
        <v>79.430000000000007</v>
      </c>
      <c r="N29" s="35">
        <f>M29*$C29</f>
        <v>130.79473333333334</v>
      </c>
      <c r="O29" s="29">
        <f>J32*N29</f>
        <v>81.628579370095196</v>
      </c>
      <c r="P29" s="226">
        <v>30.41</v>
      </c>
      <c r="Q29" s="35">
        <f>P29*$C29</f>
        <v>50.075133333333326</v>
      </c>
      <c r="S29" s="29">
        <f>F29+M29+P29</f>
        <v>338.58000000000004</v>
      </c>
      <c r="T29" s="29">
        <f>G29+N29+Q29</f>
        <v>557.52839999999992</v>
      </c>
      <c r="U29" s="29">
        <f>O29+K29</f>
        <v>316.69997865393725</v>
      </c>
      <c r="V29" s="29">
        <f>T29-U29</f>
        <v>240.82842134606267</v>
      </c>
      <c r="W29" s="29"/>
      <c r="X29" s="29"/>
      <c r="Y29" s="29"/>
      <c r="Z29" s="29"/>
      <c r="AA29"/>
      <c r="AB29" s="29"/>
      <c r="AC29" s="29"/>
      <c r="AD29" s="29"/>
      <c r="AE29" s="29"/>
      <c r="AG29" s="29"/>
      <c r="AH29" s="30"/>
      <c r="AI29" s="30"/>
      <c r="AM29" s="29"/>
    </row>
    <row r="30" spans="1:52" ht="15.75" x14ac:dyDescent="0.25">
      <c r="A30" s="28" t="s">
        <v>236</v>
      </c>
      <c r="B30" s="29"/>
      <c r="C30" s="29"/>
      <c r="D30" s="35"/>
      <c r="E30" s="35"/>
      <c r="F30" s="35"/>
      <c r="G30" s="35"/>
      <c r="H30" s="29"/>
      <c r="I30" s="29"/>
      <c r="J30" s="29"/>
      <c r="K30" s="29"/>
      <c r="L30" s="29"/>
      <c r="M30" s="35">
        <v>0</v>
      </c>
      <c r="N30" s="35"/>
      <c r="O30" s="29"/>
      <c r="P30" s="29">
        <v>0</v>
      </c>
      <c r="Q30" s="35"/>
      <c r="S30" s="29"/>
      <c r="T30" s="29"/>
      <c r="U30" s="29"/>
      <c r="V30" s="29"/>
      <c r="W30" s="29"/>
      <c r="X30" s="29"/>
      <c r="Y30" s="29"/>
      <c r="Z30" s="29"/>
      <c r="AA30" s="3"/>
      <c r="AB30" s="29"/>
      <c r="AC30" s="29"/>
      <c r="AD30" s="29"/>
      <c r="AE30" s="29"/>
      <c r="AG30" s="29"/>
      <c r="AH30" s="30"/>
      <c r="AI30" s="30"/>
      <c r="AK30" s="3"/>
      <c r="AM30" s="29"/>
    </row>
    <row r="31" spans="1:52" s="29" customFormat="1" ht="15.75" x14ac:dyDescent="0.25">
      <c r="A31" s="29" t="s">
        <v>48</v>
      </c>
      <c r="E31" s="35"/>
      <c r="F31" s="35">
        <f>F7+L7+R7+X7+AD7+AJ7+AP7</f>
        <v>4.3099999999999996</v>
      </c>
      <c r="G31" s="35">
        <f>F31*($C24-$D24)</f>
        <v>15.156833333333331</v>
      </c>
      <c r="H31" s="29">
        <f>G24+M24+S24+Y24+AE24+AK24+AQ24</f>
        <v>40.418222222222226</v>
      </c>
      <c r="K31" s="29">
        <f>G31*J32</f>
        <v>9.4593317423278318</v>
      </c>
      <c r="M31" s="249">
        <v>7.35</v>
      </c>
      <c r="N31" s="35">
        <f>M31*($C24-$D24)</f>
        <v>25.847499999999997</v>
      </c>
      <c r="O31" s="35">
        <f>J32*N31</f>
        <v>16.131342994456976</v>
      </c>
      <c r="P31" s="226">
        <v>0</v>
      </c>
      <c r="Q31" s="35">
        <f>P31*($C24-$D24)</f>
        <v>0</v>
      </c>
      <c r="R31" s="35"/>
      <c r="S31" s="29">
        <f>F31+M31+P31</f>
        <v>11.66</v>
      </c>
      <c r="T31" s="29">
        <f>G31+N31+Q31</f>
        <v>41.004333333333328</v>
      </c>
      <c r="U31" s="29">
        <f>O31+K31</f>
        <v>25.590674736784806</v>
      </c>
      <c r="V31" s="29">
        <f>T31-U31</f>
        <v>15.413658596548522</v>
      </c>
      <c r="W31" s="32"/>
      <c r="AA31" s="3"/>
      <c r="AD31" s="32"/>
      <c r="AH31" s="28"/>
      <c r="AI31" s="28"/>
      <c r="AJ31" s="28"/>
      <c r="AK31" s="28"/>
      <c r="AL31" s="28"/>
    </row>
    <row r="32" spans="1:52" ht="15.75" x14ac:dyDescent="0.25">
      <c r="A32" s="3" t="s">
        <v>71</v>
      </c>
      <c r="B32" s="29"/>
      <c r="D32" s="35"/>
      <c r="E32" s="35"/>
      <c r="F32" s="35">
        <f>SUM(F29:F31)</f>
        <v>233.05</v>
      </c>
      <c r="G32" s="35">
        <f>SUM(G29:G31)</f>
        <v>391.81536666666665</v>
      </c>
      <c r="H32" s="35">
        <f>SUM(H29:H31)</f>
        <v>1037.3321777777778</v>
      </c>
      <c r="I32" s="29">
        <f>J24+P24+V24+AB24+AH24+AN24+AT24</f>
        <v>647.39573107342517</v>
      </c>
      <c r="J32" s="33">
        <f>I32/H32</f>
        <v>0.62409683700384866</v>
      </c>
      <c r="K32" s="35">
        <f>J32*G32</f>
        <v>244.53073102616986</v>
      </c>
      <c r="L32" s="29"/>
      <c r="M32" s="35">
        <f>SUM(M29:M31)</f>
        <v>86.78</v>
      </c>
      <c r="N32" s="35">
        <f>SUM(N29:N31)</f>
        <v>156.64223333333334</v>
      </c>
      <c r="O32" s="35">
        <f>SUM(O29:O31)</f>
        <v>97.759922364552168</v>
      </c>
      <c r="P32" s="35">
        <f>SUM(P29:P31)</f>
        <v>30.41</v>
      </c>
      <c r="Q32" s="35">
        <f>SUM(Q29:Q31)</f>
        <v>50.075133333333326</v>
      </c>
      <c r="S32" s="29">
        <f>SUM(S29:S31)</f>
        <v>350.24000000000007</v>
      </c>
      <c r="T32" s="29">
        <f>SUM(T29:T31)</f>
        <v>598.53273333333323</v>
      </c>
      <c r="U32" s="29">
        <f>SUM(U29:U31)</f>
        <v>342.29065339072207</v>
      </c>
      <c r="V32" s="29">
        <f>SUM(V29:V31)</f>
        <v>256.24207994261121</v>
      </c>
      <c r="W32" s="35">
        <f>(V32-Q32)*0.1+(Q32*0.02)</f>
        <v>21.618197327594459</v>
      </c>
      <c r="X32" s="29">
        <f>W32+V32</f>
        <v>277.86027727020564</v>
      </c>
      <c r="Y32" s="29"/>
      <c r="Z32" s="3"/>
      <c r="AA32" s="3"/>
      <c r="AB32" s="3"/>
      <c r="AC32" s="3"/>
      <c r="AD32" s="27"/>
      <c r="AE32" s="3"/>
      <c r="AG32" s="29"/>
      <c r="AM32" s="29"/>
    </row>
    <row r="33" spans="1:37" ht="15.75" x14ac:dyDescent="0.25">
      <c r="A33" s="29"/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A33" s="29"/>
      <c r="AF33" s="29"/>
      <c r="AG33" s="29"/>
      <c r="AH33" s="30"/>
      <c r="AI33" s="30"/>
      <c r="AK33" s="30"/>
    </row>
    <row r="34" spans="1:37" ht="15.75" x14ac:dyDescent="0.25">
      <c r="A34" s="29" t="s">
        <v>121</v>
      </c>
      <c r="B34" s="29"/>
      <c r="C34" s="29"/>
      <c r="D34" s="35"/>
      <c r="E34" s="35"/>
      <c r="F34" s="35"/>
      <c r="G34" s="35"/>
      <c r="H34" s="29"/>
      <c r="I34" s="263"/>
      <c r="J34" s="249"/>
      <c r="K34" s="249"/>
      <c r="L34" s="226"/>
      <c r="M34" s="249"/>
      <c r="N34" s="249"/>
      <c r="O34" s="226"/>
      <c r="P34" s="249"/>
      <c r="Q34" s="249"/>
      <c r="R34" s="249"/>
      <c r="S34" s="226"/>
      <c r="T34" s="226"/>
      <c r="U34" s="226"/>
      <c r="V34" s="29"/>
      <c r="W34" s="29"/>
      <c r="X34" s="3"/>
      <c r="Y34" s="29"/>
      <c r="Z34" s="29"/>
      <c r="AG34" s="29"/>
    </row>
    <row r="35" spans="1:37" s="29" customFormat="1" x14ac:dyDescent="0.2">
      <c r="A35" s="29" t="s">
        <v>343</v>
      </c>
      <c r="D35" s="32"/>
      <c r="E35" s="32"/>
    </row>
    <row r="36" spans="1:37" s="97" customFormat="1" ht="15.75" x14ac:dyDescent="0.25">
      <c r="A36" s="100" t="s">
        <v>192</v>
      </c>
      <c r="B36" s="100"/>
      <c r="D36" s="94"/>
      <c r="E36" s="94"/>
      <c r="F36" s="94"/>
      <c r="G36" s="101"/>
      <c r="H36" s="94"/>
      <c r="I36" s="94"/>
      <c r="J36" s="94"/>
      <c r="K36" s="94"/>
      <c r="L36" s="94"/>
      <c r="M36" s="101"/>
      <c r="N36" s="94"/>
      <c r="O36" s="94"/>
      <c r="P36" s="94"/>
      <c r="Q36" s="94"/>
      <c r="R36" s="94"/>
      <c r="S36" s="101"/>
      <c r="T36" s="94"/>
      <c r="U36" s="94"/>
      <c r="V36" s="95"/>
      <c r="W36" s="95"/>
      <c r="X36" s="95"/>
      <c r="Y36" s="96"/>
      <c r="Z36" s="95"/>
      <c r="AA36" s="95"/>
      <c r="AF36" s="95"/>
      <c r="AG36" s="95"/>
    </row>
    <row r="37" spans="1:37" ht="15.75" x14ac:dyDescent="0.25">
      <c r="A37" s="3"/>
      <c r="B37" s="3"/>
      <c r="C37" s="3"/>
      <c r="F37" s="33" t="s">
        <v>87</v>
      </c>
      <c r="G37" s="33" t="s">
        <v>88</v>
      </c>
      <c r="H37" s="33" t="s">
        <v>89</v>
      </c>
      <c r="I37" s="33" t="s">
        <v>90</v>
      </c>
      <c r="J37" s="33" t="s">
        <v>23</v>
      </c>
      <c r="K37" s="33" t="s">
        <v>91</v>
      </c>
      <c r="L37" s="33" t="s">
        <v>92</v>
      </c>
      <c r="M37" s="33" t="s">
        <v>93</v>
      </c>
      <c r="N37" s="33" t="s">
        <v>94</v>
      </c>
      <c r="O37" s="33" t="s">
        <v>95</v>
      </c>
      <c r="P37" s="33" t="s">
        <v>96</v>
      </c>
      <c r="Q37" s="33" t="s">
        <v>97</v>
      </c>
      <c r="R37" s="33" t="s">
        <v>71</v>
      </c>
      <c r="V37" s="29"/>
      <c r="W37" s="29"/>
      <c r="X37" s="29"/>
      <c r="Y37" s="32"/>
      <c r="Z37" s="29"/>
      <c r="AA37" s="29"/>
      <c r="AF37" s="29"/>
      <c r="AG37" s="29"/>
    </row>
    <row r="38" spans="1:37" ht="15.75" x14ac:dyDescent="0.25">
      <c r="A38" s="3"/>
      <c r="B38" s="3"/>
      <c r="C38" s="3"/>
      <c r="F38" s="33"/>
      <c r="G38" s="27"/>
      <c r="H38" s="27"/>
      <c r="I38" s="33"/>
      <c r="J38" s="27"/>
      <c r="K38" s="27"/>
      <c r="L38" s="27"/>
      <c r="M38" s="27"/>
      <c r="N38" s="33"/>
      <c r="O38" s="27"/>
      <c r="P38" s="33"/>
      <c r="Q38" s="27"/>
      <c r="R38" s="33"/>
      <c r="V38" s="29"/>
      <c r="W38" s="29"/>
      <c r="X38" s="29"/>
      <c r="Y38" s="32"/>
      <c r="Z38" s="29"/>
      <c r="AA38" s="29"/>
      <c r="AF38" s="29"/>
      <c r="AG38" s="29"/>
    </row>
    <row r="39" spans="1:37" ht="15.75" x14ac:dyDescent="0.25">
      <c r="A39" s="3" t="s">
        <v>329</v>
      </c>
      <c r="B39" s="3"/>
      <c r="C39" s="29"/>
      <c r="F39" s="226">
        <v>0</v>
      </c>
      <c r="G39" s="226">
        <v>0</v>
      </c>
      <c r="H39" s="226">
        <v>0</v>
      </c>
      <c r="I39" s="226">
        <v>1.78</v>
      </c>
      <c r="J39" s="226">
        <v>3.31</v>
      </c>
      <c r="K39" s="226">
        <v>5.05</v>
      </c>
      <c r="L39" s="226">
        <v>3.63</v>
      </c>
      <c r="M39" s="226">
        <v>4.51</v>
      </c>
      <c r="N39" s="226">
        <v>3.06</v>
      </c>
      <c r="O39" s="226">
        <v>1.8</v>
      </c>
      <c r="P39" s="226">
        <v>0.11</v>
      </c>
      <c r="Q39" s="226">
        <v>0</v>
      </c>
      <c r="R39" s="29">
        <f>SUM(F39:Q39)</f>
        <v>23.25</v>
      </c>
      <c r="V39" s="29"/>
      <c r="W39" s="29"/>
      <c r="X39" s="29"/>
      <c r="Y39" s="32"/>
      <c r="Z39" s="29"/>
      <c r="AA39" s="29"/>
      <c r="AB39" s="29"/>
      <c r="AC39" s="29"/>
      <c r="AD39" s="29"/>
      <c r="AE39" s="32"/>
      <c r="AF39" s="29"/>
      <c r="AG39" s="29"/>
    </row>
    <row r="40" spans="1:37" ht="15.75" x14ac:dyDescent="0.25">
      <c r="A40" s="3" t="s">
        <v>98</v>
      </c>
      <c r="B40" s="3"/>
      <c r="C40" s="29"/>
      <c r="F40" s="29">
        <f>F39/$R39</f>
        <v>0</v>
      </c>
      <c r="G40" s="29">
        <f t="shared" ref="G40:Q40" si="36">G39/$R39</f>
        <v>0</v>
      </c>
      <c r="H40" s="29">
        <f t="shared" si="36"/>
        <v>0</v>
      </c>
      <c r="I40" s="29">
        <f t="shared" si="36"/>
        <v>7.6559139784946231E-2</v>
      </c>
      <c r="J40" s="29">
        <f t="shared" si="36"/>
        <v>0.14236559139784946</v>
      </c>
      <c r="K40" s="29">
        <f t="shared" si="36"/>
        <v>0.21720430107526881</v>
      </c>
      <c r="L40" s="29">
        <f t="shared" si="36"/>
        <v>0.15612903225806452</v>
      </c>
      <c r="M40" s="29">
        <f t="shared" si="36"/>
        <v>0.19397849462365591</v>
      </c>
      <c r="N40" s="29">
        <f t="shared" si="36"/>
        <v>0.13161290322580646</v>
      </c>
      <c r="O40" s="29">
        <f t="shared" si="36"/>
        <v>7.7419354838709681E-2</v>
      </c>
      <c r="P40" s="29">
        <f t="shared" si="36"/>
        <v>4.7311827956989247E-3</v>
      </c>
      <c r="Q40" s="29">
        <f t="shared" si="36"/>
        <v>0</v>
      </c>
      <c r="R40" s="29">
        <f>SUM(F40:Q40)</f>
        <v>1</v>
      </c>
      <c r="V40" s="29"/>
      <c r="W40" s="29"/>
      <c r="X40" s="29"/>
      <c r="Y40" s="32"/>
      <c r="Z40" s="29"/>
      <c r="AA40" s="29"/>
      <c r="AB40" s="29"/>
      <c r="AC40" s="29"/>
      <c r="AD40" s="29"/>
      <c r="AE40" s="32"/>
      <c r="AF40" s="29"/>
      <c r="AG40" s="29"/>
    </row>
    <row r="41" spans="1:37" ht="16.5" thickBot="1" x14ac:dyDescent="0.3">
      <c r="A41" s="3"/>
      <c r="B41" s="3"/>
      <c r="C41" s="29"/>
      <c r="F41" s="29"/>
      <c r="G41" s="32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32"/>
      <c r="T41" s="29"/>
      <c r="V41" s="29"/>
      <c r="W41" s="29"/>
      <c r="X41" s="29"/>
      <c r="Y41" s="32"/>
      <c r="Z41" s="29"/>
      <c r="AA41" s="29"/>
      <c r="AB41" s="29"/>
      <c r="AC41" s="29"/>
      <c r="AD41" s="29"/>
      <c r="AE41" s="32"/>
      <c r="AF41" s="29"/>
      <c r="AG41" s="29"/>
    </row>
    <row r="42" spans="1:37" s="95" customFormat="1" ht="16.5" thickBot="1" x14ac:dyDescent="0.3">
      <c r="A42" s="94" t="s">
        <v>191</v>
      </c>
      <c r="B42" s="94"/>
      <c r="F42" s="282">
        <v>19.760000000000002</v>
      </c>
      <c r="G42" s="94" t="s">
        <v>10</v>
      </c>
      <c r="Z42" s="94"/>
      <c r="AA42" s="94"/>
      <c r="AB42" s="94"/>
      <c r="AC42" s="94"/>
      <c r="AD42" s="94"/>
      <c r="AE42" s="101"/>
      <c r="AF42" s="94"/>
      <c r="AG42" s="94"/>
    </row>
    <row r="43" spans="1:37" ht="15.75" x14ac:dyDescent="0.25">
      <c r="A43" s="3"/>
      <c r="B43" s="3"/>
      <c r="C43" s="29"/>
      <c r="F43" s="33" t="s">
        <v>87</v>
      </c>
      <c r="G43" s="33" t="s">
        <v>88</v>
      </c>
      <c r="H43" s="33" t="s">
        <v>89</v>
      </c>
      <c r="I43" s="33" t="s">
        <v>90</v>
      </c>
      <c r="J43" s="33" t="s">
        <v>23</v>
      </c>
      <c r="K43" s="33" t="s">
        <v>91</v>
      </c>
      <c r="L43" s="33" t="s">
        <v>92</v>
      </c>
      <c r="M43" s="33" t="s">
        <v>93</v>
      </c>
      <c r="N43" s="33" t="s">
        <v>94</v>
      </c>
      <c r="O43" s="33" t="s">
        <v>95</v>
      </c>
      <c r="P43" s="33" t="s">
        <v>96</v>
      </c>
      <c r="Q43" s="33" t="s">
        <v>97</v>
      </c>
      <c r="R43" s="33" t="s">
        <v>71</v>
      </c>
      <c r="V43" s="29"/>
      <c r="W43" s="29"/>
      <c r="X43" s="29"/>
      <c r="Y43" s="32"/>
      <c r="Z43" s="29"/>
      <c r="AA43" s="29"/>
      <c r="AB43" s="29"/>
      <c r="AC43" s="29"/>
      <c r="AD43" s="29"/>
      <c r="AE43" s="32"/>
      <c r="AF43" s="29"/>
      <c r="AG43" s="29"/>
    </row>
    <row r="44" spans="1:37" ht="15.75" x14ac:dyDescent="0.25">
      <c r="A44" s="3"/>
      <c r="B44" s="3"/>
      <c r="C44" s="29"/>
      <c r="F44" s="33"/>
      <c r="G44" s="27"/>
      <c r="H44" s="27"/>
      <c r="I44" s="33"/>
      <c r="J44" s="27"/>
      <c r="K44" s="27"/>
      <c r="L44" s="27"/>
      <c r="M44" s="27"/>
      <c r="N44" s="33"/>
      <c r="O44" s="27"/>
      <c r="P44" s="33"/>
      <c r="Q44" s="27"/>
      <c r="R44" s="33"/>
      <c r="V44" s="29"/>
      <c r="W44" s="29"/>
      <c r="X44" s="29"/>
      <c r="Y44" s="32"/>
      <c r="Z44" s="29"/>
      <c r="AA44" s="29"/>
      <c r="AB44" s="29"/>
      <c r="AC44" s="29"/>
      <c r="AD44" s="29"/>
      <c r="AE44" s="32"/>
      <c r="AF44" s="29"/>
      <c r="AG44" s="29"/>
    </row>
    <row r="45" spans="1:37" ht="15.75" x14ac:dyDescent="0.25">
      <c r="A45" s="3" t="s">
        <v>7</v>
      </c>
      <c r="B45" s="3"/>
      <c r="C45" s="29"/>
      <c r="F45" s="29">
        <f>F40*$F42</f>
        <v>0</v>
      </c>
      <c r="G45" s="29">
        <f t="shared" ref="G45:Q45" si="37">G40*$F42</f>
        <v>0</v>
      </c>
      <c r="H45" s="29">
        <f t="shared" si="37"/>
        <v>0</v>
      </c>
      <c r="I45" s="29">
        <f>I40*$F42</f>
        <v>1.5128086021505376</v>
      </c>
      <c r="J45" s="29">
        <f t="shared" si="37"/>
        <v>2.8131440860215058</v>
      </c>
      <c r="K45" s="29">
        <f t="shared" si="37"/>
        <v>4.2919569892473124</v>
      </c>
      <c r="L45" s="29">
        <f t="shared" si="37"/>
        <v>3.0851096774193549</v>
      </c>
      <c r="M45" s="29">
        <f t="shared" si="37"/>
        <v>3.8330150537634409</v>
      </c>
      <c r="N45" s="29">
        <f t="shared" si="37"/>
        <v>2.600670967741936</v>
      </c>
      <c r="O45" s="29">
        <f t="shared" si="37"/>
        <v>1.5298064516129035</v>
      </c>
      <c r="P45" s="29">
        <f t="shared" si="37"/>
        <v>9.3488172043010756E-2</v>
      </c>
      <c r="Q45" s="29">
        <f t="shared" si="37"/>
        <v>0</v>
      </c>
      <c r="R45" s="29">
        <f>SUM(F45:Q45)</f>
        <v>19.760000000000002</v>
      </c>
      <c r="V45" s="29"/>
      <c r="W45" s="29"/>
      <c r="Y45" s="32"/>
      <c r="Z45" s="29"/>
      <c r="AA45" s="29"/>
      <c r="AB45" s="29"/>
      <c r="AC45" s="29"/>
      <c r="AD45" s="29"/>
      <c r="AE45" s="32"/>
      <c r="AF45" s="29"/>
      <c r="AG45" s="29"/>
    </row>
    <row r="46" spans="1:37" ht="15.75" x14ac:dyDescent="0.25">
      <c r="A46" s="3" t="s">
        <v>6</v>
      </c>
      <c r="B46" s="3"/>
      <c r="C46" s="29"/>
      <c r="F46" s="29">
        <f t="shared" ref="F46:Q46" si="38">F45/12</f>
        <v>0</v>
      </c>
      <c r="G46" s="29">
        <f t="shared" si="38"/>
        <v>0</v>
      </c>
      <c r="H46" s="29">
        <f t="shared" si="38"/>
        <v>0</v>
      </c>
      <c r="I46" s="29">
        <f t="shared" si="38"/>
        <v>0.12606738351254479</v>
      </c>
      <c r="J46" s="29">
        <f t="shared" si="38"/>
        <v>0.23442867383512547</v>
      </c>
      <c r="K46" s="29">
        <f t="shared" si="38"/>
        <v>0.35766308243727601</v>
      </c>
      <c r="L46" s="29">
        <f t="shared" si="38"/>
        <v>0.2570924731182796</v>
      </c>
      <c r="M46" s="29">
        <f t="shared" si="38"/>
        <v>0.31941792114695339</v>
      </c>
      <c r="N46" s="29">
        <f t="shared" si="38"/>
        <v>0.21672258064516134</v>
      </c>
      <c r="O46" s="29">
        <f t="shared" si="38"/>
        <v>0.12748387096774197</v>
      </c>
      <c r="P46" s="29">
        <f t="shared" si="38"/>
        <v>7.79068100358423E-3</v>
      </c>
      <c r="Q46" s="29">
        <f t="shared" si="38"/>
        <v>0</v>
      </c>
      <c r="R46" s="29">
        <f>SUM(F46:Q46)</f>
        <v>1.6466666666666667</v>
      </c>
      <c r="U46" s="29"/>
      <c r="V46" s="29"/>
      <c r="W46" s="29"/>
      <c r="X46" s="29"/>
      <c r="Y46" s="32"/>
      <c r="Z46" s="29"/>
      <c r="AA46" s="29"/>
      <c r="AB46" s="29"/>
      <c r="AC46" s="29"/>
      <c r="AD46" s="29"/>
      <c r="AE46" s="32"/>
      <c r="AF46" s="29"/>
      <c r="AG46" s="29"/>
    </row>
    <row r="52" spans="1:2" x14ac:dyDescent="0.2">
      <c r="A52" s="123"/>
      <c r="B52" s="29"/>
    </row>
    <row r="53" spans="1:2" x14ac:dyDescent="0.2">
      <c r="A53" s="35"/>
      <c r="B53" s="29"/>
    </row>
    <row r="54" spans="1:2" x14ac:dyDescent="0.2">
      <c r="A54" s="35"/>
      <c r="B54" s="29"/>
    </row>
    <row r="55" spans="1:2" x14ac:dyDescent="0.2">
      <c r="A55" s="35"/>
      <c r="B55" s="29"/>
    </row>
    <row r="56" spans="1:2" x14ac:dyDescent="0.2">
      <c r="A56" s="35"/>
      <c r="B56" s="29"/>
    </row>
    <row r="57" spans="1:2" x14ac:dyDescent="0.2">
      <c r="A57" s="35"/>
      <c r="B57" s="29"/>
    </row>
    <row r="58" spans="1:2" x14ac:dyDescent="0.2">
      <c r="A58" s="35"/>
      <c r="B58" s="29"/>
    </row>
    <row r="59" spans="1:2" x14ac:dyDescent="0.2">
      <c r="A59" s="35"/>
      <c r="B59" s="29"/>
    </row>
    <row r="60" spans="1:2" x14ac:dyDescent="0.2">
      <c r="A60" s="35"/>
      <c r="B60" s="29"/>
    </row>
    <row r="61" spans="1:2" x14ac:dyDescent="0.2">
      <c r="A61" s="35"/>
      <c r="B61" s="29"/>
    </row>
    <row r="62" spans="1:2" x14ac:dyDescent="0.2">
      <c r="A62" s="35"/>
      <c r="B62" s="29"/>
    </row>
    <row r="63" spans="1:2" x14ac:dyDescent="0.2">
      <c r="A63" s="35"/>
      <c r="B63" s="29"/>
    </row>
  </sheetData>
  <sheetProtection algorithmName="SHA-512" hashValue="1TYdNmq2DwFJE5zmNDq0csQxZmTTCrBS2EKTIZJ3tUC713eKyH4JZzm+zcmfh6wMvyR5A46Rnt8OWOr4ETnF8w==" saltValue="kr7+jOTs/iUdPOuosOclJA==" spinCount="100000" sheet="1" formatColumns="0"/>
  <mergeCells count="11">
    <mergeCell ref="AC6:AH6"/>
    <mergeCell ref="AI6:AN6"/>
    <mergeCell ref="AO6:AT6"/>
    <mergeCell ref="S27:X27"/>
    <mergeCell ref="W6:AB6"/>
    <mergeCell ref="A3:C3"/>
    <mergeCell ref="E6:J6"/>
    <mergeCell ref="F27:K27"/>
    <mergeCell ref="L27:Q27"/>
    <mergeCell ref="K6:P6"/>
    <mergeCell ref="Q6:V6"/>
  </mergeCells>
  <phoneticPr fontId="0" type="noConversion"/>
  <printOptions horizontalCentered="1" gridLines="1"/>
  <pageMargins left="0.75" right="0.25" top="0.75" bottom="0.75" header="0.5" footer="0.5"/>
  <pageSetup paperSize="17" scale="40" orientation="landscape" r:id="rId1"/>
  <headerFooter alignWithMargins="0">
    <oddHeader>&amp;L&amp;D</oddHeader>
    <oddFooter>&amp;L&amp;F&amp;R&amp;A</oddFooter>
  </headerFooter>
  <colBreaks count="1" manualBreakCount="1">
    <brk id="46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Z62"/>
  <sheetViews>
    <sheetView zoomScale="85" zoomScaleNormal="85" zoomScaleSheetLayoutView="75" workbookViewId="0">
      <selection activeCell="C12" sqref="C12:C23"/>
    </sheetView>
  </sheetViews>
  <sheetFormatPr defaultColWidth="9.140625" defaultRowHeight="15" x14ac:dyDescent="0.2"/>
  <cols>
    <col min="1" max="1" width="28.7109375" style="28" customWidth="1"/>
    <col min="2" max="41" width="10.7109375" style="28" customWidth="1"/>
    <col min="42" max="207" width="9.7109375" style="28" customWidth="1"/>
    <col min="208" max="16384" width="9.140625" style="28"/>
  </cols>
  <sheetData>
    <row r="1" spans="1:48" ht="18" x14ac:dyDescent="0.25">
      <c r="A1" s="39" t="s">
        <v>32</v>
      </c>
      <c r="B1" s="39"/>
      <c r="C1" s="29" t="s">
        <v>257</v>
      </c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8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93"/>
      <c r="AE2" s="93"/>
      <c r="AF2" s="93"/>
    </row>
    <row r="3" spans="1:48" ht="18.75" x14ac:dyDescent="0.25">
      <c r="A3" s="298" t="s">
        <v>165</v>
      </c>
      <c r="B3" s="298"/>
      <c r="C3" s="299"/>
      <c r="D3" s="3">
        <v>0.41</v>
      </c>
      <c r="E3" s="29" t="s">
        <v>168</v>
      </c>
      <c r="G3" s="32"/>
      <c r="H3" s="29"/>
      <c r="I3" s="29"/>
      <c r="J3" s="29"/>
      <c r="K3" s="29"/>
      <c r="L3" s="3"/>
      <c r="M3" s="32"/>
      <c r="N3" s="235"/>
      <c r="O3" s="29"/>
      <c r="P3" s="29"/>
      <c r="Q3" s="29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2"/>
      <c r="AF3" s="29"/>
      <c r="AG3" s="29"/>
    </row>
    <row r="4" spans="1:48" ht="18.75" x14ac:dyDescent="0.25">
      <c r="A4" s="65" t="s">
        <v>203</v>
      </c>
      <c r="B4" s="65"/>
      <c r="C4" s="29"/>
      <c r="F4" s="3"/>
      <c r="G4" s="27"/>
      <c r="H4" s="3"/>
      <c r="I4" s="3"/>
      <c r="J4" s="3"/>
      <c r="K4" s="3"/>
      <c r="L4" s="3"/>
      <c r="M4" s="27"/>
      <c r="N4" s="236"/>
      <c r="O4" s="3"/>
      <c r="P4" s="3"/>
      <c r="Q4" s="3"/>
      <c r="R4" s="3"/>
      <c r="S4" s="27"/>
      <c r="T4" s="3"/>
      <c r="U4" s="3"/>
      <c r="V4" s="29"/>
      <c r="W4" s="29"/>
      <c r="X4" s="29"/>
      <c r="Y4" s="32"/>
      <c r="Z4" s="3"/>
      <c r="AG4" s="29"/>
    </row>
    <row r="5" spans="1:48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84"/>
      <c r="AH5" s="81"/>
      <c r="AI5" s="81"/>
      <c r="AJ5" s="81"/>
      <c r="AK5" s="81"/>
      <c r="AL5" s="81"/>
      <c r="AM5" s="81"/>
      <c r="AN5" s="81"/>
      <c r="AO5" s="81"/>
    </row>
    <row r="6" spans="1:48" s="29" customFormat="1" ht="15.75" customHeight="1" x14ac:dyDescent="0.25">
      <c r="A6" s="27"/>
      <c r="B6" s="27"/>
      <c r="D6" s="27"/>
      <c r="E6" s="303" t="s">
        <v>195</v>
      </c>
      <c r="F6" s="303"/>
      <c r="G6" s="303"/>
      <c r="H6" s="303"/>
      <c r="I6" s="303"/>
      <c r="J6" s="303"/>
      <c r="K6" s="300" t="s">
        <v>196</v>
      </c>
      <c r="L6" s="300"/>
      <c r="M6" s="300"/>
      <c r="N6" s="300"/>
      <c r="O6" s="300"/>
      <c r="P6" s="300"/>
      <c r="Q6" s="301" t="s">
        <v>197</v>
      </c>
      <c r="R6" s="301"/>
      <c r="S6" s="301"/>
      <c r="T6" s="301"/>
      <c r="U6" s="301"/>
      <c r="V6" s="301"/>
      <c r="W6" s="300" t="s">
        <v>5</v>
      </c>
      <c r="X6" s="300"/>
      <c r="Y6" s="300"/>
      <c r="Z6" s="300"/>
      <c r="AA6" s="300"/>
      <c r="AB6" s="300"/>
      <c r="AC6" s="301" t="s">
        <v>33</v>
      </c>
      <c r="AD6" s="301"/>
      <c r="AE6" s="301"/>
      <c r="AF6" s="301"/>
      <c r="AG6" s="301"/>
      <c r="AH6" s="301"/>
      <c r="AI6" s="300" t="s">
        <v>198</v>
      </c>
      <c r="AJ6" s="300"/>
      <c r="AK6" s="300"/>
      <c r="AL6" s="300"/>
      <c r="AM6" s="300"/>
      <c r="AN6" s="300"/>
      <c r="AO6" s="69"/>
      <c r="AP6" s="69"/>
      <c r="AQ6" s="69"/>
    </row>
    <row r="7" spans="1:48" s="29" customFormat="1" x14ac:dyDescent="0.2">
      <c r="F7" s="35"/>
      <c r="G7" s="82" t="s">
        <v>185</v>
      </c>
      <c r="H7" s="82"/>
      <c r="I7" s="82"/>
      <c r="L7" s="249">
        <v>0</v>
      </c>
      <c r="M7" s="82" t="s">
        <v>185</v>
      </c>
      <c r="N7" s="82"/>
      <c r="O7" s="82"/>
      <c r="R7" s="249">
        <v>1.65</v>
      </c>
      <c r="S7" s="82" t="s">
        <v>185</v>
      </c>
      <c r="T7" s="82"/>
      <c r="U7" s="82"/>
      <c r="X7" s="249">
        <v>1.78</v>
      </c>
      <c r="Y7" s="82" t="s">
        <v>185</v>
      </c>
      <c r="Z7" s="82"/>
      <c r="AA7" s="82"/>
      <c r="AD7" s="249">
        <v>3.08</v>
      </c>
      <c r="AE7" s="82" t="s">
        <v>185</v>
      </c>
      <c r="AF7" s="82"/>
      <c r="AG7" s="82"/>
      <c r="AJ7" s="249">
        <v>2.33</v>
      </c>
      <c r="AK7" s="82" t="s">
        <v>185</v>
      </c>
      <c r="AL7" s="82"/>
      <c r="AM7" s="82"/>
      <c r="AO7" s="35"/>
      <c r="AP7" s="82"/>
      <c r="AQ7" s="82"/>
      <c r="AR7" s="82"/>
      <c r="AV7" s="82"/>
    </row>
    <row r="8" spans="1:48" s="29" customFormat="1" x14ac:dyDescent="0.2">
      <c r="F8" s="35"/>
      <c r="G8" s="82" t="s">
        <v>205</v>
      </c>
      <c r="H8" s="82"/>
      <c r="I8" s="82"/>
      <c r="L8" s="35">
        <v>0</v>
      </c>
      <c r="M8" s="82" t="s">
        <v>205</v>
      </c>
      <c r="N8" s="82"/>
      <c r="O8" s="82"/>
      <c r="R8" s="35">
        <v>0</v>
      </c>
      <c r="S8" s="82" t="s">
        <v>205</v>
      </c>
      <c r="T8" s="82"/>
      <c r="U8" s="82"/>
      <c r="X8" s="35">
        <v>0</v>
      </c>
      <c r="Y8" s="82" t="s">
        <v>205</v>
      </c>
      <c r="Z8" s="82"/>
      <c r="AA8" s="82"/>
      <c r="AD8" s="35">
        <v>0</v>
      </c>
      <c r="AE8" s="82" t="s">
        <v>205</v>
      </c>
      <c r="AF8" s="82"/>
      <c r="AG8" s="82"/>
      <c r="AJ8" s="35">
        <v>0</v>
      </c>
      <c r="AK8" s="82" t="s">
        <v>205</v>
      </c>
      <c r="AL8" s="82"/>
      <c r="AM8" s="82"/>
      <c r="AO8" s="35"/>
      <c r="AP8" s="82"/>
      <c r="AQ8" s="82"/>
      <c r="AR8" s="82"/>
    </row>
    <row r="9" spans="1:48" s="29" customFormat="1" x14ac:dyDescent="0.2">
      <c r="C9" s="32"/>
      <c r="G9" s="29" t="s">
        <v>193</v>
      </c>
      <c r="L9" s="284">
        <v>43.44</v>
      </c>
      <c r="M9" s="29" t="s">
        <v>193</v>
      </c>
      <c r="R9" s="226">
        <v>46.11</v>
      </c>
      <c r="S9" s="29" t="s">
        <v>193</v>
      </c>
      <c r="X9" s="285">
        <v>139.36000000000001</v>
      </c>
      <c r="Y9" s="29" t="s">
        <v>193</v>
      </c>
      <c r="AD9" s="249">
        <v>231.43</v>
      </c>
      <c r="AE9" s="29" t="s">
        <v>193</v>
      </c>
      <c r="AJ9" s="226">
        <v>2.16</v>
      </c>
      <c r="AK9" s="29" t="s">
        <v>193</v>
      </c>
    </row>
    <row r="10" spans="1:48" s="29" customFormat="1" x14ac:dyDescent="0.2">
      <c r="C10" s="32"/>
      <c r="F10" s="35"/>
      <c r="G10" s="29" t="s">
        <v>194</v>
      </c>
      <c r="L10" s="35">
        <f>SUM(L7:L9)</f>
        <v>43.44</v>
      </c>
      <c r="M10" s="29" t="s">
        <v>194</v>
      </c>
      <c r="R10" s="35">
        <f>SUM(R7:R9)</f>
        <v>47.76</v>
      </c>
      <c r="S10" s="29" t="s">
        <v>194</v>
      </c>
      <c r="X10" s="35">
        <f>SUM(X7:X9)</f>
        <v>141.14000000000001</v>
      </c>
      <c r="Y10" s="29" t="s">
        <v>194</v>
      </c>
      <c r="AD10" s="35">
        <f>SUM(AD7:AD9)</f>
        <v>234.51000000000002</v>
      </c>
      <c r="AE10" s="29" t="s">
        <v>194</v>
      </c>
      <c r="AJ10" s="35">
        <f>SUM(AJ7:AJ9)</f>
        <v>4.49</v>
      </c>
      <c r="AK10" s="29" t="s">
        <v>194</v>
      </c>
    </row>
    <row r="11" spans="1:48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 t="s">
        <v>19</v>
      </c>
      <c r="L11" s="86" t="s">
        <v>347</v>
      </c>
      <c r="M11" s="86" t="s">
        <v>210</v>
      </c>
      <c r="N11" s="86" t="s">
        <v>186</v>
      </c>
      <c r="O11" s="86" t="s">
        <v>189</v>
      </c>
      <c r="P11" s="86" t="s">
        <v>287</v>
      </c>
      <c r="Q11" s="87" t="s">
        <v>19</v>
      </c>
      <c r="R11" s="86" t="s">
        <v>347</v>
      </c>
      <c r="S11" s="86" t="s">
        <v>210</v>
      </c>
      <c r="T11" s="86" t="s">
        <v>186</v>
      </c>
      <c r="U11" s="86" t="s">
        <v>189</v>
      </c>
      <c r="V11" s="86" t="s">
        <v>287</v>
      </c>
      <c r="W11" s="87" t="s">
        <v>19</v>
      </c>
      <c r="X11" s="86" t="s">
        <v>347</v>
      </c>
      <c r="Y11" s="86" t="s">
        <v>210</v>
      </c>
      <c r="Z11" s="86" t="s">
        <v>186</v>
      </c>
      <c r="AA11" s="86" t="s">
        <v>189</v>
      </c>
      <c r="AB11" s="86" t="s">
        <v>287</v>
      </c>
      <c r="AC11" s="87" t="s">
        <v>19</v>
      </c>
      <c r="AD11" s="86" t="s">
        <v>347</v>
      </c>
      <c r="AE11" s="86" t="s">
        <v>210</v>
      </c>
      <c r="AF11" s="86" t="s">
        <v>186</v>
      </c>
      <c r="AG11" s="86" t="s">
        <v>189</v>
      </c>
      <c r="AH11" s="86" t="s">
        <v>287</v>
      </c>
      <c r="AI11" s="87" t="s">
        <v>19</v>
      </c>
      <c r="AJ11" s="86" t="s">
        <v>347</v>
      </c>
      <c r="AK11" s="86" t="s">
        <v>210</v>
      </c>
      <c r="AL11" s="86" t="s">
        <v>186</v>
      </c>
      <c r="AM11" s="86" t="s">
        <v>189</v>
      </c>
      <c r="AN11" s="86" t="s">
        <v>287</v>
      </c>
      <c r="AO11" s="86"/>
      <c r="AP11" s="86"/>
      <c r="AQ11" s="86"/>
      <c r="AR11" s="86"/>
      <c r="AS11" s="86"/>
    </row>
    <row r="12" spans="1:48" s="59" customFormat="1" ht="15.75" customHeight="1" x14ac:dyDescent="0.25">
      <c r="A12" s="36" t="s">
        <v>175</v>
      </c>
      <c r="B12" s="35">
        <f>F46/$D$3</f>
        <v>0</v>
      </c>
      <c r="C12" s="123">
        <f>2.21/12</f>
        <v>0.18416666666666667</v>
      </c>
      <c r="D12" s="279">
        <v>0.14166666666666666</v>
      </c>
      <c r="E12" s="86"/>
      <c r="F12" s="86"/>
      <c r="G12" s="86"/>
      <c r="H12" s="86"/>
      <c r="I12" s="86"/>
      <c r="J12" s="86"/>
      <c r="K12" s="279">
        <v>0</v>
      </c>
      <c r="L12" s="35">
        <f t="shared" ref="L12:L23" si="0">$L$7*(IF($C12-$D12&lt;0,0,ABS($C12-$D12)))</f>
        <v>0</v>
      </c>
      <c r="M12" s="35">
        <f t="shared" ref="M12:M23" si="1">L12/$D$3</f>
        <v>0</v>
      </c>
      <c r="N12" s="29">
        <f>L$9*$B12</f>
        <v>0</v>
      </c>
      <c r="O12" s="35">
        <f>M12+N12</f>
        <v>0</v>
      </c>
      <c r="P12" s="249">
        <v>0</v>
      </c>
      <c r="Q12" s="279">
        <v>0</v>
      </c>
      <c r="R12" s="35">
        <f>R$7*(IF($C12-$D12&lt;0,0,ABS($C12-$D12)))</f>
        <v>7.0125000000000007E-2</v>
      </c>
      <c r="S12" s="35">
        <f t="shared" ref="S12:S23" si="2">R12/$D$3</f>
        <v>0.17103658536585367</v>
      </c>
      <c r="T12" s="29">
        <f>R$9*$B12</f>
        <v>0</v>
      </c>
      <c r="U12" s="35">
        <f>S12+T12</f>
        <v>0.17103658536585367</v>
      </c>
      <c r="V12" s="249">
        <v>0</v>
      </c>
      <c r="W12" s="279">
        <v>0</v>
      </c>
      <c r="X12" s="35">
        <f t="shared" ref="X12:X23" si="3">$X$7*(IF($C12-$D12&lt;0,0,ABS($C12-$D12)))</f>
        <v>7.5650000000000023E-2</v>
      </c>
      <c r="Y12" s="35">
        <f t="shared" ref="Y12:Y23" si="4">X12/$D$3</f>
        <v>0.18451219512195127</v>
      </c>
      <c r="Z12" s="29">
        <f>X$9*$B12</f>
        <v>0</v>
      </c>
      <c r="AA12" s="35">
        <f>Y12+Z12</f>
        <v>0.18451219512195127</v>
      </c>
      <c r="AB12" s="249">
        <v>0</v>
      </c>
      <c r="AC12" s="249">
        <v>0</v>
      </c>
      <c r="AD12" s="35">
        <f t="shared" ref="AD12:AD23" si="5">$AD$7*(IF($C12-$D12&lt;0,0,ABS($C12-$D12)))</f>
        <v>0.13090000000000004</v>
      </c>
      <c r="AE12" s="35">
        <f>AD12/$D$3</f>
        <v>0.31926829268292695</v>
      </c>
      <c r="AF12" s="29">
        <f>AD$9*$B12</f>
        <v>0</v>
      </c>
      <c r="AG12" s="35">
        <f>AE12+AF12</f>
        <v>0.31926829268292695</v>
      </c>
      <c r="AH12" s="249">
        <v>0</v>
      </c>
      <c r="AI12" s="279">
        <v>0</v>
      </c>
      <c r="AJ12" s="35">
        <f t="shared" ref="AJ12:AJ23" si="6">$AJ$7*(IF($C12-$D12&lt;0,0,ABS($C12-$D12)))</f>
        <v>9.902500000000003E-2</v>
      </c>
      <c r="AK12" s="35">
        <f t="shared" ref="AK12:AK23" si="7">AJ12/$D$3</f>
        <v>0.24152439024390251</v>
      </c>
      <c r="AL12" s="29">
        <f>AJ$9*$B12</f>
        <v>0</v>
      </c>
      <c r="AM12" s="35">
        <f>AK12+AL12</f>
        <v>0.24152439024390251</v>
      </c>
      <c r="AN12" s="249">
        <v>0</v>
      </c>
      <c r="AO12" s="86"/>
      <c r="AP12" s="86"/>
      <c r="AQ12" s="86"/>
      <c r="AR12" s="86"/>
      <c r="AS12" s="276"/>
    </row>
    <row r="13" spans="1:48" s="29" customFormat="1" ht="15.75" customHeight="1" x14ac:dyDescent="0.25">
      <c r="A13" s="36" t="s">
        <v>21</v>
      </c>
      <c r="B13" s="35">
        <f>G46/$D$3</f>
        <v>0</v>
      </c>
      <c r="C13" s="35">
        <f>2.92/12</f>
        <v>0.24333333333333332</v>
      </c>
      <c r="D13" s="279">
        <v>0.13999999999999999</v>
      </c>
      <c r="E13" s="328" t="s">
        <v>176</v>
      </c>
      <c r="F13" s="329"/>
      <c r="G13" s="329"/>
      <c r="H13" s="329"/>
      <c r="I13" s="329"/>
      <c r="J13" s="329"/>
      <c r="K13" s="249">
        <v>0</v>
      </c>
      <c r="L13" s="35">
        <f t="shared" si="0"/>
        <v>0</v>
      </c>
      <c r="M13" s="35">
        <f t="shared" si="1"/>
        <v>0</v>
      </c>
      <c r="N13" s="29">
        <f>L$9*$B13</f>
        <v>0</v>
      </c>
      <c r="O13" s="35">
        <f>M13+N13</f>
        <v>0</v>
      </c>
      <c r="P13" s="249">
        <v>0</v>
      </c>
      <c r="Q13" s="249">
        <v>0</v>
      </c>
      <c r="R13" s="35">
        <f>R$7*(IF($C13-$D13&lt;0,0,ABS($C13-$D13)))</f>
        <v>0.17049999999999998</v>
      </c>
      <c r="S13" s="35">
        <f t="shared" si="2"/>
        <v>0.41585365853658535</v>
      </c>
      <c r="T13" s="29">
        <f>R$9*$B13</f>
        <v>0</v>
      </c>
      <c r="U13" s="35">
        <f>S13+T13</f>
        <v>0.41585365853658535</v>
      </c>
      <c r="V13" s="249">
        <v>0</v>
      </c>
      <c r="W13" s="279">
        <v>0</v>
      </c>
      <c r="X13" s="35">
        <f t="shared" si="3"/>
        <v>0.18393333333333334</v>
      </c>
      <c r="Y13" s="35">
        <f t="shared" si="4"/>
        <v>0.44861788617886184</v>
      </c>
      <c r="Z13" s="29">
        <f>X$9*$B13</f>
        <v>0</v>
      </c>
      <c r="AA13" s="35">
        <f>Y13+Z13</f>
        <v>0.44861788617886184</v>
      </c>
      <c r="AB13" s="249">
        <v>0</v>
      </c>
      <c r="AC13" s="249">
        <v>0</v>
      </c>
      <c r="AD13" s="35">
        <f t="shared" si="5"/>
        <v>0.3182666666666667</v>
      </c>
      <c r="AE13" s="35">
        <f>AD13/$D$3</f>
        <v>0.77626016260162611</v>
      </c>
      <c r="AF13" s="29">
        <f>AD$9*$B13</f>
        <v>0</v>
      </c>
      <c r="AG13" s="35">
        <f>AE13+AF13</f>
        <v>0.77626016260162611</v>
      </c>
      <c r="AH13" s="249">
        <v>0</v>
      </c>
      <c r="AI13" s="279">
        <v>0</v>
      </c>
      <c r="AJ13" s="35">
        <f t="shared" si="6"/>
        <v>0.24076666666666668</v>
      </c>
      <c r="AK13" s="35">
        <f t="shared" si="7"/>
        <v>0.58723577235772362</v>
      </c>
      <c r="AL13" s="29">
        <f>AJ$9*$B13</f>
        <v>0</v>
      </c>
      <c r="AM13" s="35">
        <f>AK13+AL13</f>
        <v>0.58723577235772362</v>
      </c>
      <c r="AN13" s="249">
        <v>0</v>
      </c>
      <c r="AO13" s="35"/>
      <c r="AP13" s="35"/>
      <c r="AQ13" s="35"/>
      <c r="AR13" s="35"/>
      <c r="AS13" s="276"/>
    </row>
    <row r="14" spans="1:48" s="29" customFormat="1" ht="15.75" x14ac:dyDescent="0.25">
      <c r="A14" s="36" t="s">
        <v>20</v>
      </c>
      <c r="B14" s="35">
        <f>H46/$D$3</f>
        <v>3.6931297668173456E-2</v>
      </c>
      <c r="C14" s="35">
        <f>6.12/12</f>
        <v>0.51</v>
      </c>
      <c r="D14" s="279">
        <v>0.16416666666666666</v>
      </c>
      <c r="E14" s="329"/>
      <c r="F14" s="329"/>
      <c r="G14" s="329"/>
      <c r="H14" s="329"/>
      <c r="I14" s="329"/>
      <c r="J14" s="329"/>
      <c r="K14" s="279">
        <v>0</v>
      </c>
      <c r="L14" s="35">
        <f>$L$7*(IF($C14-$D14&lt;0,0,ABS($C14-$D14)))</f>
        <v>0</v>
      </c>
      <c r="M14" s="35">
        <f t="shared" si="1"/>
        <v>0</v>
      </c>
      <c r="N14" s="29">
        <f>L$9*$B14</f>
        <v>1.6042955707054549</v>
      </c>
      <c r="O14" s="35">
        <f t="shared" ref="O14:O23" si="8">M14+N14</f>
        <v>1.6042955707054549</v>
      </c>
      <c r="P14" s="35">
        <f t="shared" ref="P14:P22" si="9">IF(K14-O14&gt;0,0,ABS(K14-O14))</f>
        <v>1.6042955707054549</v>
      </c>
      <c r="Q14" s="279">
        <v>3.5713617018750003</v>
      </c>
      <c r="R14" s="35">
        <f>R$7*(IF($C14-$D14&lt;0,0,ABS($C14-$D14)))</f>
        <v>0.57062499999999994</v>
      </c>
      <c r="S14" s="35">
        <f t="shared" si="2"/>
        <v>1.3917682926829267</v>
      </c>
      <c r="T14" s="29">
        <f t="shared" ref="T14:T22" si="10">R$9*$B14</f>
        <v>1.702902135479478</v>
      </c>
      <c r="U14" s="35">
        <f t="shared" ref="U14:U22" si="11">S14+T14</f>
        <v>3.0946704281624049</v>
      </c>
      <c r="V14" s="35">
        <f t="shared" ref="V14:V22" si="12">IF(Q14-U14&gt;0,0,ABS(Q14-U14))</f>
        <v>0</v>
      </c>
      <c r="W14" s="279">
        <v>7.1444589400000007</v>
      </c>
      <c r="X14" s="35">
        <f t="shared" si="3"/>
        <v>0.61558333333333337</v>
      </c>
      <c r="Y14" s="35">
        <f t="shared" si="4"/>
        <v>1.5014227642276425</v>
      </c>
      <c r="Z14" s="29">
        <f t="shared" ref="Z14:Z22" si="13">X$9*$B14</f>
        <v>5.1467456430366534</v>
      </c>
      <c r="AA14" s="35">
        <f t="shared" ref="AA14:AA22" si="14">Y14+Z14</f>
        <v>6.6481684072642961</v>
      </c>
      <c r="AB14" s="35">
        <f t="shared" ref="AB14:AB22" si="15">IF(W14-AA14&gt;0,0,ABS(W14-AA14))</f>
        <v>0</v>
      </c>
      <c r="AC14" s="281">
        <v>520.32368510000015</v>
      </c>
      <c r="AD14" s="35">
        <f t="shared" si="5"/>
        <v>1.0651666666666666</v>
      </c>
      <c r="AE14" s="35">
        <f t="shared" ref="AE14:AE23" si="16">AD14/$D$3</f>
        <v>2.5979674796747969</v>
      </c>
      <c r="AF14" s="29">
        <f t="shared" ref="AF14:AF22" si="17">AD$9*$B14</f>
        <v>8.547010219345383</v>
      </c>
      <c r="AG14" s="35">
        <f t="shared" ref="AG14:AG22" si="18">AE14+AF14</f>
        <v>11.144977699020179</v>
      </c>
      <c r="AH14" s="35">
        <f t="shared" ref="AH14:AH22" si="19">IF(AC14-AG14&gt;0,0,ABS(AC14-AG14))</f>
        <v>0</v>
      </c>
      <c r="AI14" s="279">
        <v>403.43779799999999</v>
      </c>
      <c r="AJ14" s="35">
        <f t="shared" si="6"/>
        <v>0.80579166666666668</v>
      </c>
      <c r="AK14" s="35">
        <f t="shared" si="7"/>
        <v>1.9653455284552848</v>
      </c>
      <c r="AL14" s="29">
        <f>AJ$9*$B14</f>
        <v>7.9771602963254667E-2</v>
      </c>
      <c r="AM14" s="35">
        <f>AK14+AL14</f>
        <v>2.0451171314185395</v>
      </c>
      <c r="AN14" s="35">
        <f t="shared" ref="AN14:AN22" si="20">IF(AI14-AM14&gt;0,0,ABS(AI14-AM14))</f>
        <v>0</v>
      </c>
      <c r="AO14" s="35"/>
      <c r="AP14" s="35"/>
      <c r="AQ14" s="35"/>
      <c r="AR14" s="35"/>
      <c r="AS14" s="276"/>
    </row>
    <row r="15" spans="1:48" s="29" customFormat="1" ht="15.75" x14ac:dyDescent="0.25">
      <c r="A15" s="36" t="s">
        <v>22</v>
      </c>
      <c r="B15" s="35">
        <f>I46/$D$3</f>
        <v>0.47087404526921151</v>
      </c>
      <c r="C15" s="35">
        <f>7.97/12</f>
        <v>0.66416666666666668</v>
      </c>
      <c r="D15" s="279">
        <v>8.3333333333333332E-3</v>
      </c>
      <c r="E15" s="329"/>
      <c r="F15" s="329"/>
      <c r="G15" s="329"/>
      <c r="H15" s="329"/>
      <c r="I15" s="329"/>
      <c r="J15" s="329"/>
      <c r="K15" s="279">
        <v>96.344221721428539</v>
      </c>
      <c r="L15" s="35">
        <f>$L$7*(IF($C15-$D15&lt;0,0,ABS($C15-$D15)))</f>
        <v>0</v>
      </c>
      <c r="M15" s="35">
        <f t="shared" si="1"/>
        <v>0</v>
      </c>
      <c r="N15" s="29">
        <f t="shared" ref="N15:N23" si="21">L$9*$B15</f>
        <v>20.454768526494547</v>
      </c>
      <c r="O15" s="35">
        <f>M15+N15</f>
        <v>20.454768526494547</v>
      </c>
      <c r="P15" s="35">
        <f t="shared" si="9"/>
        <v>0</v>
      </c>
      <c r="Q15" s="279">
        <v>29.355356000000008</v>
      </c>
      <c r="R15" s="35">
        <f t="shared" ref="R15:R22" si="22">R$7*(IF($C15-$D15&lt;0,0,ABS($C15-$D15)))</f>
        <v>1.082125</v>
      </c>
      <c r="S15" s="35">
        <f t="shared" si="2"/>
        <v>2.6393292682926832</v>
      </c>
      <c r="T15" s="29">
        <f t="shared" si="10"/>
        <v>21.712002227363342</v>
      </c>
      <c r="U15" s="35">
        <f t="shared" si="11"/>
        <v>24.351331495656027</v>
      </c>
      <c r="V15" s="35">
        <f t="shared" si="12"/>
        <v>0</v>
      </c>
      <c r="W15" s="279">
        <v>379.3783069000001</v>
      </c>
      <c r="X15" s="35">
        <f t="shared" si="3"/>
        <v>1.1673833333333334</v>
      </c>
      <c r="Y15" s="35">
        <f t="shared" si="4"/>
        <v>2.847276422764228</v>
      </c>
      <c r="Z15" s="29">
        <f t="shared" si="13"/>
        <v>65.621006948717323</v>
      </c>
      <c r="AA15" s="35">
        <f t="shared" si="14"/>
        <v>68.468283371481547</v>
      </c>
      <c r="AB15" s="35">
        <f t="shared" si="15"/>
        <v>0</v>
      </c>
      <c r="AC15" s="281">
        <v>513.8377382000001</v>
      </c>
      <c r="AD15" s="35">
        <f t="shared" si="5"/>
        <v>2.0199666666666669</v>
      </c>
      <c r="AE15" s="35">
        <f t="shared" si="16"/>
        <v>4.9267479674796757</v>
      </c>
      <c r="AF15" s="29">
        <f t="shared" si="17"/>
        <v>108.97438029665362</v>
      </c>
      <c r="AG15" s="35">
        <f t="shared" si="18"/>
        <v>113.90112826413329</v>
      </c>
      <c r="AH15" s="35">
        <f t="shared" si="19"/>
        <v>0</v>
      </c>
      <c r="AI15" s="279">
        <v>395.18656279999999</v>
      </c>
      <c r="AJ15" s="35">
        <f t="shared" si="6"/>
        <v>1.5280916666666668</v>
      </c>
      <c r="AK15" s="35">
        <f t="shared" si="7"/>
        <v>3.7270528455284557</v>
      </c>
      <c r="AL15" s="29">
        <f t="shared" ref="AL15:AL22" si="23">AJ$9*$B15</f>
        <v>1.017087937781497</v>
      </c>
      <c r="AM15" s="35">
        <f t="shared" ref="AM15:AM22" si="24">AK15+AL15</f>
        <v>4.7441407833099527</v>
      </c>
      <c r="AN15" s="35">
        <f t="shared" si="20"/>
        <v>0</v>
      </c>
      <c r="AO15" s="35"/>
      <c r="AP15" s="35"/>
      <c r="AQ15" s="35"/>
      <c r="AR15" s="35"/>
      <c r="AS15" s="276"/>
    </row>
    <row r="16" spans="1:48" s="29" customFormat="1" ht="15.75" x14ac:dyDescent="0.25">
      <c r="A16" s="36" t="s">
        <v>23</v>
      </c>
      <c r="B16" s="35">
        <f>J46/$D$3</f>
        <v>0.79586946474913789</v>
      </c>
      <c r="C16" s="35">
        <f>9.18/12</f>
        <v>0.76500000000000001</v>
      </c>
      <c r="D16" s="279">
        <v>4.1666666666666666E-3</v>
      </c>
      <c r="E16" s="329"/>
      <c r="F16" s="329"/>
      <c r="G16" s="329"/>
      <c r="H16" s="329"/>
      <c r="I16" s="329"/>
      <c r="J16" s="329"/>
      <c r="K16" s="279">
        <v>86.281653382142864</v>
      </c>
      <c r="L16" s="35">
        <f t="shared" si="0"/>
        <v>0</v>
      </c>
      <c r="M16" s="35">
        <f t="shared" si="1"/>
        <v>0</v>
      </c>
      <c r="N16" s="29">
        <f t="shared" si="21"/>
        <v>34.572569548702546</v>
      </c>
      <c r="O16" s="35">
        <f t="shared" si="8"/>
        <v>34.572569548702546</v>
      </c>
      <c r="P16" s="35">
        <f t="shared" si="9"/>
        <v>0</v>
      </c>
      <c r="Q16" s="279">
        <v>18.625775035</v>
      </c>
      <c r="R16" s="35">
        <f t="shared" si="22"/>
        <v>1.2553749999999999</v>
      </c>
      <c r="S16" s="35">
        <f t="shared" si="2"/>
        <v>3.0618902439024391</v>
      </c>
      <c r="T16" s="29">
        <f t="shared" si="10"/>
        <v>36.697541019582751</v>
      </c>
      <c r="U16" s="35">
        <f t="shared" si="11"/>
        <v>39.75943126348519</v>
      </c>
      <c r="V16" s="35">
        <f t="shared" si="12"/>
        <v>21.13365622848519</v>
      </c>
      <c r="W16" s="279">
        <v>486.14849700000002</v>
      </c>
      <c r="X16" s="35">
        <f t="shared" si="3"/>
        <v>1.3542833333333335</v>
      </c>
      <c r="Y16" s="35">
        <f t="shared" si="4"/>
        <v>3.3031300813008135</v>
      </c>
      <c r="Z16" s="29">
        <f t="shared" si="13"/>
        <v>110.91236860743987</v>
      </c>
      <c r="AA16" s="35">
        <f t="shared" si="14"/>
        <v>114.21549868874068</v>
      </c>
      <c r="AB16" s="35">
        <f t="shared" si="15"/>
        <v>0</v>
      </c>
      <c r="AC16" s="279">
        <v>434.81629340000006</v>
      </c>
      <c r="AD16" s="35">
        <f t="shared" si="5"/>
        <v>2.3433666666666668</v>
      </c>
      <c r="AE16" s="35">
        <f t="shared" si="16"/>
        <v>5.715528455284554</v>
      </c>
      <c r="AF16" s="29">
        <f t="shared" si="17"/>
        <v>184.18807022689299</v>
      </c>
      <c r="AG16" s="35">
        <f t="shared" si="18"/>
        <v>189.90359868217755</v>
      </c>
      <c r="AH16" s="35">
        <f t="shared" si="19"/>
        <v>0</v>
      </c>
      <c r="AI16" s="279">
        <v>482.0625488</v>
      </c>
      <c r="AJ16" s="35">
        <f t="shared" si="6"/>
        <v>1.7727416666666669</v>
      </c>
      <c r="AK16" s="35">
        <f t="shared" si="7"/>
        <v>4.3237601626016264</v>
      </c>
      <c r="AL16" s="29">
        <f t="shared" si="23"/>
        <v>1.7190780438581379</v>
      </c>
      <c r="AM16" s="35">
        <f t="shared" si="24"/>
        <v>6.0428382064597645</v>
      </c>
      <c r="AN16" s="35">
        <f t="shared" si="20"/>
        <v>0</v>
      </c>
      <c r="AO16" s="35"/>
      <c r="AP16" s="35"/>
      <c r="AQ16" s="35"/>
      <c r="AR16" s="35"/>
      <c r="AS16" s="276"/>
    </row>
    <row r="17" spans="1:52" s="29" customFormat="1" ht="15.75" x14ac:dyDescent="0.25">
      <c r="A17" s="36" t="s">
        <v>24</v>
      </c>
      <c r="B17" s="35">
        <f>K46/$D$3</f>
        <v>1.0636213728433956</v>
      </c>
      <c r="C17" s="35">
        <f>10.96/12</f>
        <v>0.91333333333333344</v>
      </c>
      <c r="D17" s="279">
        <v>8.7500000000000008E-2</v>
      </c>
      <c r="E17" s="329"/>
      <c r="F17" s="329"/>
      <c r="G17" s="329"/>
      <c r="H17" s="329"/>
      <c r="I17" s="329"/>
      <c r="J17" s="329"/>
      <c r="K17" s="279">
        <v>112.87779206522818</v>
      </c>
      <c r="L17" s="35">
        <f t="shared" si="0"/>
        <v>0</v>
      </c>
      <c r="M17" s="35">
        <f t="shared" si="1"/>
        <v>0</v>
      </c>
      <c r="N17" s="29">
        <f t="shared" si="21"/>
        <v>46.203712436317105</v>
      </c>
      <c r="O17" s="35">
        <f t="shared" si="8"/>
        <v>46.203712436317105</v>
      </c>
      <c r="P17" s="35">
        <f t="shared" si="9"/>
        <v>0</v>
      </c>
      <c r="Q17" s="279">
        <v>7.0690870800000027</v>
      </c>
      <c r="R17" s="35">
        <f t="shared" si="22"/>
        <v>1.362625</v>
      </c>
      <c r="S17" s="35">
        <f t="shared" si="2"/>
        <v>3.3234756097560978</v>
      </c>
      <c r="T17" s="29">
        <f t="shared" si="10"/>
        <v>49.043581501808973</v>
      </c>
      <c r="U17" s="35">
        <f t="shared" si="11"/>
        <v>52.367057111565067</v>
      </c>
      <c r="V17" s="35">
        <f t="shared" si="12"/>
        <v>45.297970031565065</v>
      </c>
      <c r="W17" s="279">
        <v>272.92547200000001</v>
      </c>
      <c r="X17" s="35">
        <f t="shared" si="3"/>
        <v>1.4699833333333334</v>
      </c>
      <c r="Y17" s="35">
        <f t="shared" si="4"/>
        <v>3.5853252032520331</v>
      </c>
      <c r="Z17" s="29">
        <f t="shared" si="13"/>
        <v>148.22627451945564</v>
      </c>
      <c r="AA17" s="35">
        <f t="shared" si="14"/>
        <v>151.81159972270768</v>
      </c>
      <c r="AB17" s="35">
        <f t="shared" si="15"/>
        <v>0</v>
      </c>
      <c r="AC17" s="281">
        <v>451.89397009999999</v>
      </c>
      <c r="AD17" s="35">
        <f t="shared" si="5"/>
        <v>2.543566666666667</v>
      </c>
      <c r="AE17" s="35">
        <f t="shared" si="16"/>
        <v>6.2038211382113833</v>
      </c>
      <c r="AF17" s="29">
        <f t="shared" si="17"/>
        <v>246.15389431714706</v>
      </c>
      <c r="AG17" s="35">
        <f t="shared" si="18"/>
        <v>252.35771545535846</v>
      </c>
      <c r="AH17" s="35">
        <f t="shared" si="19"/>
        <v>0</v>
      </c>
      <c r="AI17" s="279">
        <v>436.36340000000007</v>
      </c>
      <c r="AJ17" s="35">
        <f t="shared" si="6"/>
        <v>1.924191666666667</v>
      </c>
      <c r="AK17" s="35">
        <f t="shared" si="7"/>
        <v>4.6931504065040661</v>
      </c>
      <c r="AL17" s="29">
        <f t="shared" si="23"/>
        <v>2.2974221653417346</v>
      </c>
      <c r="AM17" s="35">
        <f t="shared" si="24"/>
        <v>6.9905725718458012</v>
      </c>
      <c r="AN17" s="35">
        <f t="shared" si="20"/>
        <v>0</v>
      </c>
      <c r="AO17" s="35"/>
      <c r="AP17" s="35"/>
      <c r="AQ17" s="35"/>
      <c r="AR17" s="35"/>
      <c r="AS17" s="276"/>
    </row>
    <row r="18" spans="1:52" s="29" customFormat="1" ht="15.75" x14ac:dyDescent="0.25">
      <c r="A18" s="36" t="s">
        <v>25</v>
      </c>
      <c r="B18" s="35">
        <f>L46/$D$3</f>
        <v>0.84018702195094608</v>
      </c>
      <c r="C18" s="35">
        <f>8.4/12</f>
        <v>0.70000000000000007</v>
      </c>
      <c r="D18" s="279">
        <v>0.28250000000000003</v>
      </c>
      <c r="E18" s="329"/>
      <c r="F18" s="329"/>
      <c r="G18" s="329"/>
      <c r="H18" s="329"/>
      <c r="I18" s="329"/>
      <c r="J18" s="329"/>
      <c r="K18" s="279">
        <v>34.101941386428564</v>
      </c>
      <c r="L18" s="35">
        <f t="shared" si="0"/>
        <v>0</v>
      </c>
      <c r="M18" s="35">
        <f t="shared" si="1"/>
        <v>0</v>
      </c>
      <c r="N18" s="29">
        <f t="shared" si="21"/>
        <v>36.497724233549093</v>
      </c>
      <c r="O18" s="35">
        <f t="shared" si="8"/>
        <v>36.497724233549093</v>
      </c>
      <c r="P18" s="35">
        <f t="shared" si="9"/>
        <v>2.3957828471205289</v>
      </c>
      <c r="Q18" s="279">
        <v>0.32727255000000005</v>
      </c>
      <c r="R18" s="35">
        <f t="shared" si="22"/>
        <v>0.68887500000000002</v>
      </c>
      <c r="S18" s="35">
        <f t="shared" si="2"/>
        <v>1.6801829268292685</v>
      </c>
      <c r="T18" s="29">
        <f t="shared" si="10"/>
        <v>38.741023582158121</v>
      </c>
      <c r="U18" s="35">
        <f t="shared" si="11"/>
        <v>40.421206508987389</v>
      </c>
      <c r="V18" s="35">
        <f t="shared" si="12"/>
        <v>40.093933958987385</v>
      </c>
      <c r="W18" s="279">
        <v>246.49176731000006</v>
      </c>
      <c r="X18" s="35">
        <f t="shared" si="3"/>
        <v>0.74315000000000009</v>
      </c>
      <c r="Y18" s="35">
        <f t="shared" si="4"/>
        <v>1.8125609756097565</v>
      </c>
      <c r="Z18" s="29">
        <f t="shared" si="13"/>
        <v>117.08846337908386</v>
      </c>
      <c r="AA18" s="35">
        <f t="shared" si="14"/>
        <v>118.90102435469362</v>
      </c>
      <c r="AB18" s="35">
        <f t="shared" si="15"/>
        <v>0</v>
      </c>
      <c r="AC18" s="279">
        <v>432.35679060000012</v>
      </c>
      <c r="AD18" s="35">
        <f t="shared" si="5"/>
        <v>1.2859</v>
      </c>
      <c r="AE18" s="35">
        <f t="shared" si="16"/>
        <v>3.1363414634146345</v>
      </c>
      <c r="AF18" s="29">
        <f t="shared" si="17"/>
        <v>194.44448249010745</v>
      </c>
      <c r="AG18" s="35">
        <f t="shared" si="18"/>
        <v>197.58082395352207</v>
      </c>
      <c r="AH18" s="35">
        <f t="shared" si="19"/>
        <v>0</v>
      </c>
      <c r="AI18" s="279">
        <v>126.7040636</v>
      </c>
      <c r="AJ18" s="35">
        <f t="shared" si="6"/>
        <v>0.97277500000000017</v>
      </c>
      <c r="AK18" s="35">
        <f t="shared" si="7"/>
        <v>2.3726219512195126</v>
      </c>
      <c r="AL18" s="29">
        <f t="shared" si="23"/>
        <v>1.8148039674140437</v>
      </c>
      <c r="AM18" s="35">
        <f t="shared" si="24"/>
        <v>4.1874259186335561</v>
      </c>
      <c r="AN18" s="35">
        <f t="shared" si="20"/>
        <v>0</v>
      </c>
      <c r="AO18" s="35"/>
      <c r="AP18" s="35"/>
      <c r="AQ18" s="35"/>
      <c r="AR18" s="35"/>
      <c r="AS18" s="276"/>
    </row>
    <row r="19" spans="1:52" s="29" customFormat="1" ht="15.75" x14ac:dyDescent="0.25">
      <c r="A19" s="36" t="s">
        <v>26</v>
      </c>
      <c r="B19" s="35">
        <f>M46/$D$3</f>
        <v>1.0008381668075006</v>
      </c>
      <c r="C19" s="35">
        <f>6.98/12</f>
        <v>0.58166666666666667</v>
      </c>
      <c r="D19" s="279">
        <v>0.1225</v>
      </c>
      <c r="E19" s="329"/>
      <c r="F19" s="329"/>
      <c r="G19" s="329"/>
      <c r="H19" s="329"/>
      <c r="I19" s="329"/>
      <c r="J19" s="329"/>
      <c r="K19" s="279">
        <v>0</v>
      </c>
      <c r="L19" s="35">
        <f t="shared" si="0"/>
        <v>0</v>
      </c>
      <c r="M19" s="35">
        <f t="shared" si="1"/>
        <v>0</v>
      </c>
      <c r="N19" s="29">
        <f t="shared" si="21"/>
        <v>43.476409966117821</v>
      </c>
      <c r="O19" s="35">
        <f t="shared" si="8"/>
        <v>43.476409966117821</v>
      </c>
      <c r="P19" s="35">
        <f t="shared" si="9"/>
        <v>43.476409966117821</v>
      </c>
      <c r="Q19" s="279">
        <v>0</v>
      </c>
      <c r="R19" s="35">
        <f t="shared" si="22"/>
        <v>0.75762499999999999</v>
      </c>
      <c r="S19" s="35">
        <f t="shared" si="2"/>
        <v>1.8478658536585366</v>
      </c>
      <c r="T19" s="29">
        <f t="shared" si="10"/>
        <v>46.14864787149385</v>
      </c>
      <c r="U19" s="35">
        <f t="shared" si="11"/>
        <v>47.99651372515239</v>
      </c>
      <c r="V19" s="35">
        <f t="shared" si="12"/>
        <v>47.99651372515239</v>
      </c>
      <c r="W19" s="279">
        <v>379.00541454000006</v>
      </c>
      <c r="X19" s="35">
        <f t="shared" si="3"/>
        <v>0.81731666666666669</v>
      </c>
      <c r="Y19" s="35">
        <f t="shared" si="4"/>
        <v>1.9934552845528457</v>
      </c>
      <c r="Z19" s="29">
        <f t="shared" si="13"/>
        <v>139.47680692629331</v>
      </c>
      <c r="AA19" s="35">
        <f t="shared" si="14"/>
        <v>141.47026221084616</v>
      </c>
      <c r="AB19" s="35">
        <f t="shared" si="15"/>
        <v>0</v>
      </c>
      <c r="AC19" s="279">
        <v>391.06094519999988</v>
      </c>
      <c r="AD19" s="35">
        <f t="shared" si="5"/>
        <v>1.4142333333333335</v>
      </c>
      <c r="AE19" s="35">
        <f t="shared" si="16"/>
        <v>3.4493495934959353</v>
      </c>
      <c r="AF19" s="29">
        <f t="shared" si="17"/>
        <v>231.62397694425988</v>
      </c>
      <c r="AG19" s="35">
        <f t="shared" si="18"/>
        <v>235.0733265377558</v>
      </c>
      <c r="AH19" s="35">
        <f t="shared" si="19"/>
        <v>0</v>
      </c>
      <c r="AI19" s="279">
        <v>119.00819999999996</v>
      </c>
      <c r="AJ19" s="35">
        <f t="shared" si="6"/>
        <v>1.0698583333333334</v>
      </c>
      <c r="AK19" s="35">
        <f t="shared" si="7"/>
        <v>2.6094105691056915</v>
      </c>
      <c r="AL19" s="29">
        <f t="shared" si="23"/>
        <v>2.1618104403042016</v>
      </c>
      <c r="AM19" s="35">
        <f t="shared" si="24"/>
        <v>4.771221009409893</v>
      </c>
      <c r="AN19" s="35">
        <f t="shared" si="20"/>
        <v>0</v>
      </c>
      <c r="AO19" s="35"/>
      <c r="AP19" s="35"/>
      <c r="AQ19" s="35"/>
      <c r="AR19" s="35"/>
      <c r="AS19" s="276"/>
    </row>
    <row r="20" spans="1:52" s="29" customFormat="1" ht="15.75" x14ac:dyDescent="0.25">
      <c r="A20" s="36" t="s">
        <v>27</v>
      </c>
      <c r="B20" s="35">
        <f>N46/$D$3</f>
        <v>0.63521831989258348</v>
      </c>
      <c r="C20" s="35">
        <f>6.19/12</f>
        <v>0.51583333333333337</v>
      </c>
      <c r="D20" s="279">
        <v>0.10916666666666668</v>
      </c>
      <c r="E20" s="329"/>
      <c r="F20" s="329"/>
      <c r="G20" s="329"/>
      <c r="H20" s="329"/>
      <c r="I20" s="329"/>
      <c r="J20" s="329"/>
      <c r="K20" s="279">
        <v>0</v>
      </c>
      <c r="L20" s="35">
        <f t="shared" si="0"/>
        <v>0</v>
      </c>
      <c r="M20" s="35">
        <f t="shared" si="1"/>
        <v>0</v>
      </c>
      <c r="N20" s="29">
        <f t="shared" si="21"/>
        <v>27.593883816133825</v>
      </c>
      <c r="O20" s="35">
        <f>M20+N20</f>
        <v>27.593883816133825</v>
      </c>
      <c r="P20" s="35">
        <f>IF(K20-O20&gt;0,0,ABS(K20-O20))</f>
        <v>27.593883816133825</v>
      </c>
      <c r="Q20" s="279">
        <v>0</v>
      </c>
      <c r="R20" s="35">
        <f t="shared" si="22"/>
        <v>0.67099999999999993</v>
      </c>
      <c r="S20" s="35">
        <f t="shared" si="2"/>
        <v>1.6365853658536584</v>
      </c>
      <c r="T20" s="29">
        <f t="shared" si="10"/>
        <v>29.289916730247025</v>
      </c>
      <c r="U20" s="35">
        <f t="shared" si="11"/>
        <v>30.926502096100684</v>
      </c>
      <c r="V20" s="35">
        <f t="shared" si="12"/>
        <v>30.926502096100684</v>
      </c>
      <c r="W20" s="279">
        <v>0</v>
      </c>
      <c r="X20" s="35">
        <f t="shared" si="3"/>
        <v>0.72386666666666666</v>
      </c>
      <c r="Y20" s="35">
        <f t="shared" si="4"/>
        <v>1.7655284552845529</v>
      </c>
      <c r="Z20" s="29">
        <f t="shared" si="13"/>
        <v>88.524025060230443</v>
      </c>
      <c r="AA20" s="35">
        <f t="shared" si="14"/>
        <v>90.289553515514996</v>
      </c>
      <c r="AB20" s="35">
        <f t="shared" si="15"/>
        <v>90.289553515514996</v>
      </c>
      <c r="AC20" s="279">
        <v>0</v>
      </c>
      <c r="AD20" s="35">
        <f t="shared" si="5"/>
        <v>1.2525333333333335</v>
      </c>
      <c r="AE20" s="35">
        <f t="shared" si="16"/>
        <v>3.0549593495934966</v>
      </c>
      <c r="AF20" s="29">
        <f t="shared" si="17"/>
        <v>147.00857577274061</v>
      </c>
      <c r="AG20" s="35">
        <f t="shared" si="18"/>
        <v>150.06353512233412</v>
      </c>
      <c r="AH20" s="35">
        <f t="shared" si="19"/>
        <v>150.06353512233412</v>
      </c>
      <c r="AI20" s="279">
        <v>79.993345099999999</v>
      </c>
      <c r="AJ20" s="35">
        <f t="shared" si="6"/>
        <v>0.94753333333333334</v>
      </c>
      <c r="AK20" s="35">
        <f t="shared" si="7"/>
        <v>2.3110569105691057</v>
      </c>
      <c r="AL20" s="29">
        <f t="shared" si="23"/>
        <v>1.3720715709679805</v>
      </c>
      <c r="AM20" s="35">
        <f t="shared" si="24"/>
        <v>3.6831284815370862</v>
      </c>
      <c r="AN20" s="35">
        <f t="shared" si="20"/>
        <v>0</v>
      </c>
      <c r="AO20" s="35"/>
      <c r="AP20" s="35"/>
      <c r="AQ20" s="35"/>
      <c r="AR20" s="35"/>
      <c r="AS20" s="276"/>
    </row>
    <row r="21" spans="1:52" s="29" customFormat="1" ht="15.75" x14ac:dyDescent="0.25">
      <c r="A21" s="36" t="s">
        <v>28</v>
      </c>
      <c r="B21" s="35">
        <f>O46/$D$3</f>
        <v>0.50226564828715903</v>
      </c>
      <c r="C21" s="35">
        <f>5.2/12</f>
        <v>0.43333333333333335</v>
      </c>
      <c r="D21" s="279">
        <v>3.1666666666666669E-2</v>
      </c>
      <c r="E21" s="329"/>
      <c r="F21" s="329"/>
      <c r="G21" s="329"/>
      <c r="H21" s="329"/>
      <c r="I21" s="329"/>
      <c r="J21" s="329"/>
      <c r="K21" s="279">
        <v>0</v>
      </c>
      <c r="L21" s="35">
        <f t="shared" si="0"/>
        <v>0</v>
      </c>
      <c r="M21" s="35">
        <f t="shared" si="1"/>
        <v>0</v>
      </c>
      <c r="N21" s="29">
        <f t="shared" si="21"/>
        <v>21.818419761594186</v>
      </c>
      <c r="O21" s="35">
        <f t="shared" si="8"/>
        <v>21.818419761594186</v>
      </c>
      <c r="P21" s="35">
        <f t="shared" si="9"/>
        <v>21.818419761594186</v>
      </c>
      <c r="Q21" s="279">
        <v>0</v>
      </c>
      <c r="R21" s="35">
        <f t="shared" si="22"/>
        <v>0.66274999999999995</v>
      </c>
      <c r="S21" s="35">
        <f t="shared" si="2"/>
        <v>1.6164634146341463</v>
      </c>
      <c r="T21" s="29">
        <f t="shared" si="10"/>
        <v>23.159469042520904</v>
      </c>
      <c r="U21" s="35">
        <f t="shared" si="11"/>
        <v>24.775932457155051</v>
      </c>
      <c r="V21" s="35">
        <f t="shared" si="12"/>
        <v>24.775932457155051</v>
      </c>
      <c r="W21" s="279">
        <v>0</v>
      </c>
      <c r="X21" s="35">
        <f t="shared" si="3"/>
        <v>0.71496666666666664</v>
      </c>
      <c r="Y21" s="35">
        <f t="shared" si="4"/>
        <v>1.7438211382113822</v>
      </c>
      <c r="Z21" s="29">
        <f t="shared" si="13"/>
        <v>69.995740745298491</v>
      </c>
      <c r="AA21" s="35">
        <f t="shared" si="14"/>
        <v>71.739561883509879</v>
      </c>
      <c r="AB21" s="35">
        <f t="shared" si="15"/>
        <v>71.739561883509879</v>
      </c>
      <c r="AC21" s="279">
        <v>0</v>
      </c>
      <c r="AD21" s="35">
        <f t="shared" si="5"/>
        <v>1.2371333333333334</v>
      </c>
      <c r="AE21" s="35">
        <f t="shared" si="16"/>
        <v>3.0173983739837404</v>
      </c>
      <c r="AF21" s="29">
        <f t="shared" si="17"/>
        <v>116.23933898309721</v>
      </c>
      <c r="AG21" s="35">
        <f t="shared" si="18"/>
        <v>119.25673735708095</v>
      </c>
      <c r="AH21" s="35">
        <f t="shared" si="19"/>
        <v>119.25673735708095</v>
      </c>
      <c r="AI21" s="226">
        <v>49.705758199999991</v>
      </c>
      <c r="AJ21" s="35">
        <f t="shared" si="6"/>
        <v>0.9358833333333334</v>
      </c>
      <c r="AK21" s="35">
        <f t="shared" si="7"/>
        <v>2.2826422764227647</v>
      </c>
      <c r="AL21" s="29">
        <f t="shared" si="23"/>
        <v>1.0848938003002635</v>
      </c>
      <c r="AM21" s="35">
        <f t="shared" si="24"/>
        <v>3.3675360767230282</v>
      </c>
      <c r="AN21" s="35">
        <f t="shared" si="20"/>
        <v>0</v>
      </c>
      <c r="AO21" s="35"/>
      <c r="AP21" s="35"/>
      <c r="AQ21" s="35"/>
      <c r="AR21" s="35"/>
      <c r="AS21" s="276"/>
    </row>
    <row r="22" spans="1:52" s="29" customFormat="1" ht="15.75" x14ac:dyDescent="0.25">
      <c r="A22" s="36" t="s">
        <v>29</v>
      </c>
      <c r="B22" s="35">
        <f>P46/$D$3</f>
        <v>0.13849236625565048</v>
      </c>
      <c r="C22" s="35">
        <f>2.71/12</f>
        <v>0.22583333333333333</v>
      </c>
      <c r="D22" s="279">
        <v>3.4166666666666665E-2</v>
      </c>
      <c r="E22" s="329"/>
      <c r="F22" s="329"/>
      <c r="G22" s="329"/>
      <c r="H22" s="329"/>
      <c r="I22" s="329"/>
      <c r="J22" s="329"/>
      <c r="K22" s="279">
        <v>0</v>
      </c>
      <c r="L22" s="35">
        <f t="shared" si="0"/>
        <v>0</v>
      </c>
      <c r="M22" s="35">
        <f t="shared" si="1"/>
        <v>0</v>
      </c>
      <c r="N22" s="29">
        <f t="shared" si="21"/>
        <v>6.0161083901454564</v>
      </c>
      <c r="O22" s="35">
        <f t="shared" si="8"/>
        <v>6.0161083901454564</v>
      </c>
      <c r="P22" s="35">
        <f t="shared" si="9"/>
        <v>6.0161083901454564</v>
      </c>
      <c r="Q22" s="279">
        <v>0</v>
      </c>
      <c r="R22" s="35">
        <f t="shared" si="22"/>
        <v>0.31624999999999998</v>
      </c>
      <c r="S22" s="35">
        <f t="shared" si="2"/>
        <v>0.77134146341463417</v>
      </c>
      <c r="T22" s="29">
        <f t="shared" si="10"/>
        <v>6.3858830080480438</v>
      </c>
      <c r="U22" s="35">
        <f t="shared" si="11"/>
        <v>7.157224471462678</v>
      </c>
      <c r="V22" s="35">
        <f t="shared" si="12"/>
        <v>7.157224471462678</v>
      </c>
      <c r="W22" s="279">
        <v>0</v>
      </c>
      <c r="X22" s="35">
        <f t="shared" si="3"/>
        <v>0.34116666666666662</v>
      </c>
      <c r="Y22" s="35">
        <f t="shared" si="4"/>
        <v>0.83211382113821131</v>
      </c>
      <c r="Z22" s="29">
        <f t="shared" si="13"/>
        <v>19.300296161387454</v>
      </c>
      <c r="AA22" s="35">
        <f t="shared" si="14"/>
        <v>20.132409982525665</v>
      </c>
      <c r="AB22" s="35">
        <f t="shared" si="15"/>
        <v>20.132409982525665</v>
      </c>
      <c r="AC22" s="279">
        <v>0</v>
      </c>
      <c r="AD22" s="35">
        <f t="shared" si="5"/>
        <v>0.59033333333333327</v>
      </c>
      <c r="AE22" s="35">
        <f t="shared" si="16"/>
        <v>1.4398373983739836</v>
      </c>
      <c r="AF22" s="29">
        <f t="shared" si="17"/>
        <v>32.05128832254519</v>
      </c>
      <c r="AG22" s="35">
        <f t="shared" si="18"/>
        <v>33.491125720919172</v>
      </c>
      <c r="AH22" s="35">
        <f t="shared" si="19"/>
        <v>33.491125720919172</v>
      </c>
      <c r="AI22" s="226">
        <v>1.6462801</v>
      </c>
      <c r="AJ22" s="35">
        <f t="shared" si="6"/>
        <v>0.44658333333333333</v>
      </c>
      <c r="AK22" s="35">
        <f t="shared" si="7"/>
        <v>1.0892276422764229</v>
      </c>
      <c r="AL22" s="29">
        <f t="shared" si="23"/>
        <v>0.29914351111220505</v>
      </c>
      <c r="AM22" s="35">
        <f t="shared" si="24"/>
        <v>1.3883711533886278</v>
      </c>
      <c r="AN22" s="35">
        <f t="shared" si="20"/>
        <v>0</v>
      </c>
      <c r="AO22" s="35"/>
      <c r="AP22" s="35"/>
      <c r="AQ22" s="35"/>
      <c r="AR22" s="35"/>
      <c r="AS22" s="276"/>
    </row>
    <row r="23" spans="1:52" s="29" customFormat="1" ht="15.75" x14ac:dyDescent="0.25">
      <c r="A23" s="36" t="s">
        <v>204</v>
      </c>
      <c r="B23" s="35">
        <f>Q46/$D$3</f>
        <v>5.5396946502260184E-3</v>
      </c>
      <c r="C23" s="123">
        <f>2.21/12</f>
        <v>0.18416666666666667</v>
      </c>
      <c r="D23" s="279">
        <v>0</v>
      </c>
      <c r="E23" s="329"/>
      <c r="F23" s="329"/>
      <c r="G23" s="329"/>
      <c r="H23" s="329"/>
      <c r="I23" s="329"/>
      <c r="J23" s="329"/>
      <c r="K23" s="279">
        <v>0</v>
      </c>
      <c r="L23" s="35">
        <f t="shared" si="0"/>
        <v>0</v>
      </c>
      <c r="M23" s="35">
        <f t="shared" si="1"/>
        <v>0</v>
      </c>
      <c r="N23" s="29">
        <f t="shared" si="21"/>
        <v>0.24064433560581822</v>
      </c>
      <c r="O23" s="35">
        <f t="shared" si="8"/>
        <v>0.24064433560581822</v>
      </c>
      <c r="P23" s="249">
        <v>0</v>
      </c>
      <c r="Q23" s="249">
        <v>0</v>
      </c>
      <c r="R23" s="35">
        <f>R$7*(IF($C23-$D23&lt;0,0,ABS($C23-$D23)))</f>
        <v>0.30387500000000001</v>
      </c>
      <c r="S23" s="35">
        <f t="shared" si="2"/>
        <v>0.7411585365853659</v>
      </c>
      <c r="T23" s="29">
        <f>R$9*$B23</f>
        <v>0.25543532032192168</v>
      </c>
      <c r="U23" s="35">
        <f>S23+T23</f>
        <v>0.99659385690728763</v>
      </c>
      <c r="V23" s="249">
        <v>0</v>
      </c>
      <c r="W23" s="279">
        <v>0</v>
      </c>
      <c r="X23" s="35">
        <f t="shared" si="3"/>
        <v>0.3278166666666667</v>
      </c>
      <c r="Y23" s="35">
        <f t="shared" si="4"/>
        <v>0.7995528455284554</v>
      </c>
      <c r="Z23" s="29">
        <f>X$9*$B23</f>
        <v>0.77201184645549803</v>
      </c>
      <c r="AA23" s="35">
        <f>Y23+Z23</f>
        <v>1.5715646919839534</v>
      </c>
      <c r="AB23" s="249">
        <v>0</v>
      </c>
      <c r="AC23" s="226">
        <v>0</v>
      </c>
      <c r="AD23" s="35">
        <f t="shared" si="5"/>
        <v>0.56723333333333337</v>
      </c>
      <c r="AE23" s="35">
        <f t="shared" si="16"/>
        <v>1.3834959349593499</v>
      </c>
      <c r="AF23" s="29">
        <f>AD$9*$B23</f>
        <v>1.2820515329018074</v>
      </c>
      <c r="AG23" s="35">
        <f>AE23+AF23</f>
        <v>2.665547467861157</v>
      </c>
      <c r="AH23" s="249">
        <v>0</v>
      </c>
      <c r="AI23" s="226">
        <v>0</v>
      </c>
      <c r="AJ23" s="35">
        <f t="shared" si="6"/>
        <v>0.42910833333333337</v>
      </c>
      <c r="AK23" s="35">
        <f t="shared" si="7"/>
        <v>1.0466056910569108</v>
      </c>
      <c r="AL23" s="29">
        <f>AJ$9*$B23</f>
        <v>1.19657404444882E-2</v>
      </c>
      <c r="AM23" s="35">
        <f>AK23+AL23</f>
        <v>1.058571431501399</v>
      </c>
      <c r="AN23" s="249">
        <v>0</v>
      </c>
      <c r="AO23" s="35"/>
      <c r="AP23" s="35"/>
      <c r="AQ23" s="35"/>
      <c r="AR23" s="35"/>
      <c r="AS23" s="276"/>
    </row>
    <row r="24" spans="1:52" s="35" customFormat="1" ht="15.75" x14ac:dyDescent="0.25">
      <c r="A24" s="33" t="s">
        <v>34</v>
      </c>
      <c r="B24" s="33">
        <f>SUM(B12:B23)</f>
        <v>5.4898373983739832</v>
      </c>
      <c r="C24" s="33">
        <f>SUM(C12:C23)</f>
        <v>5.9208333333333343</v>
      </c>
      <c r="D24" s="33">
        <f>SUM(D12:D23)</f>
        <v>1.1258333333333335</v>
      </c>
      <c r="E24" s="329"/>
      <c r="F24" s="329"/>
      <c r="G24" s="329"/>
      <c r="H24" s="329"/>
      <c r="I24" s="329"/>
      <c r="J24" s="329"/>
      <c r="K24" s="33">
        <f>SUM(K12:K23)</f>
        <v>329.60560855522812</v>
      </c>
      <c r="L24" s="33">
        <f>SUM(L12:L23)</f>
        <v>0</v>
      </c>
      <c r="M24" s="33">
        <f t="shared" ref="M24:AN24" si="25">SUM(M12:M23)</f>
        <v>0</v>
      </c>
      <c r="N24" s="33">
        <f t="shared" si="25"/>
        <v>238.47853658536584</v>
      </c>
      <c r="O24" s="33">
        <f t="shared" si="25"/>
        <v>238.47853658536584</v>
      </c>
      <c r="P24" s="33">
        <f>SUM(P12:P23)</f>
        <v>102.90490035181728</v>
      </c>
      <c r="Q24" s="33">
        <f t="shared" si="25"/>
        <v>58.948852366875016</v>
      </c>
      <c r="R24" s="33">
        <f t="shared" si="25"/>
        <v>7.9117499999999996</v>
      </c>
      <c r="S24" s="33">
        <f t="shared" si="25"/>
        <v>19.296951219512195</v>
      </c>
      <c r="T24" s="33">
        <f t="shared" si="25"/>
        <v>253.13640243902438</v>
      </c>
      <c r="U24" s="33">
        <f t="shared" si="25"/>
        <v>272.43335365853653</v>
      </c>
      <c r="V24" s="33">
        <f t="shared" si="25"/>
        <v>217.38173296890844</v>
      </c>
      <c r="W24" s="33">
        <f t="shared" si="25"/>
        <v>1771.0939166900002</v>
      </c>
      <c r="X24" s="33">
        <f t="shared" si="25"/>
        <v>8.5350999999999999</v>
      </c>
      <c r="Y24" s="33">
        <f t="shared" si="25"/>
        <v>20.817317073170734</v>
      </c>
      <c r="Z24" s="33">
        <f t="shared" si="25"/>
        <v>765.06373983739854</v>
      </c>
      <c r="AA24" s="33">
        <f t="shared" si="25"/>
        <v>785.88105691056933</v>
      </c>
      <c r="AB24" s="33">
        <f>SUM(AB12:AB23)</f>
        <v>182.16152538155055</v>
      </c>
      <c r="AC24" s="33">
        <f t="shared" si="25"/>
        <v>2744.2894226000003</v>
      </c>
      <c r="AD24" s="33">
        <f t="shared" si="25"/>
        <v>14.768600000000003</v>
      </c>
      <c r="AE24" s="33">
        <f t="shared" si="25"/>
        <v>36.0209756097561</v>
      </c>
      <c r="AF24" s="33">
        <f t="shared" si="25"/>
        <v>1270.5130691056911</v>
      </c>
      <c r="AG24" s="33">
        <f t="shared" si="25"/>
        <v>1306.5340447154474</v>
      </c>
      <c r="AH24" s="33">
        <f t="shared" si="25"/>
        <v>302.81139820033422</v>
      </c>
      <c r="AI24" s="33">
        <f t="shared" si="25"/>
        <v>2094.1079565999999</v>
      </c>
      <c r="AJ24" s="33">
        <f t="shared" si="25"/>
        <v>11.17235</v>
      </c>
      <c r="AK24" s="33">
        <f t="shared" si="25"/>
        <v>27.249634146341467</v>
      </c>
      <c r="AL24" s="33">
        <f t="shared" si="25"/>
        <v>11.858048780487806</v>
      </c>
      <c r="AM24" s="33">
        <f>SUM(AM12:AM23)</f>
        <v>39.107682926829277</v>
      </c>
      <c r="AN24" s="33">
        <f t="shared" si="25"/>
        <v>0</v>
      </c>
      <c r="AR24" s="33"/>
      <c r="AS24" s="33"/>
    </row>
    <row r="25" spans="1:52" s="29" customFormat="1" x14ac:dyDescent="0.2">
      <c r="A25" s="172" t="s">
        <v>339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1" t="s">
        <v>331</v>
      </c>
      <c r="U25" s="206"/>
      <c r="V25" s="206"/>
      <c r="AI25" s="207"/>
    </row>
    <row r="26" spans="1:52" s="29" customFormat="1" x14ac:dyDescent="0.2">
      <c r="A26" s="29" t="s">
        <v>338</v>
      </c>
      <c r="AI26" s="207"/>
    </row>
    <row r="27" spans="1:52" s="104" customFormat="1" ht="18" x14ac:dyDescent="0.25">
      <c r="A27" s="98" t="s">
        <v>35</v>
      </c>
      <c r="B27" s="99"/>
      <c r="C27" s="102"/>
      <c r="D27" s="103"/>
      <c r="E27" s="103"/>
      <c r="F27" s="305" t="s">
        <v>117</v>
      </c>
      <c r="G27" s="306"/>
      <c r="H27" s="306"/>
      <c r="I27" s="306"/>
      <c r="J27" s="306"/>
      <c r="K27" s="306"/>
      <c r="L27" s="307" t="s">
        <v>118</v>
      </c>
      <c r="M27" s="306"/>
      <c r="N27" s="306"/>
      <c r="O27" s="306"/>
      <c r="P27" s="306"/>
      <c r="Q27" s="306"/>
      <c r="R27" s="137"/>
      <c r="S27" s="308" t="s">
        <v>71</v>
      </c>
      <c r="T27" s="309"/>
      <c r="U27" s="309"/>
      <c r="V27" s="309"/>
      <c r="W27" s="309"/>
      <c r="X27" s="309"/>
      <c r="Y27" s="162"/>
      <c r="Z27" s="164"/>
      <c r="AA27" s="48"/>
      <c r="AB27" s="48"/>
      <c r="AC27" s="48"/>
      <c r="AD27" s="48"/>
      <c r="AE27" s="48"/>
      <c r="AF27" s="48"/>
      <c r="AG27" s="162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165"/>
      <c r="AV27" s="165"/>
      <c r="AW27" s="165"/>
      <c r="AX27" s="165"/>
      <c r="AY27" s="165"/>
      <c r="AZ27" s="165"/>
    </row>
    <row r="28" spans="1:52" s="2" customFormat="1" ht="72.75" customHeight="1" x14ac:dyDescent="0.25">
      <c r="A28" s="89"/>
      <c r="B28" s="89"/>
      <c r="C28" s="105" t="s">
        <v>8</v>
      </c>
      <c r="D28" s="105" t="s">
        <v>9</v>
      </c>
      <c r="E28" s="105"/>
      <c r="F28" s="83" t="s">
        <v>200</v>
      </c>
      <c r="G28" s="86" t="s">
        <v>0</v>
      </c>
      <c r="H28" s="83" t="s">
        <v>2</v>
      </c>
      <c r="I28" s="83" t="s">
        <v>3</v>
      </c>
      <c r="J28" s="83" t="s">
        <v>288</v>
      </c>
      <c r="K28" s="83" t="s">
        <v>289</v>
      </c>
      <c r="L28" s="89"/>
      <c r="M28" s="83" t="s">
        <v>202</v>
      </c>
      <c r="N28" s="86" t="s">
        <v>0</v>
      </c>
      <c r="O28" s="83" t="s">
        <v>289</v>
      </c>
      <c r="P28" s="83" t="s">
        <v>201</v>
      </c>
      <c r="Q28" s="86" t="s">
        <v>0</v>
      </c>
      <c r="S28" s="86" t="s">
        <v>119</v>
      </c>
      <c r="T28" s="83" t="s">
        <v>1</v>
      </c>
      <c r="U28" s="83" t="s">
        <v>4</v>
      </c>
      <c r="V28" s="86" t="s">
        <v>290</v>
      </c>
      <c r="W28" s="86" t="s">
        <v>120</v>
      </c>
      <c r="X28" s="86" t="s">
        <v>291</v>
      </c>
      <c r="Y28" s="83"/>
      <c r="Z28" s="86"/>
      <c r="AA28" s="83"/>
      <c r="AB28" s="83"/>
      <c r="AC28" s="86"/>
      <c r="AD28" s="86"/>
      <c r="AE28" s="86"/>
      <c r="AF28" s="30" t="s">
        <v>294</v>
      </c>
      <c r="AI28" s="30"/>
      <c r="AJ28" s="28"/>
      <c r="AK28" s="28"/>
      <c r="AL28" s="28"/>
    </row>
    <row r="29" spans="1:52" ht="15.75" x14ac:dyDescent="0.25">
      <c r="A29" s="28" t="s">
        <v>235</v>
      </c>
      <c r="B29" s="29"/>
      <c r="C29" s="35">
        <f>B24*$D$3</f>
        <v>2.250833333333333</v>
      </c>
      <c r="E29" s="35"/>
      <c r="F29" s="35">
        <f>($F9+$L9+$R9+$X9+$AD9+$AJ9)-F30</f>
        <v>462.50000000000006</v>
      </c>
      <c r="G29" s="35">
        <f>F29*$C29</f>
        <v>1041.0104166666667</v>
      </c>
      <c r="H29" s="29">
        <f>H24+N24+T24+Z24+AF24+AL24</f>
        <v>2539.0497967479678</v>
      </c>
      <c r="I29" s="29"/>
      <c r="J29" s="29"/>
      <c r="K29" s="29">
        <f>G29*J32</f>
        <v>317.23909576704347</v>
      </c>
      <c r="L29" s="29"/>
      <c r="M29" s="249">
        <v>175.25</v>
      </c>
      <c r="N29" s="35">
        <f>M29*$C29</f>
        <v>394.45854166666663</v>
      </c>
      <c r="O29" s="29">
        <f>J32*N29</f>
        <v>120.20789520686347</v>
      </c>
      <c r="P29" s="226">
        <v>78.98</v>
      </c>
      <c r="Q29" s="35">
        <f>P29*$C29</f>
        <v>177.77081666666666</v>
      </c>
      <c r="S29" s="29">
        <f>F29+M29+P29</f>
        <v>716.73</v>
      </c>
      <c r="T29" s="29">
        <f>G29+N29+Q29</f>
        <v>1613.239775</v>
      </c>
      <c r="U29" s="29">
        <f>O29+K29</f>
        <v>437.44699097390696</v>
      </c>
      <c r="V29" s="29">
        <f>T29-U29</f>
        <v>1175.7927840260932</v>
      </c>
      <c r="W29" s="29"/>
      <c r="X29" s="29"/>
      <c r="Y29" s="29"/>
      <c r="Z29" s="29"/>
      <c r="AA29" s="3"/>
      <c r="AB29" s="29"/>
      <c r="AC29" s="29"/>
      <c r="AD29" s="29"/>
      <c r="AE29" s="29"/>
      <c r="AF29" s="30"/>
      <c r="AI29" s="3"/>
      <c r="AM29" s="29"/>
    </row>
    <row r="30" spans="1:52" ht="15.75" x14ac:dyDescent="0.25">
      <c r="A30" s="28" t="s">
        <v>236</v>
      </c>
      <c r="B30" s="29"/>
      <c r="C30" s="29"/>
      <c r="D30" s="35"/>
      <c r="E30" s="35"/>
      <c r="F30" s="35"/>
      <c r="G30" s="35"/>
      <c r="H30" s="29"/>
      <c r="I30" s="29"/>
      <c r="J30" s="29"/>
      <c r="K30" s="29"/>
      <c r="L30" s="29"/>
      <c r="M30" s="35">
        <v>0</v>
      </c>
      <c r="N30" s="35"/>
      <c r="O30" s="29"/>
      <c r="P30" s="29">
        <v>0</v>
      </c>
      <c r="Q30" s="35"/>
      <c r="S30" s="29"/>
      <c r="T30" s="29"/>
      <c r="U30" s="29"/>
      <c r="V30" s="29"/>
      <c r="W30" s="29"/>
      <c r="X30" s="29"/>
      <c r="Y30" s="29"/>
      <c r="Z30" s="29"/>
      <c r="AA30" s="3"/>
      <c r="AB30" s="29"/>
      <c r="AC30" s="29"/>
      <c r="AD30" s="29"/>
      <c r="AE30" s="29"/>
      <c r="AI30" s="216"/>
      <c r="AM30" s="29"/>
    </row>
    <row r="31" spans="1:52" s="29" customFormat="1" ht="15.75" x14ac:dyDescent="0.25">
      <c r="A31" s="29" t="s">
        <v>48</v>
      </c>
      <c r="E31" s="35"/>
      <c r="F31" s="35">
        <f>F7+L7+R7+X7+AD7+AJ7+AP7</f>
        <v>8.84</v>
      </c>
      <c r="G31" s="35">
        <f>F31*($C24-$D24)</f>
        <v>42.387800000000006</v>
      </c>
      <c r="H31" s="29">
        <f>G24+M24+S24+Y24+AE24+AK24+AQ24</f>
        <v>103.38487804878049</v>
      </c>
      <c r="K31" s="29">
        <f>G31*J32</f>
        <v>12.91732256302682</v>
      </c>
      <c r="M31" s="249">
        <v>5.7</v>
      </c>
      <c r="N31" s="35">
        <f>M31*($C24-$D24)</f>
        <v>27.331500000000005</v>
      </c>
      <c r="O31" s="35">
        <f>J32*N31</f>
        <v>8.3290428291010059</v>
      </c>
      <c r="P31" s="226">
        <v>0.08</v>
      </c>
      <c r="Q31" s="35">
        <f>P31*($C24-$D24)</f>
        <v>0.38360000000000005</v>
      </c>
      <c r="R31" s="35"/>
      <c r="S31" s="29">
        <f>F31+M31+P31</f>
        <v>14.62</v>
      </c>
      <c r="T31" s="29">
        <f>G31+N31+Q31</f>
        <v>70.102900000000005</v>
      </c>
      <c r="U31" s="29">
        <f>O31+K31</f>
        <v>21.246365392127828</v>
      </c>
      <c r="V31" s="29">
        <f>T31-U31</f>
        <v>48.856534607872177</v>
      </c>
      <c r="W31" s="32"/>
      <c r="AA31" s="3"/>
      <c r="AD31" s="32"/>
      <c r="AF31" s="28" t="s">
        <v>348</v>
      </c>
      <c r="AI31" s="226">
        <v>116.58</v>
      </c>
      <c r="AJ31" s="28"/>
      <c r="AK31" s="28"/>
      <c r="AL31" s="28"/>
    </row>
    <row r="32" spans="1:52" ht="15.75" x14ac:dyDescent="0.25">
      <c r="A32" s="3" t="s">
        <v>71</v>
      </c>
      <c r="B32" s="29"/>
      <c r="D32" s="35"/>
      <c r="E32" s="35"/>
      <c r="F32" s="35">
        <f>SUM(F29:F31)</f>
        <v>471.34000000000003</v>
      </c>
      <c r="G32" s="35">
        <f>SUM(G29:G31)</f>
        <v>1083.3982166666667</v>
      </c>
      <c r="H32" s="35">
        <f>SUM(H29:H31)</f>
        <v>2642.4346747967484</v>
      </c>
      <c r="I32" s="29">
        <f>J24+P24+V24+AB24+AH24+AN24+AT24</f>
        <v>805.25955690261048</v>
      </c>
      <c r="J32" s="33">
        <f>I32/H32</f>
        <v>0.30474151909339053</v>
      </c>
      <c r="K32" s="35">
        <f>J32*G32</f>
        <v>330.15641833007027</v>
      </c>
      <c r="L32" s="29"/>
      <c r="M32" s="35">
        <f>SUM(M29:M31)</f>
        <v>180.95</v>
      </c>
      <c r="N32" s="35">
        <f>SUM(N29:N31)</f>
        <v>421.79004166666664</v>
      </c>
      <c r="O32" s="35">
        <f>SUM(O29:O31)</f>
        <v>128.53693803596448</v>
      </c>
      <c r="P32" s="35">
        <f>SUM(P29:P31)</f>
        <v>79.06</v>
      </c>
      <c r="Q32" s="35">
        <f>SUM(Q29:Q31)</f>
        <v>178.15441666666666</v>
      </c>
      <c r="S32" s="29">
        <f>SUM(S29:S31)</f>
        <v>731.35</v>
      </c>
      <c r="T32" s="29">
        <f>SUM(T29:T31)</f>
        <v>1683.3426750000001</v>
      </c>
      <c r="U32" s="29">
        <f>SUM(U29:U31)</f>
        <v>458.69335636603478</v>
      </c>
      <c r="V32" s="29">
        <f>SUM(V29:V31)</f>
        <v>1224.6493186339653</v>
      </c>
      <c r="W32" s="35">
        <f>(V32-Q32)*0.1+(Q32*0.02)</f>
        <v>108.2125785300632</v>
      </c>
      <c r="X32" s="29">
        <f>W32+V32</f>
        <v>1332.8618971640285</v>
      </c>
      <c r="Y32" s="29"/>
      <c r="Z32" s="3"/>
      <c r="AA32" s="3"/>
      <c r="AB32" s="3"/>
      <c r="AC32" s="3"/>
      <c r="AD32" s="27"/>
      <c r="AE32" s="3"/>
      <c r="AF32" s="30" t="s">
        <v>295</v>
      </c>
      <c r="AG32" s="29"/>
      <c r="AI32" s="3">
        <f>SUM(AI30:AI31)</f>
        <v>116.58</v>
      </c>
      <c r="AM32" s="29"/>
    </row>
    <row r="33" spans="1:39" ht="15.75" x14ac:dyDescent="0.25">
      <c r="A33" s="29"/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29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A33" s="29"/>
      <c r="AF33" s="29"/>
      <c r="AG33" s="29"/>
      <c r="AM33" s="29"/>
    </row>
    <row r="34" spans="1:39" ht="15.75" x14ac:dyDescent="0.25">
      <c r="A34" s="29" t="s">
        <v>121</v>
      </c>
      <c r="B34" s="29"/>
      <c r="C34" s="29"/>
      <c r="D34" s="35"/>
      <c r="E34" s="35"/>
      <c r="F34" s="35"/>
      <c r="G34" s="35"/>
      <c r="H34" s="29"/>
      <c r="I34" s="29"/>
      <c r="J34" s="35"/>
      <c r="K34" s="35"/>
      <c r="L34" s="29"/>
      <c r="M34" s="35"/>
      <c r="N34" s="35"/>
      <c r="O34" s="29"/>
      <c r="P34" s="35"/>
      <c r="Q34" s="35"/>
      <c r="R34" s="35"/>
      <c r="S34" s="216"/>
      <c r="T34" s="29"/>
      <c r="U34" s="29"/>
      <c r="V34" s="29"/>
      <c r="W34" s="29"/>
      <c r="X34" s="3"/>
      <c r="Y34" s="29"/>
      <c r="Z34" s="29"/>
      <c r="AG34" s="29"/>
    </row>
    <row r="35" spans="1:39" s="29" customFormat="1" x14ac:dyDescent="0.2">
      <c r="A35" s="29" t="s">
        <v>343</v>
      </c>
      <c r="D35" s="32"/>
      <c r="E35" s="32"/>
    </row>
    <row r="36" spans="1:39" s="97" customFormat="1" ht="15.75" x14ac:dyDescent="0.25">
      <c r="A36" s="100" t="s">
        <v>192</v>
      </c>
      <c r="B36" s="100"/>
      <c r="D36" s="94"/>
      <c r="E36" s="94"/>
      <c r="F36" s="94"/>
      <c r="G36" s="101"/>
      <c r="H36" s="94"/>
      <c r="I36" s="94"/>
      <c r="J36" s="94"/>
      <c r="K36" s="94"/>
      <c r="L36" s="94"/>
      <c r="M36" s="101"/>
      <c r="N36" s="94"/>
      <c r="O36" s="94"/>
      <c r="P36" s="94"/>
      <c r="Q36" s="94"/>
      <c r="R36" s="94"/>
      <c r="S36" s="101"/>
      <c r="T36" s="94"/>
      <c r="U36" s="94"/>
      <c r="V36" s="95"/>
      <c r="W36" s="95"/>
      <c r="X36" s="95"/>
      <c r="Y36" s="96"/>
      <c r="Z36" s="95"/>
      <c r="AA36" s="95"/>
      <c r="AF36" s="95"/>
      <c r="AG36" s="95"/>
    </row>
    <row r="37" spans="1:39" ht="15.75" x14ac:dyDescent="0.25">
      <c r="A37" s="3"/>
      <c r="B37" s="3"/>
      <c r="C37" s="3"/>
      <c r="F37" s="33" t="s">
        <v>87</v>
      </c>
      <c r="G37" s="33" t="s">
        <v>88</v>
      </c>
      <c r="H37" s="33" t="s">
        <v>89</v>
      </c>
      <c r="I37" s="33" t="s">
        <v>90</v>
      </c>
      <c r="J37" s="33" t="s">
        <v>23</v>
      </c>
      <c r="K37" s="33" t="s">
        <v>91</v>
      </c>
      <c r="L37" s="33" t="s">
        <v>92</v>
      </c>
      <c r="M37" s="33" t="s">
        <v>93</v>
      </c>
      <c r="N37" s="33" t="s">
        <v>94</v>
      </c>
      <c r="O37" s="33" t="s">
        <v>95</v>
      </c>
      <c r="P37" s="33" t="s">
        <v>96</v>
      </c>
      <c r="Q37" s="33" t="s">
        <v>97</v>
      </c>
      <c r="R37" s="33" t="s">
        <v>71</v>
      </c>
      <c r="V37" s="29"/>
      <c r="W37" s="29"/>
      <c r="X37" s="29"/>
      <c r="Y37" s="32"/>
      <c r="Z37" s="29"/>
      <c r="AA37" s="29"/>
      <c r="AF37" s="29"/>
      <c r="AG37" s="29"/>
    </row>
    <row r="38" spans="1:39" ht="15.75" x14ac:dyDescent="0.25">
      <c r="A38" s="3"/>
      <c r="B38" s="3"/>
      <c r="C38" s="3"/>
      <c r="F38" s="33"/>
      <c r="G38" s="27"/>
      <c r="H38" s="27"/>
      <c r="I38" s="33"/>
      <c r="J38" s="27"/>
      <c r="K38" s="27"/>
      <c r="L38" s="248"/>
      <c r="M38" s="27"/>
      <c r="N38" s="33"/>
      <c r="O38" s="27"/>
      <c r="P38" s="33"/>
      <c r="Q38" s="27"/>
      <c r="R38" s="33"/>
      <c r="V38" s="29"/>
      <c r="W38" s="29"/>
      <c r="X38" s="29"/>
      <c r="Y38" s="32"/>
      <c r="Z38" s="29"/>
      <c r="AA38" s="29"/>
      <c r="AF38" s="29"/>
      <c r="AG38" s="29"/>
    </row>
    <row r="39" spans="1:39" ht="15.75" x14ac:dyDescent="0.25">
      <c r="A39" s="3" t="s">
        <v>329</v>
      </c>
      <c r="B39" s="3"/>
      <c r="C39" s="29"/>
      <c r="F39" s="226">
        <v>0</v>
      </c>
      <c r="G39" s="226">
        <v>0</v>
      </c>
      <c r="H39" s="226">
        <v>0.2</v>
      </c>
      <c r="I39" s="226">
        <v>2.5499999999999998</v>
      </c>
      <c r="J39" s="226">
        <v>4.3099999999999996</v>
      </c>
      <c r="K39" s="226">
        <v>5.76</v>
      </c>
      <c r="L39" s="226">
        <v>4.55</v>
      </c>
      <c r="M39" s="249">
        <v>5.42</v>
      </c>
      <c r="N39" s="249">
        <v>3.44</v>
      </c>
      <c r="O39" s="226">
        <v>2.72</v>
      </c>
      <c r="P39" s="226">
        <v>0.75</v>
      </c>
      <c r="Q39" s="226">
        <v>0.03</v>
      </c>
      <c r="R39" s="29">
        <f>SUM(F39:Q39)</f>
        <v>29.73</v>
      </c>
      <c r="V39" s="29"/>
      <c r="W39" s="29"/>
      <c r="X39" s="29"/>
      <c r="Y39" s="32"/>
      <c r="Z39" s="29"/>
      <c r="AA39" s="29"/>
      <c r="AB39" s="29"/>
      <c r="AC39" s="29"/>
      <c r="AD39" s="29"/>
      <c r="AE39" s="32"/>
      <c r="AF39" s="213"/>
      <c r="AG39" s="29"/>
    </row>
    <row r="40" spans="1:39" ht="15.75" x14ac:dyDescent="0.25">
      <c r="A40" s="3" t="s">
        <v>98</v>
      </c>
      <c r="B40" s="3"/>
      <c r="C40" s="29"/>
      <c r="F40" s="29">
        <f t="shared" ref="F40:Q40" si="26">F39/$R39</f>
        <v>0</v>
      </c>
      <c r="G40" s="29">
        <f t="shared" si="26"/>
        <v>0</v>
      </c>
      <c r="H40" s="29">
        <f t="shared" si="26"/>
        <v>6.7272115708039018E-3</v>
      </c>
      <c r="I40" s="29">
        <f t="shared" si="26"/>
        <v>8.5771947527749734E-2</v>
      </c>
      <c r="J40" s="29">
        <f t="shared" si="26"/>
        <v>0.14497140935082406</v>
      </c>
      <c r="K40" s="29">
        <f t="shared" si="26"/>
        <v>0.19374369323915236</v>
      </c>
      <c r="L40" s="29">
        <f t="shared" si="26"/>
        <v>0.15304406323578876</v>
      </c>
      <c r="M40" s="29">
        <f t="shared" si="26"/>
        <v>0.18230743356878573</v>
      </c>
      <c r="N40" s="29">
        <f t="shared" si="26"/>
        <v>0.11570803901782711</v>
      </c>
      <c r="O40" s="29">
        <f t="shared" si="26"/>
        <v>9.1490077362933075E-2</v>
      </c>
      <c r="P40" s="29">
        <f t="shared" si="26"/>
        <v>2.5227043390514632E-2</v>
      </c>
      <c r="Q40" s="29">
        <f t="shared" si="26"/>
        <v>1.0090817356205853E-3</v>
      </c>
      <c r="R40" s="29">
        <f>SUM(F40:Q40)</f>
        <v>1</v>
      </c>
      <c r="V40" s="29"/>
      <c r="W40" s="29"/>
      <c r="X40" s="29"/>
      <c r="Y40" s="32"/>
      <c r="Z40" s="29"/>
      <c r="AA40" s="29"/>
      <c r="AB40" s="29"/>
      <c r="AC40" s="29"/>
      <c r="AD40" s="29"/>
      <c r="AE40" s="32"/>
      <c r="AF40" s="29"/>
      <c r="AG40" s="29"/>
      <c r="AH40" s="212"/>
    </row>
    <row r="41" spans="1:39" ht="16.5" thickBot="1" x14ac:dyDescent="0.3">
      <c r="A41" s="3"/>
      <c r="B41" s="3"/>
      <c r="C41" s="29"/>
      <c r="F41" s="29"/>
      <c r="G41" s="32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32"/>
      <c r="T41" s="29"/>
      <c r="V41" s="29"/>
      <c r="W41" s="29"/>
      <c r="X41" s="29"/>
      <c r="Y41" s="32"/>
      <c r="Z41" s="29"/>
      <c r="AA41" s="29"/>
      <c r="AB41" s="29"/>
      <c r="AC41" s="29"/>
      <c r="AD41" s="29"/>
      <c r="AE41" s="32"/>
      <c r="AF41" s="29"/>
      <c r="AG41" s="29"/>
    </row>
    <row r="42" spans="1:39" s="95" customFormat="1" ht="16.5" thickBot="1" x14ac:dyDescent="0.3">
      <c r="A42" s="94" t="s">
        <v>191</v>
      </c>
      <c r="B42" s="94"/>
      <c r="F42" s="282">
        <v>27.01</v>
      </c>
      <c r="G42" s="94" t="s">
        <v>10</v>
      </c>
      <c r="Z42" s="94"/>
      <c r="AA42" s="94"/>
      <c r="AB42" s="94"/>
      <c r="AC42" s="94"/>
      <c r="AD42" s="94"/>
      <c r="AE42" s="101"/>
      <c r="AF42" s="94"/>
      <c r="AG42" s="94"/>
    </row>
    <row r="43" spans="1:39" ht="15.75" x14ac:dyDescent="0.25">
      <c r="A43" s="3"/>
      <c r="B43" s="3"/>
      <c r="C43" s="29"/>
      <c r="F43" s="33" t="s">
        <v>87</v>
      </c>
      <c r="G43" s="33" t="s">
        <v>88</v>
      </c>
      <c r="H43" s="33" t="s">
        <v>89</v>
      </c>
      <c r="I43" s="33" t="s">
        <v>90</v>
      </c>
      <c r="J43" s="33" t="s">
        <v>23</v>
      </c>
      <c r="K43" s="33" t="s">
        <v>91</v>
      </c>
      <c r="L43" s="33" t="s">
        <v>92</v>
      </c>
      <c r="M43" s="33" t="s">
        <v>93</v>
      </c>
      <c r="N43" s="33" t="s">
        <v>94</v>
      </c>
      <c r="O43" s="33" t="s">
        <v>95</v>
      </c>
      <c r="P43" s="33" t="s">
        <v>96</v>
      </c>
      <c r="Q43" s="33" t="s">
        <v>97</v>
      </c>
      <c r="R43" s="33" t="s">
        <v>71</v>
      </c>
      <c r="V43" s="29"/>
      <c r="W43" s="29"/>
      <c r="X43" s="29"/>
      <c r="Y43" s="32"/>
      <c r="Z43" s="29"/>
      <c r="AA43" s="29"/>
      <c r="AB43" s="29"/>
      <c r="AC43" s="29"/>
      <c r="AD43" s="29"/>
      <c r="AE43" s="32"/>
      <c r="AF43" s="29"/>
      <c r="AG43" s="29"/>
    </row>
    <row r="44" spans="1:39" ht="15.75" x14ac:dyDescent="0.25">
      <c r="A44" s="3"/>
      <c r="B44" s="3"/>
      <c r="C44" s="29"/>
      <c r="F44" s="33"/>
      <c r="G44" s="27"/>
      <c r="H44" s="27"/>
      <c r="I44" s="33"/>
      <c r="J44" s="27"/>
      <c r="K44" s="27"/>
      <c r="L44" s="27"/>
      <c r="M44" s="27"/>
      <c r="N44" s="33"/>
      <c r="O44" s="27"/>
      <c r="P44" s="33"/>
      <c r="Q44" s="27"/>
      <c r="R44" s="33"/>
      <c r="V44" s="29"/>
      <c r="W44" s="29"/>
      <c r="X44" s="29"/>
      <c r="Y44" s="32"/>
      <c r="Z44" s="29"/>
      <c r="AA44" s="29"/>
      <c r="AB44" s="29"/>
      <c r="AC44" s="29"/>
      <c r="AD44" s="29"/>
      <c r="AE44" s="32"/>
      <c r="AF44" s="29"/>
      <c r="AG44" s="29"/>
    </row>
    <row r="45" spans="1:39" ht="15.75" x14ac:dyDescent="0.25">
      <c r="A45" s="3" t="s">
        <v>7</v>
      </c>
      <c r="B45" s="3"/>
      <c r="C45" s="29"/>
      <c r="F45" s="29">
        <f t="shared" ref="F45:Q45" si="27">F40*$F42</f>
        <v>0</v>
      </c>
      <c r="G45" s="29">
        <f t="shared" si="27"/>
        <v>0</v>
      </c>
      <c r="H45" s="29">
        <f>H40*$F42</f>
        <v>0.1817019845274134</v>
      </c>
      <c r="I45" s="29">
        <f t="shared" si="27"/>
        <v>2.3167003027245205</v>
      </c>
      <c r="J45" s="29">
        <f t="shared" si="27"/>
        <v>3.9156777665657581</v>
      </c>
      <c r="K45" s="29">
        <f t="shared" si="27"/>
        <v>5.2330171543895059</v>
      </c>
      <c r="L45" s="29">
        <f t="shared" si="27"/>
        <v>4.1337201479986545</v>
      </c>
      <c r="M45" s="29">
        <f t="shared" si="27"/>
        <v>4.924123780692903</v>
      </c>
      <c r="N45" s="29">
        <f t="shared" si="27"/>
        <v>3.1252741338715104</v>
      </c>
      <c r="O45" s="29">
        <f t="shared" si="27"/>
        <v>2.4711469895728224</v>
      </c>
      <c r="P45" s="29">
        <f t="shared" si="27"/>
        <v>0.68138244197780029</v>
      </c>
      <c r="Q45" s="29">
        <f t="shared" si="27"/>
        <v>2.7255297679112011E-2</v>
      </c>
      <c r="R45" s="29">
        <f>SUM(F45:Q45)</f>
        <v>27.009999999999998</v>
      </c>
      <c r="V45" s="29"/>
      <c r="W45" s="29"/>
      <c r="Y45" s="32"/>
      <c r="Z45" s="29"/>
      <c r="AA45" s="29"/>
      <c r="AB45" s="29"/>
      <c r="AC45" s="29"/>
      <c r="AD45" s="29"/>
      <c r="AE45" s="211"/>
      <c r="AF45" s="29"/>
      <c r="AG45" s="29"/>
    </row>
    <row r="46" spans="1:39" ht="15.75" x14ac:dyDescent="0.25">
      <c r="A46" s="3" t="s">
        <v>6</v>
      </c>
      <c r="B46" s="3"/>
      <c r="C46" s="29"/>
      <c r="F46" s="29">
        <f t="shared" ref="F46:Q46" si="28">F45/12</f>
        <v>0</v>
      </c>
      <c r="G46" s="29">
        <f t="shared" si="28"/>
        <v>0</v>
      </c>
      <c r="H46" s="29">
        <f t="shared" si="28"/>
        <v>1.5141832043951116E-2</v>
      </c>
      <c r="I46" s="29">
        <f t="shared" si="28"/>
        <v>0.1930583585603767</v>
      </c>
      <c r="J46" s="29">
        <f t="shared" si="28"/>
        <v>0.3263064805471465</v>
      </c>
      <c r="K46" s="29">
        <f t="shared" si="28"/>
        <v>0.43608476286579217</v>
      </c>
      <c r="L46" s="29">
        <f t="shared" si="28"/>
        <v>0.34447667899988788</v>
      </c>
      <c r="M46" s="29">
        <f t="shared" si="28"/>
        <v>0.41034364839107523</v>
      </c>
      <c r="N46" s="29">
        <f t="shared" si="28"/>
        <v>0.2604395111559592</v>
      </c>
      <c r="O46" s="29">
        <f t="shared" si="28"/>
        <v>0.2059289157977352</v>
      </c>
      <c r="P46" s="29">
        <f t="shared" si="28"/>
        <v>5.6781870164816693E-2</v>
      </c>
      <c r="Q46" s="29">
        <f t="shared" si="28"/>
        <v>2.2712748065926674E-3</v>
      </c>
      <c r="R46" s="29">
        <f>SUM(F46:Q46)</f>
        <v>2.250833333333333</v>
      </c>
      <c r="U46" s="29"/>
      <c r="V46" s="29"/>
      <c r="W46" s="29"/>
      <c r="X46" s="29"/>
      <c r="Y46" s="32"/>
      <c r="Z46" s="29"/>
      <c r="AA46" s="29"/>
      <c r="AB46" s="29"/>
      <c r="AC46" s="29"/>
      <c r="AD46" s="29"/>
      <c r="AE46" s="32"/>
      <c r="AF46" s="29"/>
      <c r="AG46" s="29"/>
    </row>
    <row r="48" spans="1:39" x14ac:dyDescent="0.2">
      <c r="F48" s="28">
        <v>0</v>
      </c>
      <c r="G48" s="28">
        <v>0.11</v>
      </c>
      <c r="H48" s="28">
        <v>1.24</v>
      </c>
      <c r="I48" s="28">
        <v>2.5299999999999998</v>
      </c>
      <c r="J48" s="28">
        <v>4.05</v>
      </c>
      <c r="K48" s="28">
        <v>6.47</v>
      </c>
      <c r="L48" s="28">
        <v>6.99</v>
      </c>
      <c r="M48" s="28">
        <v>6.17</v>
      </c>
      <c r="N48" s="28">
        <v>4.12</v>
      </c>
      <c r="O48" s="28">
        <v>2.77</v>
      </c>
      <c r="P48" s="28">
        <v>0.72</v>
      </c>
      <c r="Q48" s="28">
        <v>0.01</v>
      </c>
      <c r="R48" s="28">
        <f>SUM(F48:Q48)</f>
        <v>35.18</v>
      </c>
    </row>
    <row r="49" spans="2:17" x14ac:dyDescent="0.2"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</row>
    <row r="51" spans="2:17" x14ac:dyDescent="0.2">
      <c r="B51" s="29"/>
    </row>
    <row r="52" spans="2:17" x14ac:dyDescent="0.2">
      <c r="B52" s="29"/>
      <c r="M52" s="249"/>
      <c r="N52" s="35"/>
      <c r="O52" s="29"/>
      <c r="P52" s="226"/>
    </row>
    <row r="53" spans="2:17" x14ac:dyDescent="0.2">
      <c r="B53" s="29"/>
      <c r="M53" s="35"/>
      <c r="N53" s="35"/>
      <c r="O53" s="29"/>
      <c r="P53" s="29"/>
    </row>
    <row r="54" spans="2:17" x14ac:dyDescent="0.2">
      <c r="B54" s="29"/>
      <c r="M54" s="249"/>
      <c r="N54" s="35"/>
      <c r="O54" s="35"/>
      <c r="P54" s="226"/>
    </row>
    <row r="55" spans="2:17" x14ac:dyDescent="0.2">
      <c r="B55" s="29"/>
      <c r="M55" s="35"/>
      <c r="N55" s="35"/>
      <c r="O55" s="35"/>
      <c r="P55" s="35"/>
    </row>
    <row r="56" spans="2:17" x14ac:dyDescent="0.2">
      <c r="B56" s="29"/>
    </row>
    <row r="57" spans="2:17" x14ac:dyDescent="0.2">
      <c r="B57" s="29"/>
    </row>
    <row r="58" spans="2:17" x14ac:dyDescent="0.2">
      <c r="B58" s="29"/>
    </row>
    <row r="59" spans="2:17" x14ac:dyDescent="0.2">
      <c r="B59" s="29"/>
    </row>
    <row r="60" spans="2:17" x14ac:dyDescent="0.2">
      <c r="B60" s="29"/>
    </row>
    <row r="61" spans="2:17" x14ac:dyDescent="0.2">
      <c r="B61" s="29"/>
    </row>
    <row r="62" spans="2:17" x14ac:dyDescent="0.2">
      <c r="B62" s="29"/>
    </row>
  </sheetData>
  <sheetProtection algorithmName="SHA-512" hashValue="naCRFxHPAbu5DChV1ewuKYhpFguIC0FHCWHLZBrDuhC3YkPXgcDByu73sCzQK7+dIBmDvH7tWDtWTO0G8i8cig==" saltValue="0IqOp54YRNyPp1ZG49gWlA==" spinCount="100000" sheet="1" formatColumns="0"/>
  <mergeCells count="11">
    <mergeCell ref="S27:X27"/>
    <mergeCell ref="F27:K27"/>
    <mergeCell ref="L27:Q27"/>
    <mergeCell ref="E6:J6"/>
    <mergeCell ref="K6:P6"/>
    <mergeCell ref="Q6:V6"/>
    <mergeCell ref="A3:C3"/>
    <mergeCell ref="E13:J24"/>
    <mergeCell ref="W6:AB6"/>
    <mergeCell ref="AC6:AH6"/>
    <mergeCell ref="AI6:AN6"/>
  </mergeCells>
  <phoneticPr fontId="0" type="noConversion"/>
  <printOptions horizontalCentered="1" gridLines="1"/>
  <pageMargins left="0.75" right="0.25" top="0.75" bottom="0.75" header="0.5" footer="0.5"/>
  <pageSetup paperSize="17" scale="46" orientation="landscape" r:id="rId1"/>
  <headerFooter alignWithMargins="0">
    <oddHeader>&amp;L&amp;D</oddHeader>
    <oddFooter>&amp;L&amp;F&amp;R&amp;A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V62"/>
  <sheetViews>
    <sheetView zoomScaleNormal="100" zoomScaleSheetLayoutView="75" workbookViewId="0">
      <selection activeCell="C24" sqref="C24"/>
    </sheetView>
  </sheetViews>
  <sheetFormatPr defaultColWidth="9.140625" defaultRowHeight="15" x14ac:dyDescent="0.2"/>
  <cols>
    <col min="1" max="1" width="28.28515625" style="28" customWidth="1"/>
    <col min="2" max="24" width="10.7109375" style="28" customWidth="1"/>
    <col min="25" max="25" width="8.7109375" style="28" customWidth="1"/>
    <col min="26" max="27" width="9.85546875" style="28" bestFit="1" customWidth="1"/>
    <col min="28" max="28" width="8.7109375" style="28" bestFit="1" customWidth="1"/>
    <col min="29" max="30" width="9.85546875" style="28" bestFit="1" customWidth="1"/>
    <col min="31" max="31" width="10.140625" style="28" customWidth="1"/>
    <col min="32" max="33" width="9.85546875" style="28" bestFit="1" customWidth="1"/>
    <col min="34" max="34" width="10.28515625" style="28" customWidth="1"/>
    <col min="35" max="35" width="15.7109375" style="28" customWidth="1"/>
    <col min="36" max="36" width="7.140625" style="28" bestFit="1" customWidth="1"/>
    <col min="37" max="37" width="8.7109375" style="28" customWidth="1"/>
    <col min="38" max="39" width="8.7109375" style="28" bestFit="1" customWidth="1"/>
    <col min="40" max="207" width="9.7109375" style="28" customWidth="1"/>
    <col min="208" max="16384" width="9.140625" style="28"/>
  </cols>
  <sheetData>
    <row r="1" spans="1:48" ht="18" x14ac:dyDescent="0.25">
      <c r="A1" s="39" t="s">
        <v>259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8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236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</row>
    <row r="3" spans="1:48" s="29" customFormat="1" ht="18.75" x14ac:dyDescent="0.25">
      <c r="A3" s="298" t="s">
        <v>164</v>
      </c>
      <c r="B3" s="298"/>
      <c r="C3" s="298"/>
      <c r="D3" s="64">
        <v>0.33800000000000002</v>
      </c>
      <c r="E3" s="29" t="s">
        <v>169</v>
      </c>
      <c r="O3" s="235"/>
      <c r="P3" s="32"/>
      <c r="R3" s="235"/>
      <c r="T3" s="32"/>
      <c r="Y3" s="32"/>
      <c r="AB3" s="3"/>
      <c r="AD3" s="35"/>
    </row>
    <row r="4" spans="1:48" ht="18" x14ac:dyDescent="0.2">
      <c r="A4" s="65" t="s">
        <v>221</v>
      </c>
      <c r="B4" s="29"/>
      <c r="C4" s="34"/>
      <c r="D4" s="34"/>
      <c r="E4" s="34"/>
      <c r="F4" s="34"/>
      <c r="G4" s="34"/>
      <c r="H4" s="34"/>
      <c r="L4" s="29"/>
      <c r="M4" s="29"/>
      <c r="N4" s="29"/>
      <c r="O4" s="236"/>
      <c r="P4" s="29"/>
      <c r="Q4" s="29"/>
    </row>
    <row r="5" spans="1:48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84"/>
      <c r="AH5" s="81"/>
      <c r="AI5" s="81"/>
      <c r="AJ5" s="81"/>
      <c r="AK5" s="81"/>
      <c r="AL5" s="81"/>
      <c r="AM5" s="81"/>
      <c r="AN5" s="81"/>
      <c r="AO5" s="81"/>
    </row>
    <row r="6" spans="1:48" s="29" customFormat="1" ht="15.75" customHeight="1" x14ac:dyDescent="0.25">
      <c r="A6" s="27"/>
      <c r="B6" s="27"/>
      <c r="D6" s="27"/>
      <c r="E6" s="303" t="s">
        <v>219</v>
      </c>
      <c r="F6" s="304"/>
      <c r="G6" s="304"/>
      <c r="H6" s="304"/>
      <c r="I6" s="304"/>
      <c r="J6" s="304"/>
      <c r="K6" s="69"/>
      <c r="L6" s="302"/>
      <c r="M6" s="302"/>
      <c r="N6" s="302"/>
      <c r="O6" s="302"/>
      <c r="P6" s="302"/>
      <c r="Q6" s="49"/>
      <c r="R6" s="302"/>
      <c r="S6" s="302"/>
      <c r="T6" s="302"/>
      <c r="U6" s="302"/>
      <c r="V6" s="302"/>
      <c r="W6" s="49"/>
      <c r="X6" s="302"/>
      <c r="Y6" s="302"/>
      <c r="Z6" s="302"/>
      <c r="AA6" s="302"/>
      <c r="AB6" s="302"/>
      <c r="AC6" s="49"/>
      <c r="AD6" s="302"/>
      <c r="AE6" s="302"/>
      <c r="AF6" s="302"/>
      <c r="AG6" s="302"/>
      <c r="AH6" s="302"/>
      <c r="AI6" s="49"/>
      <c r="AJ6" s="302"/>
      <c r="AK6" s="302"/>
      <c r="AL6" s="302"/>
      <c r="AM6" s="302"/>
      <c r="AN6" s="302"/>
      <c r="AO6" s="49"/>
      <c r="AP6" s="302"/>
      <c r="AQ6" s="302"/>
      <c r="AR6" s="302"/>
      <c r="AS6" s="302"/>
      <c r="AT6" s="302"/>
    </row>
    <row r="7" spans="1:48" s="29" customFormat="1" x14ac:dyDescent="0.2">
      <c r="F7" s="249">
        <v>0.44</v>
      </c>
      <c r="G7" s="82" t="s">
        <v>185</v>
      </c>
      <c r="H7" s="82"/>
      <c r="I7" s="82"/>
      <c r="L7" s="35"/>
      <c r="M7" s="82"/>
      <c r="N7" s="82"/>
      <c r="O7" s="82"/>
      <c r="S7" s="82"/>
      <c r="T7" s="82"/>
      <c r="U7" s="82"/>
      <c r="X7" s="35"/>
      <c r="Y7" s="82"/>
      <c r="Z7" s="82"/>
      <c r="AA7" s="82"/>
      <c r="AD7" s="35"/>
      <c r="AE7" s="82"/>
      <c r="AF7" s="82"/>
      <c r="AG7" s="82"/>
      <c r="AJ7" s="35"/>
      <c r="AK7" s="82"/>
      <c r="AL7" s="82"/>
      <c r="AM7" s="82"/>
      <c r="AP7" s="35"/>
      <c r="AQ7" s="82"/>
      <c r="AR7" s="82"/>
      <c r="AS7" s="82"/>
      <c r="AV7" s="82"/>
    </row>
    <row r="8" spans="1:48" s="29" customFormat="1" x14ac:dyDescent="0.2">
      <c r="F8" s="35">
        <v>0</v>
      </c>
      <c r="G8" s="82" t="s">
        <v>205</v>
      </c>
      <c r="H8" s="82"/>
      <c r="I8" s="82"/>
      <c r="L8" s="35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82"/>
      <c r="Z8" s="82"/>
      <c r="AA8" s="82"/>
      <c r="AD8" s="35"/>
      <c r="AE8" s="82"/>
      <c r="AF8" s="82"/>
      <c r="AG8" s="82"/>
      <c r="AJ8" s="35"/>
      <c r="AK8" s="82"/>
      <c r="AL8" s="82"/>
      <c r="AM8" s="82"/>
      <c r="AP8" s="35"/>
      <c r="AQ8" s="82"/>
      <c r="AR8" s="82"/>
      <c r="AS8" s="82"/>
    </row>
    <row r="9" spans="1:48" s="29" customFormat="1" x14ac:dyDescent="0.2">
      <c r="C9" s="32"/>
      <c r="F9" s="226">
        <v>19.29</v>
      </c>
      <c r="G9" s="29" t="s">
        <v>193</v>
      </c>
      <c r="L9" s="35"/>
    </row>
    <row r="10" spans="1:48" s="29" customFormat="1" x14ac:dyDescent="0.2">
      <c r="C10" s="32"/>
      <c r="F10" s="35">
        <f>SUM(F7:F9)</f>
        <v>19.73</v>
      </c>
      <c r="G10" s="29" t="s">
        <v>194</v>
      </c>
      <c r="L10" s="35"/>
      <c r="R10" s="35"/>
      <c r="X10" s="35"/>
      <c r="AD10" s="35"/>
      <c r="AJ10" s="35"/>
      <c r="AP10" s="35"/>
    </row>
    <row r="11" spans="1:48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/>
      <c r="L11" s="86"/>
      <c r="M11" s="86"/>
      <c r="N11" s="86"/>
      <c r="O11" s="86"/>
      <c r="P11" s="86"/>
      <c r="Q11" s="87"/>
      <c r="R11" s="86"/>
      <c r="S11" s="86"/>
      <c r="T11" s="86"/>
      <c r="U11" s="86"/>
      <c r="V11" s="86"/>
      <c r="W11" s="87"/>
      <c r="X11" s="86"/>
      <c r="Y11" s="86"/>
      <c r="Z11" s="86"/>
      <c r="AA11" s="86"/>
      <c r="AB11" s="86"/>
      <c r="AC11" s="87"/>
      <c r="AD11" s="86"/>
      <c r="AE11" s="86"/>
      <c r="AF11" s="86"/>
      <c r="AG11" s="86"/>
      <c r="AH11" s="86"/>
      <c r="AI11" s="87"/>
      <c r="AJ11" s="86"/>
      <c r="AK11" s="86"/>
      <c r="AL11" s="86"/>
      <c r="AM11" s="86"/>
      <c r="AN11" s="86"/>
      <c r="AO11" s="87"/>
      <c r="AP11" s="86"/>
      <c r="AQ11" s="86"/>
      <c r="AR11" s="86"/>
      <c r="AS11" s="86"/>
      <c r="AT11" s="86"/>
    </row>
    <row r="12" spans="1:48" s="59" customFormat="1" ht="15.75" customHeight="1" x14ac:dyDescent="0.25">
      <c r="A12" s="36" t="s">
        <v>175</v>
      </c>
      <c r="B12" s="35">
        <f>F45/$D$3</f>
        <v>0</v>
      </c>
      <c r="C12" s="123">
        <f>1.56/12</f>
        <v>0.13</v>
      </c>
      <c r="D12" s="226">
        <v>0.1225</v>
      </c>
      <c r="E12" s="279">
        <v>0</v>
      </c>
      <c r="F12" s="35">
        <f>$F$7*(IF($C12-$D12&lt;0,0,ABS($C12-$D12)))</f>
        <v>3.300000000000003E-3</v>
      </c>
      <c r="G12" s="35">
        <f t="shared" ref="G12:G23" si="0">F12/$D$3</f>
        <v>9.7633136094674635E-3</v>
      </c>
      <c r="H12" s="29">
        <f>F$9*$B12</f>
        <v>0</v>
      </c>
      <c r="I12" s="35">
        <f>G12+H12</f>
        <v>9.7633136094674635E-3</v>
      </c>
      <c r="J12" s="249">
        <v>0</v>
      </c>
      <c r="K12" s="27"/>
      <c r="L12" s="276"/>
      <c r="M12" s="217"/>
      <c r="N12" s="29"/>
      <c r="O12" s="35"/>
      <c r="P12" s="35"/>
      <c r="Q12" s="27"/>
      <c r="R12" s="35"/>
      <c r="S12" s="35"/>
      <c r="T12" s="29"/>
      <c r="U12" s="35"/>
      <c r="V12" s="35"/>
      <c r="W12" s="27"/>
      <c r="X12" s="35"/>
      <c r="Y12" s="35"/>
      <c r="Z12" s="29"/>
      <c r="AA12" s="35"/>
      <c r="AB12" s="35"/>
      <c r="AC12" s="27"/>
      <c r="AD12" s="35"/>
      <c r="AE12" s="35"/>
      <c r="AF12" s="29"/>
      <c r="AG12" s="35"/>
      <c r="AH12" s="35"/>
      <c r="AI12" s="27"/>
      <c r="AJ12" s="86"/>
      <c r="AK12" s="86"/>
      <c r="AL12" s="86"/>
      <c r="AM12" s="86"/>
      <c r="AN12" s="86"/>
      <c r="AO12" s="27"/>
      <c r="AP12" s="86"/>
      <c r="AQ12" s="86"/>
      <c r="AR12" s="86"/>
      <c r="AS12" s="86"/>
      <c r="AT12" s="86"/>
    </row>
    <row r="13" spans="1:48" s="29" customFormat="1" ht="15.75" x14ac:dyDescent="0.25">
      <c r="A13" s="36" t="s">
        <v>21</v>
      </c>
      <c r="B13" s="35">
        <f>G45/$D$3</f>
        <v>0</v>
      </c>
      <c r="C13" s="35">
        <f>2.07/12</f>
        <v>0.17249999999999999</v>
      </c>
      <c r="D13" s="226">
        <v>0.21249999999999999</v>
      </c>
      <c r="E13" s="226">
        <v>0</v>
      </c>
      <c r="F13" s="35">
        <f>$F$7*(IF($C13-$D13&lt;0,0,ABS($C13-$D13)))</f>
        <v>0</v>
      </c>
      <c r="G13" s="35">
        <f t="shared" si="0"/>
        <v>0</v>
      </c>
      <c r="H13" s="29">
        <f>F$9*$B13</f>
        <v>0</v>
      </c>
      <c r="I13" s="35">
        <f t="shared" ref="I13:I22" si="1">G13+H13</f>
        <v>0</v>
      </c>
      <c r="J13" s="249">
        <v>0</v>
      </c>
      <c r="L13" s="276"/>
      <c r="M13" s="35"/>
      <c r="O13" s="35"/>
      <c r="P13" s="35"/>
      <c r="R13" s="35"/>
      <c r="S13" s="35"/>
      <c r="U13" s="35"/>
      <c r="V13" s="35"/>
      <c r="X13" s="35"/>
      <c r="Y13" s="35"/>
      <c r="AA13" s="35"/>
      <c r="AB13" s="35"/>
      <c r="AD13" s="35"/>
      <c r="AE13" s="35"/>
      <c r="AG13" s="35"/>
      <c r="AH13" s="35"/>
      <c r="AI13" s="35"/>
      <c r="AJ13" s="35"/>
      <c r="AK13" s="35"/>
      <c r="AM13" s="35"/>
      <c r="AN13" s="35"/>
      <c r="AO13" s="90"/>
      <c r="AP13" s="35"/>
      <c r="AQ13" s="35"/>
      <c r="AS13" s="35"/>
      <c r="AT13" s="35"/>
    </row>
    <row r="14" spans="1:48" s="29" customFormat="1" ht="15.75" x14ac:dyDescent="0.25">
      <c r="A14" s="36" t="s">
        <v>20</v>
      </c>
      <c r="B14" s="35">
        <f>H45/$D$3</f>
        <v>8.9631550305707616E-2</v>
      </c>
      <c r="C14" s="35">
        <f>4.33/12</f>
        <v>0.36083333333333334</v>
      </c>
      <c r="D14" s="226">
        <v>8.5833333333333331E-2</v>
      </c>
      <c r="E14" s="279">
        <v>77.479131585833329</v>
      </c>
      <c r="F14" s="35">
        <f t="shared" ref="F14:F23" si="2">$F$7*(IF($C14-$D14&lt;0,0,ABS($C14-$D14)))</f>
        <v>0.12100000000000001</v>
      </c>
      <c r="G14" s="35">
        <f t="shared" si="0"/>
        <v>0.35798816568047337</v>
      </c>
      <c r="H14" s="29">
        <f>F$9*$B14</f>
        <v>1.7289926053970999</v>
      </c>
      <c r="I14" s="35">
        <f t="shared" si="1"/>
        <v>2.0869807710775734</v>
      </c>
      <c r="J14" s="35">
        <f>IF(E14-I14&gt;0,0,ABS(E14-I14))</f>
        <v>0</v>
      </c>
      <c r="L14" s="276"/>
      <c r="M14" s="35"/>
      <c r="O14" s="35"/>
      <c r="P14" s="35"/>
      <c r="R14" s="35"/>
      <c r="S14" s="35"/>
      <c r="U14" s="35"/>
      <c r="V14" s="35"/>
      <c r="W14" s="35"/>
      <c r="X14" s="35"/>
      <c r="Y14" s="35"/>
      <c r="AA14" s="35"/>
      <c r="AB14" s="35"/>
      <c r="AC14" s="35"/>
      <c r="AD14" s="35"/>
      <c r="AE14" s="35"/>
      <c r="AG14" s="35"/>
      <c r="AH14" s="35"/>
      <c r="AI14" s="35"/>
      <c r="AJ14" s="35"/>
      <c r="AK14" s="35"/>
      <c r="AM14" s="35"/>
      <c r="AN14" s="35"/>
      <c r="AO14" s="90"/>
      <c r="AP14" s="35"/>
      <c r="AQ14" s="35"/>
      <c r="AS14" s="35"/>
      <c r="AT14" s="35"/>
    </row>
    <row r="15" spans="1:48" s="29" customFormat="1" ht="15.75" x14ac:dyDescent="0.25">
      <c r="A15" s="36" t="s">
        <v>22</v>
      </c>
      <c r="B15" s="35">
        <f>I45/$D$3</f>
        <v>0.47056563910496496</v>
      </c>
      <c r="C15" s="35">
        <f>5.64/12</f>
        <v>0.47</v>
      </c>
      <c r="D15" s="226">
        <v>1.4999999999999999E-2</v>
      </c>
      <c r="E15" s="279">
        <v>161.71892066666663</v>
      </c>
      <c r="F15" s="35">
        <f t="shared" si="2"/>
        <v>0.20019999999999999</v>
      </c>
      <c r="G15" s="35">
        <f t="shared" si="0"/>
        <v>0.5923076923076922</v>
      </c>
      <c r="H15" s="29">
        <f t="shared" ref="H15:H22" si="3">F$9*$B15</f>
        <v>9.0772111783347729</v>
      </c>
      <c r="I15" s="35">
        <f t="shared" si="1"/>
        <v>9.6695188706424648</v>
      </c>
      <c r="J15" s="35">
        <f t="shared" ref="J15:J22" si="4">IF(E15-I15&gt;0,0,ABS(E15-I15))</f>
        <v>0</v>
      </c>
      <c r="L15" s="276"/>
      <c r="M15" s="35"/>
      <c r="O15" s="35"/>
      <c r="P15" s="35"/>
      <c r="R15" s="35"/>
      <c r="S15" s="35"/>
      <c r="U15" s="35"/>
      <c r="V15" s="35"/>
      <c r="W15" s="35"/>
      <c r="X15" s="35"/>
      <c r="Y15" s="35"/>
      <c r="AA15" s="35"/>
      <c r="AB15" s="35"/>
      <c r="AC15" s="35"/>
      <c r="AD15" s="35"/>
      <c r="AE15" s="35"/>
      <c r="AG15" s="35"/>
      <c r="AH15" s="35"/>
      <c r="AI15" s="35"/>
      <c r="AJ15" s="35"/>
      <c r="AK15" s="35"/>
      <c r="AM15" s="35"/>
      <c r="AN15" s="35"/>
      <c r="AO15" s="90"/>
      <c r="AP15" s="35"/>
      <c r="AQ15" s="35"/>
      <c r="AS15" s="35"/>
      <c r="AT15" s="35"/>
    </row>
    <row r="16" spans="1:48" s="29" customFormat="1" ht="15.75" x14ac:dyDescent="0.25">
      <c r="A16" s="36" t="s">
        <v>23</v>
      </c>
      <c r="B16" s="35">
        <f>J45/$D$3</f>
        <v>0.8201286852972246</v>
      </c>
      <c r="C16" s="35">
        <f>6.5/12</f>
        <v>0.54166666666666663</v>
      </c>
      <c r="D16" s="226">
        <v>1.2499999999999999E-2</v>
      </c>
      <c r="E16" s="279">
        <v>198.54534699999996</v>
      </c>
      <c r="F16" s="35">
        <f t="shared" si="2"/>
        <v>0.23283333333333334</v>
      </c>
      <c r="G16" s="35">
        <f t="shared" si="0"/>
        <v>0.68885601577909261</v>
      </c>
      <c r="H16" s="29">
        <f t="shared" si="3"/>
        <v>15.820282339383462</v>
      </c>
      <c r="I16" s="35">
        <f t="shared" si="1"/>
        <v>16.509138355162555</v>
      </c>
      <c r="J16" s="35">
        <f t="shared" si="4"/>
        <v>0</v>
      </c>
      <c r="L16" s="276"/>
      <c r="M16" s="35"/>
      <c r="O16" s="35"/>
      <c r="P16" s="35"/>
      <c r="R16" s="35"/>
      <c r="S16" s="35"/>
      <c r="U16" s="35"/>
      <c r="V16" s="35"/>
      <c r="W16" s="35"/>
      <c r="X16" s="35"/>
      <c r="Y16" s="35"/>
      <c r="AA16" s="35"/>
      <c r="AB16" s="35"/>
      <c r="AC16" s="35"/>
      <c r="AD16" s="35"/>
      <c r="AE16" s="35"/>
      <c r="AG16" s="35"/>
      <c r="AH16" s="35"/>
      <c r="AI16" s="35"/>
      <c r="AJ16" s="35"/>
      <c r="AK16" s="35"/>
      <c r="AM16" s="35"/>
      <c r="AN16" s="35"/>
      <c r="AO16" s="90"/>
      <c r="AP16" s="35"/>
      <c r="AQ16" s="35"/>
      <c r="AS16" s="35"/>
      <c r="AT16" s="35"/>
    </row>
    <row r="17" spans="1:46" s="29" customFormat="1" ht="15.75" x14ac:dyDescent="0.25">
      <c r="A17" s="36" t="s">
        <v>24</v>
      </c>
      <c r="B17" s="35">
        <f>K45/$D$3</f>
        <v>0.93216812317935915</v>
      </c>
      <c r="C17" s="35">
        <f>7.76/12</f>
        <v>0.64666666666666661</v>
      </c>
      <c r="D17" s="226">
        <v>0.20666666666666667</v>
      </c>
      <c r="E17" s="279">
        <v>166.85346333999999</v>
      </c>
      <c r="F17" s="35">
        <f t="shared" si="2"/>
        <v>0.19359999999999997</v>
      </c>
      <c r="G17" s="35">
        <f t="shared" si="0"/>
        <v>0.57278106508875726</v>
      </c>
      <c r="H17" s="29">
        <f t="shared" si="3"/>
        <v>17.981523096129838</v>
      </c>
      <c r="I17" s="35">
        <f t="shared" si="1"/>
        <v>18.554304161218596</v>
      </c>
      <c r="J17" s="35">
        <f t="shared" si="4"/>
        <v>0</v>
      </c>
      <c r="L17" s="276"/>
      <c r="M17" s="35"/>
      <c r="O17" s="35"/>
      <c r="P17" s="35"/>
      <c r="R17" s="35"/>
      <c r="S17" s="35"/>
      <c r="U17" s="35"/>
      <c r="V17" s="35"/>
      <c r="W17" s="35"/>
      <c r="X17" s="35"/>
      <c r="Y17" s="35"/>
      <c r="AA17" s="35"/>
      <c r="AB17" s="35"/>
      <c r="AC17" s="35"/>
      <c r="AD17" s="35"/>
      <c r="AE17" s="35"/>
      <c r="AG17" s="35"/>
      <c r="AH17" s="35"/>
      <c r="AI17" s="35"/>
      <c r="AJ17" s="35"/>
      <c r="AK17" s="35"/>
      <c r="AM17" s="35"/>
      <c r="AN17" s="35"/>
      <c r="AO17" s="90"/>
      <c r="AP17" s="35"/>
      <c r="AQ17" s="35"/>
      <c r="AS17" s="35"/>
      <c r="AT17" s="35"/>
    </row>
    <row r="18" spans="1:46" s="29" customFormat="1" ht="15.75" x14ac:dyDescent="0.25">
      <c r="A18" s="36" t="s">
        <v>25</v>
      </c>
      <c r="B18" s="35">
        <f>L45/$D$3</f>
        <v>0.90527865808764674</v>
      </c>
      <c r="C18" s="35">
        <f>5.95/12</f>
        <v>0.49583333333333335</v>
      </c>
      <c r="D18" s="226">
        <v>0.24416666666666667</v>
      </c>
      <c r="E18" s="279">
        <v>166.37346359999998</v>
      </c>
      <c r="F18" s="35">
        <f t="shared" si="2"/>
        <v>0.11073333333333335</v>
      </c>
      <c r="G18" s="35">
        <f t="shared" si="0"/>
        <v>0.32761341222879686</v>
      </c>
      <c r="H18" s="29">
        <f t="shared" si="3"/>
        <v>17.462825314510706</v>
      </c>
      <c r="I18" s="35">
        <f t="shared" si="1"/>
        <v>17.790438726739502</v>
      </c>
      <c r="J18" s="35">
        <f t="shared" si="4"/>
        <v>0</v>
      </c>
      <c r="L18" s="276"/>
      <c r="M18" s="35"/>
      <c r="O18" s="35"/>
      <c r="P18" s="35"/>
      <c r="R18" s="35"/>
      <c r="S18" s="35"/>
      <c r="U18" s="35"/>
      <c r="V18" s="35"/>
      <c r="W18" s="35"/>
      <c r="X18" s="35"/>
      <c r="Y18" s="35"/>
      <c r="AA18" s="35"/>
      <c r="AB18" s="35"/>
      <c r="AC18" s="35"/>
      <c r="AD18" s="35"/>
      <c r="AE18" s="35"/>
      <c r="AG18" s="35"/>
      <c r="AH18" s="35"/>
      <c r="AI18" s="35"/>
      <c r="AJ18" s="35"/>
      <c r="AK18" s="35"/>
      <c r="AM18" s="35"/>
      <c r="AN18" s="35"/>
      <c r="AO18" s="90"/>
      <c r="AP18" s="35"/>
      <c r="AQ18" s="35"/>
      <c r="AS18" s="35"/>
      <c r="AT18" s="35"/>
    </row>
    <row r="19" spans="1:46" s="29" customFormat="1" ht="15.75" x14ac:dyDescent="0.25">
      <c r="A19" s="36" t="s">
        <v>26</v>
      </c>
      <c r="B19" s="35">
        <f>M45/$D$3</f>
        <v>0.82236947405486716</v>
      </c>
      <c r="C19" s="35">
        <f>4.94/12</f>
        <v>0.41166666666666668</v>
      </c>
      <c r="D19" s="226">
        <v>0.22916666666666666</v>
      </c>
      <c r="E19" s="279">
        <v>146.37611905999995</v>
      </c>
      <c r="F19" s="35">
        <f t="shared" si="2"/>
        <v>8.030000000000001E-2</v>
      </c>
      <c r="G19" s="35">
        <f t="shared" si="0"/>
        <v>0.23757396449704143</v>
      </c>
      <c r="H19" s="29">
        <f t="shared" si="3"/>
        <v>15.863507154518386</v>
      </c>
      <c r="I19" s="35">
        <f t="shared" si="1"/>
        <v>16.101081119015426</v>
      </c>
      <c r="J19" s="35">
        <f t="shared" si="4"/>
        <v>0</v>
      </c>
      <c r="L19" s="276"/>
      <c r="M19" s="35"/>
      <c r="O19" s="35"/>
      <c r="P19" s="35"/>
      <c r="R19" s="35"/>
      <c r="S19" s="35"/>
      <c r="U19" s="35"/>
      <c r="V19" s="35"/>
      <c r="W19" s="35"/>
      <c r="X19" s="35"/>
      <c r="Y19" s="35"/>
      <c r="AA19" s="35"/>
      <c r="AB19" s="35"/>
      <c r="AC19" s="35"/>
      <c r="AD19" s="35"/>
      <c r="AE19" s="35"/>
      <c r="AG19" s="35"/>
      <c r="AH19" s="35"/>
      <c r="AI19" s="35"/>
      <c r="AJ19" s="35"/>
      <c r="AK19" s="35"/>
      <c r="AM19" s="35"/>
      <c r="AN19" s="35"/>
      <c r="AO19" s="90"/>
      <c r="AP19" s="35"/>
      <c r="AQ19" s="35"/>
      <c r="AS19" s="35"/>
      <c r="AT19" s="35"/>
    </row>
    <row r="20" spans="1:46" s="29" customFormat="1" ht="15.75" x14ac:dyDescent="0.25">
      <c r="A20" s="36" t="s">
        <v>27</v>
      </c>
      <c r="B20" s="35">
        <f>N45/$D$3</f>
        <v>0.78203527641729886</v>
      </c>
      <c r="C20" s="35">
        <f>4.38/12</f>
        <v>0.36499999999999999</v>
      </c>
      <c r="D20" s="226">
        <v>3.6666666666666667E-2</v>
      </c>
      <c r="E20" s="279">
        <v>147.76851500000001</v>
      </c>
      <c r="F20" s="35">
        <f t="shared" si="2"/>
        <v>0.14446666666666666</v>
      </c>
      <c r="G20" s="35">
        <f t="shared" si="0"/>
        <v>0.42741617357001965</v>
      </c>
      <c r="H20" s="29">
        <f t="shared" si="3"/>
        <v>15.085460482089694</v>
      </c>
      <c r="I20" s="35">
        <f t="shared" si="1"/>
        <v>15.512876655659714</v>
      </c>
      <c r="J20" s="35">
        <f t="shared" si="4"/>
        <v>0</v>
      </c>
      <c r="L20" s="276"/>
      <c r="M20" s="35"/>
      <c r="O20" s="35"/>
      <c r="P20" s="35"/>
      <c r="R20" s="35"/>
      <c r="S20" s="35"/>
      <c r="U20" s="35"/>
      <c r="V20" s="35"/>
      <c r="W20" s="35"/>
      <c r="X20" s="35"/>
      <c r="Y20" s="35"/>
      <c r="AA20" s="35"/>
      <c r="AB20" s="35"/>
      <c r="AC20" s="35"/>
      <c r="AD20" s="35"/>
      <c r="AE20" s="35"/>
      <c r="AG20" s="35"/>
      <c r="AH20" s="35"/>
      <c r="AI20" s="35"/>
      <c r="AJ20" s="35"/>
      <c r="AK20" s="35"/>
      <c r="AM20" s="35"/>
      <c r="AN20" s="35"/>
      <c r="AO20" s="90"/>
      <c r="AP20" s="35"/>
      <c r="AQ20" s="35"/>
      <c r="AS20" s="35"/>
      <c r="AT20" s="35"/>
    </row>
    <row r="21" spans="1:46" s="29" customFormat="1" ht="15.75" x14ac:dyDescent="0.25">
      <c r="A21" s="36" t="s">
        <v>28</v>
      </c>
      <c r="B21" s="35">
        <f>O45/$D$3</f>
        <v>0.49745510419667727</v>
      </c>
      <c r="C21" s="35">
        <f>3.68/12</f>
        <v>0.3066666666666667</v>
      </c>
      <c r="D21" s="226">
        <v>3.4166666666666665E-2</v>
      </c>
      <c r="E21" s="226">
        <v>143.206534</v>
      </c>
      <c r="F21" s="35">
        <f t="shared" si="2"/>
        <v>0.11990000000000001</v>
      </c>
      <c r="G21" s="35">
        <f t="shared" si="0"/>
        <v>0.35473372781065088</v>
      </c>
      <c r="H21" s="29">
        <f t="shared" si="3"/>
        <v>9.5959089599539045</v>
      </c>
      <c r="I21" s="35">
        <f t="shared" si="1"/>
        <v>9.9506426877645549</v>
      </c>
      <c r="J21" s="35">
        <f t="shared" si="4"/>
        <v>0</v>
      </c>
      <c r="L21" s="276"/>
      <c r="M21" s="35"/>
      <c r="O21" s="35"/>
      <c r="P21" s="35"/>
      <c r="R21" s="35"/>
      <c r="S21" s="35"/>
      <c r="U21" s="35"/>
      <c r="V21" s="35"/>
      <c r="W21" s="35"/>
      <c r="X21" s="35"/>
      <c r="Y21" s="35"/>
      <c r="AA21" s="35"/>
      <c r="AB21" s="35"/>
      <c r="AC21" s="35"/>
      <c r="AD21" s="35"/>
      <c r="AE21" s="35"/>
      <c r="AG21" s="35"/>
      <c r="AH21" s="35"/>
      <c r="AI21" s="35"/>
      <c r="AJ21" s="35"/>
      <c r="AK21" s="35"/>
      <c r="AM21" s="35"/>
      <c r="AN21" s="35"/>
      <c r="AO21" s="90"/>
      <c r="AP21" s="35"/>
      <c r="AQ21" s="35"/>
      <c r="AS21" s="35"/>
      <c r="AT21" s="35"/>
    </row>
    <row r="22" spans="1:46" s="29" customFormat="1" ht="15.75" x14ac:dyDescent="0.25">
      <c r="A22" s="36" t="s">
        <v>29</v>
      </c>
      <c r="B22" s="35">
        <f>P45/$D$3</f>
        <v>6.4982873971638003E-2</v>
      </c>
      <c r="C22" s="35">
        <f>1.92/12</f>
        <v>0.16</v>
      </c>
      <c r="D22" s="226">
        <v>4.4166666666666667E-2</v>
      </c>
      <c r="E22" s="279">
        <v>114.22803730000003</v>
      </c>
      <c r="F22" s="35">
        <f t="shared" si="2"/>
        <v>5.0966666666666674E-2</v>
      </c>
      <c r="G22" s="35">
        <f t="shared" si="0"/>
        <v>0.1507889546351085</v>
      </c>
      <c r="H22" s="29">
        <f t="shared" si="3"/>
        <v>1.2535196389128971</v>
      </c>
      <c r="I22" s="35">
        <f t="shared" si="1"/>
        <v>1.4043085935480055</v>
      </c>
      <c r="J22" s="35">
        <f t="shared" si="4"/>
        <v>0</v>
      </c>
      <c r="L22" s="276"/>
      <c r="M22" s="35"/>
      <c r="O22" s="35"/>
      <c r="P22" s="35"/>
      <c r="R22" s="35"/>
      <c r="S22" s="35"/>
      <c r="U22" s="35"/>
      <c r="V22" s="35"/>
      <c r="W22" s="35"/>
      <c r="X22" s="35"/>
      <c r="Y22" s="35"/>
      <c r="AA22" s="35"/>
      <c r="AB22" s="35"/>
      <c r="AC22" s="35"/>
      <c r="AD22" s="35"/>
      <c r="AE22" s="35"/>
      <c r="AG22" s="35"/>
      <c r="AH22" s="35"/>
      <c r="AI22" s="35"/>
      <c r="AJ22" s="35"/>
      <c r="AK22" s="35"/>
      <c r="AM22" s="35"/>
      <c r="AN22" s="35"/>
      <c r="AO22" s="90"/>
      <c r="AP22" s="35"/>
      <c r="AQ22" s="35"/>
      <c r="AS22" s="35"/>
      <c r="AT22" s="35"/>
    </row>
    <row r="23" spans="1:46" s="29" customFormat="1" ht="15.75" x14ac:dyDescent="0.25">
      <c r="A23" s="36" t="s">
        <v>204</v>
      </c>
      <c r="B23" s="35">
        <f>Q45/$D$3</f>
        <v>0</v>
      </c>
      <c r="C23" s="123">
        <f>1.56/12</f>
        <v>0.13</v>
      </c>
      <c r="D23" s="226">
        <v>2.5000000000000001E-3</v>
      </c>
      <c r="E23" s="226">
        <v>1.7652883000000001</v>
      </c>
      <c r="F23" s="35">
        <f t="shared" si="2"/>
        <v>5.6100000000000004E-2</v>
      </c>
      <c r="G23" s="35">
        <f t="shared" si="0"/>
        <v>0.16597633136094675</v>
      </c>
      <c r="H23" s="29">
        <f>F$9*$B23</f>
        <v>0</v>
      </c>
      <c r="I23" s="35">
        <f>G23+H23</f>
        <v>0.16597633136094675</v>
      </c>
      <c r="J23" s="249">
        <v>0</v>
      </c>
      <c r="L23" s="276"/>
      <c r="M23" s="35"/>
      <c r="O23" s="35"/>
      <c r="P23" s="35"/>
      <c r="R23" s="35"/>
      <c r="S23" s="35"/>
      <c r="U23" s="35"/>
      <c r="V23" s="35"/>
      <c r="X23" s="35"/>
      <c r="Y23" s="35"/>
      <c r="AA23" s="35"/>
      <c r="AB23" s="35"/>
      <c r="AD23" s="35"/>
      <c r="AE23" s="35"/>
      <c r="AG23" s="35"/>
      <c r="AH23" s="35"/>
      <c r="AJ23" s="35"/>
      <c r="AK23" s="35"/>
      <c r="AL23" s="35"/>
      <c r="AM23" s="35"/>
      <c r="AN23" s="35"/>
      <c r="AP23" s="35"/>
      <c r="AQ23" s="35"/>
      <c r="AR23" s="35"/>
      <c r="AS23" s="35"/>
      <c r="AT23" s="35"/>
    </row>
    <row r="24" spans="1:46" s="33" customFormat="1" ht="15.75" x14ac:dyDescent="0.25">
      <c r="A24" s="33" t="s">
        <v>34</v>
      </c>
      <c r="B24" s="33">
        <f t="shared" ref="B24:J24" si="5">SUM(B12:B23)</f>
        <v>5.384615384615385</v>
      </c>
      <c r="C24" s="33">
        <f t="shared" si="5"/>
        <v>4.190833333333333</v>
      </c>
      <c r="D24" s="33">
        <f t="shared" si="5"/>
        <v>1.2458333333333333</v>
      </c>
      <c r="E24" s="33">
        <f t="shared" si="5"/>
        <v>1324.3148198525</v>
      </c>
      <c r="F24" s="33">
        <f t="shared" si="5"/>
        <v>1.3133999999999999</v>
      </c>
      <c r="G24" s="33">
        <f t="shared" si="5"/>
        <v>3.8857988165680473</v>
      </c>
      <c r="H24" s="33">
        <f t="shared" si="5"/>
        <v>103.86923076923075</v>
      </c>
      <c r="I24" s="33">
        <f t="shared" si="5"/>
        <v>107.75502958579881</v>
      </c>
      <c r="J24" s="33">
        <f t="shared" si="5"/>
        <v>0</v>
      </c>
    </row>
    <row r="25" spans="1:46" s="29" customFormat="1" x14ac:dyDescent="0.2">
      <c r="A25" s="172" t="s">
        <v>339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1" t="s">
        <v>331</v>
      </c>
      <c r="U25" s="206"/>
      <c r="V25" s="206"/>
    </row>
    <row r="26" spans="1:46" s="165" customFormat="1" ht="18" x14ac:dyDescent="0.25">
      <c r="A26" s="98" t="s">
        <v>35</v>
      </c>
      <c r="B26" s="99"/>
      <c r="C26" s="102"/>
      <c r="D26" s="103"/>
      <c r="E26" s="103"/>
      <c r="F26" s="305" t="s">
        <v>117</v>
      </c>
      <c r="G26" s="306"/>
      <c r="H26" s="306"/>
      <c r="I26" s="306"/>
      <c r="J26" s="306"/>
      <c r="K26" s="306"/>
      <c r="L26" s="307" t="s">
        <v>118</v>
      </c>
      <c r="M26" s="306"/>
      <c r="N26" s="306"/>
      <c r="O26" s="306"/>
      <c r="P26" s="306"/>
      <c r="Q26" s="306"/>
      <c r="R26" s="137"/>
      <c r="S26" s="308" t="s">
        <v>71</v>
      </c>
      <c r="T26" s="309"/>
      <c r="U26" s="309"/>
      <c r="V26" s="309"/>
      <c r="W26" s="309"/>
      <c r="X26" s="309"/>
      <c r="Y26" s="162"/>
      <c r="Z26" s="164"/>
      <c r="AA26" s="48"/>
      <c r="AB26" s="48"/>
      <c r="AC26" s="48"/>
      <c r="AD26" s="48"/>
      <c r="AE26" s="48"/>
      <c r="AF26" s="48"/>
      <c r="AG26" s="162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</row>
    <row r="27" spans="1:46" s="2" customFormat="1" ht="72.75" customHeight="1" x14ac:dyDescent="0.25">
      <c r="A27" s="89"/>
      <c r="B27" s="89"/>
      <c r="C27" s="105" t="s">
        <v>8</v>
      </c>
      <c r="D27" s="105" t="s">
        <v>9</v>
      </c>
      <c r="E27" s="105"/>
      <c r="F27" s="83" t="s">
        <v>200</v>
      </c>
      <c r="G27" s="86" t="s">
        <v>0</v>
      </c>
      <c r="H27" s="83" t="s">
        <v>2</v>
      </c>
      <c r="I27" s="83" t="s">
        <v>3</v>
      </c>
      <c r="J27" s="83" t="s">
        <v>288</v>
      </c>
      <c r="K27" s="83" t="s">
        <v>289</v>
      </c>
      <c r="L27" s="89"/>
      <c r="M27" s="83" t="s">
        <v>202</v>
      </c>
      <c r="N27" s="86" t="s">
        <v>0</v>
      </c>
      <c r="O27" s="83" t="s">
        <v>289</v>
      </c>
      <c r="P27" s="83" t="s">
        <v>201</v>
      </c>
      <c r="Q27" s="86" t="s">
        <v>0</v>
      </c>
      <c r="S27" s="86" t="s">
        <v>119</v>
      </c>
      <c r="T27" s="83" t="s">
        <v>1</v>
      </c>
      <c r="U27" s="83" t="s">
        <v>4</v>
      </c>
      <c r="V27" s="86" t="s">
        <v>290</v>
      </c>
      <c r="W27" s="86" t="s">
        <v>120</v>
      </c>
      <c r="X27" s="86" t="s">
        <v>291</v>
      </c>
      <c r="Y27" s="83"/>
      <c r="Z27" s="86"/>
      <c r="AA27" s="83"/>
      <c r="AB27" s="83"/>
      <c r="AC27" s="86"/>
      <c r="AD27" s="86"/>
      <c r="AE27" s="86"/>
      <c r="AG27" s="59"/>
      <c r="AH27" s="3"/>
      <c r="AI27" s="29"/>
      <c r="AJ27" s="3"/>
      <c r="AK27" s="32"/>
      <c r="AL27" s="29"/>
    </row>
    <row r="28" spans="1:46" ht="15.75" x14ac:dyDescent="0.25">
      <c r="A28" s="28" t="s">
        <v>235</v>
      </c>
      <c r="B28" s="29"/>
      <c r="C28" s="35">
        <f>B24*D3</f>
        <v>1.8200000000000003</v>
      </c>
      <c r="E28" s="35"/>
      <c r="F28" s="35">
        <f>($F9+$L9+$R9+$X9+$AD9+$AJ9)-F29</f>
        <v>19.29</v>
      </c>
      <c r="G28" s="35">
        <f>F28*$C28</f>
        <v>35.107800000000005</v>
      </c>
      <c r="H28" s="29">
        <f>H24+N24+T24+Z24+AF24+AL24</f>
        <v>103.86923076923075</v>
      </c>
      <c r="I28" s="29"/>
      <c r="J28" s="29"/>
      <c r="K28" s="29">
        <f>G28*J31</f>
        <v>0</v>
      </c>
      <c r="L28" s="29"/>
      <c r="M28" s="249">
        <v>29.35</v>
      </c>
      <c r="N28" s="35">
        <f>M28*$C28</f>
        <v>53.417000000000009</v>
      </c>
      <c r="O28" s="29">
        <f>J31*N28</f>
        <v>0</v>
      </c>
      <c r="P28" s="226">
        <v>31.76</v>
      </c>
      <c r="Q28" s="35">
        <f>P28*$C28</f>
        <v>57.803200000000011</v>
      </c>
      <c r="S28" s="29">
        <f>F28+M28+P28</f>
        <v>80.400000000000006</v>
      </c>
      <c r="T28" s="29">
        <f>G28+N28+Q28</f>
        <v>146.32800000000003</v>
      </c>
      <c r="U28" s="29">
        <f>O28+K28</f>
        <v>0</v>
      </c>
      <c r="V28" s="29">
        <f>T28-U28</f>
        <v>146.32800000000003</v>
      </c>
      <c r="W28" s="29"/>
      <c r="X28" s="29"/>
      <c r="Y28" s="29"/>
      <c r="Z28" s="29"/>
      <c r="AA28" s="3"/>
      <c r="AB28" s="29"/>
      <c r="AC28" s="29"/>
      <c r="AD28" s="29"/>
      <c r="AE28" s="29"/>
      <c r="AG28" s="29"/>
      <c r="AH28" s="30"/>
      <c r="AI28" s="30"/>
      <c r="AM28" s="29"/>
    </row>
    <row r="29" spans="1:46" ht="15.75" x14ac:dyDescent="0.25">
      <c r="A29" s="28" t="s">
        <v>236</v>
      </c>
      <c r="B29" s="29"/>
      <c r="C29" s="29"/>
      <c r="D29" s="35"/>
      <c r="E29" s="35"/>
      <c r="F29" s="35"/>
      <c r="G29" s="35"/>
      <c r="H29" s="29"/>
      <c r="I29" s="29"/>
      <c r="J29" s="29"/>
      <c r="K29" s="29"/>
      <c r="L29" s="29"/>
      <c r="M29" s="35">
        <v>0</v>
      </c>
      <c r="N29" s="35"/>
      <c r="O29" s="29"/>
      <c r="P29" s="29">
        <v>0</v>
      </c>
      <c r="Q29" s="35"/>
      <c r="S29" s="29"/>
      <c r="T29" s="29"/>
      <c r="U29" s="29"/>
      <c r="V29" s="29"/>
      <c r="W29" s="29"/>
      <c r="X29" s="29"/>
      <c r="Y29" s="29"/>
      <c r="Z29" s="29"/>
      <c r="AA29" s="3"/>
      <c r="AB29" s="29"/>
      <c r="AC29" s="29"/>
      <c r="AD29" s="29"/>
      <c r="AE29" s="29"/>
      <c r="AG29" s="29"/>
      <c r="AH29" s="29"/>
      <c r="AI29" s="3"/>
      <c r="AJ29" s="29"/>
      <c r="AK29" s="29"/>
      <c r="AL29" s="29"/>
      <c r="AM29" s="29"/>
    </row>
    <row r="30" spans="1:46" s="29" customFormat="1" ht="15.75" x14ac:dyDescent="0.25">
      <c r="A30" s="29" t="s">
        <v>48</v>
      </c>
      <c r="E30" s="35"/>
      <c r="F30" s="35">
        <f>F7+L7+R7+X7+AD7+AJ7</f>
        <v>0.44</v>
      </c>
      <c r="G30" s="35">
        <f>F30*($C24-$D24)</f>
        <v>1.2957999999999998</v>
      </c>
      <c r="H30" s="29">
        <f>G24+M24+S24+Y24+AE24+AK24</f>
        <v>3.8857988165680473</v>
      </c>
      <c r="K30" s="29">
        <f>G30*J31</f>
        <v>0</v>
      </c>
      <c r="M30" s="249">
        <v>2.42</v>
      </c>
      <c r="N30" s="35">
        <f>M30*($C24-$D24)</f>
        <v>7.1268999999999982</v>
      </c>
      <c r="O30" s="35">
        <f>J31*N30</f>
        <v>0</v>
      </c>
      <c r="P30" s="226">
        <v>1.28</v>
      </c>
      <c r="Q30" s="35">
        <f>P30*($C24-$D24)</f>
        <v>3.7695999999999992</v>
      </c>
      <c r="R30" s="35"/>
      <c r="S30" s="29">
        <f>F30+M30+P30</f>
        <v>4.1399999999999997</v>
      </c>
      <c r="T30" s="29">
        <f>G30+N30+Q30</f>
        <v>12.192299999999998</v>
      </c>
      <c r="U30" s="29">
        <f>O30+K30</f>
        <v>0</v>
      </c>
      <c r="V30" s="29">
        <f>T30-U30</f>
        <v>12.192299999999998</v>
      </c>
      <c r="W30" s="32"/>
      <c r="AA30" s="3"/>
      <c r="AD30" s="32"/>
      <c r="AI30" s="3"/>
      <c r="AJ30" s="35"/>
    </row>
    <row r="31" spans="1:46" ht="15.75" x14ac:dyDescent="0.25">
      <c r="A31" s="3" t="s">
        <v>71</v>
      </c>
      <c r="B31" s="29"/>
      <c r="D31" s="35"/>
      <c r="E31" s="35"/>
      <c r="F31" s="35">
        <f>SUM(F28:F30)</f>
        <v>19.73</v>
      </c>
      <c r="G31" s="35">
        <f>SUM(G28:G30)</f>
        <v>36.403600000000004</v>
      </c>
      <c r="H31" s="35">
        <f>SUM(H28:H30)</f>
        <v>107.75502958579879</v>
      </c>
      <c r="I31" s="29">
        <f>J24+AB24</f>
        <v>0</v>
      </c>
      <c r="J31" s="33">
        <f>I31/H31</f>
        <v>0</v>
      </c>
      <c r="K31" s="35">
        <f>J31*G31</f>
        <v>0</v>
      </c>
      <c r="L31" s="29"/>
      <c r="M31" s="35">
        <f>SUM(M28:M30)</f>
        <v>31.770000000000003</v>
      </c>
      <c r="N31" s="35">
        <f>SUM(N28:N30)</f>
        <v>60.543900000000008</v>
      </c>
      <c r="O31" s="35">
        <f>SUM(O28:O30)</f>
        <v>0</v>
      </c>
      <c r="P31" s="35">
        <f>SUM(P28:P30)</f>
        <v>33.04</v>
      </c>
      <c r="Q31" s="35">
        <f>SUM(Q28:Q30)</f>
        <v>61.572800000000008</v>
      </c>
      <c r="S31" s="29">
        <f>SUM(S28:S30)</f>
        <v>84.54</v>
      </c>
      <c r="T31" s="29">
        <f>SUM(T28:T30)</f>
        <v>158.52030000000002</v>
      </c>
      <c r="U31" s="29">
        <f>SUM(U28:U30)</f>
        <v>0</v>
      </c>
      <c r="V31" s="29">
        <f>SUM(V28:V30)</f>
        <v>158.52030000000002</v>
      </c>
      <c r="W31" s="35">
        <f>(V31-Q31)*0.1+(Q31*0.02)</f>
        <v>10.926206000000002</v>
      </c>
      <c r="X31" s="29">
        <f>W31+V31</f>
        <v>169.44650600000003</v>
      </c>
      <c r="Y31" s="29"/>
      <c r="Z31" s="3"/>
      <c r="AA31" s="3"/>
      <c r="AB31" s="3"/>
      <c r="AC31" s="3"/>
      <c r="AD31" s="27"/>
      <c r="AE31" s="3"/>
      <c r="AG31" s="29"/>
      <c r="AH31" s="29"/>
      <c r="AI31" s="3"/>
      <c r="AJ31" s="35"/>
      <c r="AK31" s="29"/>
      <c r="AL31" s="29"/>
      <c r="AM31" s="29"/>
    </row>
    <row r="32" spans="1:46" ht="15.75" x14ac:dyDescent="0.25">
      <c r="A32" s="29"/>
      <c r="B32" s="29"/>
      <c r="C32" s="29"/>
      <c r="D32" s="35"/>
      <c r="E32" s="35"/>
      <c r="F32" s="35"/>
      <c r="G32" s="35"/>
      <c r="H32" s="29"/>
      <c r="I32" s="29"/>
      <c r="J32" s="35"/>
      <c r="K32" s="35"/>
      <c r="L32" s="29"/>
      <c r="M32" s="35"/>
      <c r="N32" s="35"/>
      <c r="O32" s="29"/>
      <c r="P32" s="35"/>
      <c r="Q32" s="35"/>
      <c r="R32" s="35"/>
      <c r="S32" s="29"/>
      <c r="T32" s="29"/>
      <c r="U32" s="29"/>
      <c r="V32" s="29"/>
      <c r="W32" s="29"/>
      <c r="X32" s="3"/>
      <c r="Y32" s="29"/>
      <c r="Z32" s="29"/>
      <c r="AA32" s="29"/>
      <c r="AF32" s="29"/>
      <c r="AG32" s="29"/>
      <c r="AH32" s="2"/>
      <c r="AI32" s="3"/>
      <c r="AJ32" s="29"/>
      <c r="AK32" s="29"/>
      <c r="AL32" s="29"/>
    </row>
    <row r="33" spans="1:38" ht="15.75" x14ac:dyDescent="0.25">
      <c r="A33" s="29" t="s">
        <v>121</v>
      </c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G33" s="29"/>
      <c r="AH33" s="3"/>
      <c r="AI33" s="29"/>
      <c r="AJ33" s="3"/>
      <c r="AK33" s="2"/>
      <c r="AL33" s="2"/>
    </row>
    <row r="34" spans="1:38" x14ac:dyDescent="0.2">
      <c r="A34" s="34" t="s">
        <v>343</v>
      </c>
      <c r="B34" s="29"/>
      <c r="C34" s="34"/>
      <c r="D34" s="34"/>
      <c r="E34" s="34"/>
      <c r="F34" s="34"/>
      <c r="G34" s="34"/>
      <c r="H34" s="34"/>
      <c r="L34" s="29"/>
      <c r="M34" s="29"/>
      <c r="N34" s="29"/>
      <c r="O34" s="32"/>
      <c r="P34" s="29"/>
      <c r="Q34" s="29"/>
    </row>
    <row r="35" spans="1:38" s="97" customFormat="1" ht="15.75" x14ac:dyDescent="0.25">
      <c r="A35" s="100" t="s">
        <v>192</v>
      </c>
      <c r="B35" s="100"/>
      <c r="D35" s="94"/>
      <c r="E35" s="94"/>
      <c r="F35" s="94"/>
      <c r="G35" s="101"/>
      <c r="H35" s="94"/>
      <c r="I35" s="94"/>
      <c r="J35" s="94"/>
      <c r="K35" s="94"/>
      <c r="L35" s="94"/>
      <c r="M35" s="101"/>
      <c r="N35" s="94"/>
      <c r="O35" s="94"/>
      <c r="P35" s="94"/>
      <c r="Q35" s="94"/>
      <c r="R35" s="94"/>
      <c r="S35" s="101"/>
      <c r="T35" s="94"/>
      <c r="U35" s="94"/>
      <c r="V35" s="95"/>
      <c r="W35" s="95"/>
      <c r="X35" s="95"/>
      <c r="Y35" s="96"/>
      <c r="Z35" s="95"/>
      <c r="AA35" s="95"/>
      <c r="AF35" s="95"/>
      <c r="AG35" s="95"/>
    </row>
    <row r="36" spans="1:38" ht="15.75" x14ac:dyDescent="0.25">
      <c r="A36" s="3"/>
      <c r="B36" s="3"/>
      <c r="C36" s="3"/>
      <c r="F36" s="33" t="s">
        <v>87</v>
      </c>
      <c r="G36" s="33" t="s">
        <v>88</v>
      </c>
      <c r="H36" s="33" t="s">
        <v>89</v>
      </c>
      <c r="I36" s="33" t="s">
        <v>90</v>
      </c>
      <c r="J36" s="33" t="s">
        <v>23</v>
      </c>
      <c r="K36" s="33" t="s">
        <v>91</v>
      </c>
      <c r="L36" s="33" t="s">
        <v>92</v>
      </c>
      <c r="M36" s="33" t="s">
        <v>93</v>
      </c>
      <c r="N36" s="33" t="s">
        <v>94</v>
      </c>
      <c r="O36" s="33" t="s">
        <v>95</v>
      </c>
      <c r="P36" s="33" t="s">
        <v>96</v>
      </c>
      <c r="Q36" s="33" t="s">
        <v>97</v>
      </c>
      <c r="R36" s="33" t="s">
        <v>71</v>
      </c>
      <c r="V36" s="29"/>
      <c r="W36" s="29"/>
      <c r="X36" s="29"/>
      <c r="Y36" s="32"/>
      <c r="Z36" s="29"/>
      <c r="AA36" s="29"/>
      <c r="AF36" s="29"/>
      <c r="AG36" s="29"/>
    </row>
    <row r="37" spans="1:38" ht="15.75" x14ac:dyDescent="0.25">
      <c r="A37" s="3"/>
      <c r="B37" s="3"/>
      <c r="C37" s="3"/>
      <c r="F37" s="33"/>
      <c r="G37" s="27"/>
      <c r="H37" s="27"/>
      <c r="I37" s="33"/>
      <c r="J37" s="27"/>
      <c r="K37" s="27"/>
      <c r="L37" s="27"/>
      <c r="M37" s="27"/>
      <c r="N37" s="33"/>
      <c r="O37" s="27"/>
      <c r="P37" s="33"/>
      <c r="Q37" s="27"/>
      <c r="R37" s="33"/>
      <c r="V37" s="29"/>
      <c r="W37" s="29"/>
      <c r="X37" s="29"/>
      <c r="Y37" s="32"/>
      <c r="Z37" s="29"/>
      <c r="AA37" s="29"/>
      <c r="AF37" s="29"/>
      <c r="AG37" s="29"/>
    </row>
    <row r="38" spans="1:38" ht="15.75" x14ac:dyDescent="0.25">
      <c r="A38" s="3" t="s">
        <v>329</v>
      </c>
      <c r="B38" s="3"/>
      <c r="C38" s="106"/>
      <c r="F38" s="226">
        <v>0</v>
      </c>
      <c r="G38" s="226">
        <v>0</v>
      </c>
      <c r="H38" s="226">
        <v>0.4</v>
      </c>
      <c r="I38" s="226">
        <v>2.1</v>
      </c>
      <c r="J38" s="226">
        <v>3.66</v>
      </c>
      <c r="K38" s="226">
        <v>4.16</v>
      </c>
      <c r="L38" s="226">
        <v>4.04</v>
      </c>
      <c r="M38" s="226">
        <v>3.67</v>
      </c>
      <c r="N38" s="226">
        <v>3.49</v>
      </c>
      <c r="O38" s="226">
        <v>2.2200000000000002</v>
      </c>
      <c r="P38" s="226">
        <v>0.28999999999999998</v>
      </c>
      <c r="Q38" s="226">
        <v>0</v>
      </c>
      <c r="R38" s="29">
        <f>SUM(F38:Q38)</f>
        <v>24.03</v>
      </c>
      <c r="V38" s="29"/>
      <c r="W38" s="29"/>
      <c r="X38" s="29"/>
      <c r="Y38" s="32"/>
      <c r="Z38" s="29"/>
      <c r="AA38" s="29"/>
      <c r="AB38" s="29"/>
      <c r="AC38" s="29"/>
      <c r="AD38" s="29"/>
      <c r="AE38" s="32"/>
      <c r="AF38" s="29"/>
      <c r="AG38" s="29"/>
    </row>
    <row r="39" spans="1:38" ht="15.75" x14ac:dyDescent="0.25">
      <c r="A39" s="3" t="s">
        <v>98</v>
      </c>
      <c r="B39" s="3"/>
      <c r="C39" s="29"/>
      <c r="F39" s="29">
        <f>F38/$R38</f>
        <v>0</v>
      </c>
      <c r="G39" s="29">
        <f t="shared" ref="G39:Q39" si="6">G38/$R38</f>
        <v>0</v>
      </c>
      <c r="H39" s="29">
        <f t="shared" si="6"/>
        <v>1.6645859342488557E-2</v>
      </c>
      <c r="I39" s="29">
        <f t="shared" si="6"/>
        <v>8.7390761548064924E-2</v>
      </c>
      <c r="J39" s="29">
        <f t="shared" si="6"/>
        <v>0.1523096129837703</v>
      </c>
      <c r="K39" s="29">
        <f t="shared" si="6"/>
        <v>0.17311693716188098</v>
      </c>
      <c r="L39" s="29">
        <f t="shared" si="6"/>
        <v>0.1681231793591344</v>
      </c>
      <c r="M39" s="29">
        <f t="shared" si="6"/>
        <v>0.15272575946733249</v>
      </c>
      <c r="N39" s="29">
        <f t="shared" si="6"/>
        <v>0.14523512276321265</v>
      </c>
      <c r="O39" s="29">
        <f t="shared" si="6"/>
        <v>9.2384519350811489E-2</v>
      </c>
      <c r="P39" s="29">
        <f t="shared" si="6"/>
        <v>1.2068248023304202E-2</v>
      </c>
      <c r="Q39" s="29">
        <f t="shared" si="6"/>
        <v>0</v>
      </c>
      <c r="R39" s="29">
        <f>SUM(F39:Q39)</f>
        <v>0.99999999999999989</v>
      </c>
      <c r="V39" s="29"/>
      <c r="W39" s="29"/>
      <c r="X39" s="29"/>
      <c r="Y39" s="32"/>
      <c r="Z39" s="29"/>
      <c r="AA39" s="29"/>
      <c r="AB39" s="29"/>
      <c r="AC39" s="29"/>
      <c r="AD39" s="29"/>
      <c r="AE39" s="32"/>
      <c r="AF39" s="29"/>
      <c r="AG39" s="29"/>
    </row>
    <row r="40" spans="1:38" ht="16.5" thickBot="1" x14ac:dyDescent="0.3">
      <c r="A40" s="3"/>
      <c r="B40" s="3"/>
      <c r="C40" s="29"/>
      <c r="F40" s="29"/>
      <c r="G40" s="32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32"/>
      <c r="T40" s="29"/>
      <c r="V40" s="29"/>
      <c r="W40" s="29"/>
      <c r="X40" s="29"/>
      <c r="Y40" s="32"/>
      <c r="Z40" s="29"/>
      <c r="AA40" s="29"/>
      <c r="AB40" s="29"/>
      <c r="AC40" s="29"/>
      <c r="AD40" s="29"/>
      <c r="AE40" s="32"/>
      <c r="AF40" s="29"/>
      <c r="AG40" s="29"/>
    </row>
    <row r="41" spans="1:38" s="95" customFormat="1" ht="16.5" thickBot="1" x14ac:dyDescent="0.3">
      <c r="A41" s="94" t="s">
        <v>191</v>
      </c>
      <c r="B41" s="94"/>
      <c r="F41" s="282">
        <v>21.84</v>
      </c>
      <c r="G41" s="94" t="s">
        <v>10</v>
      </c>
      <c r="Z41" s="94"/>
      <c r="AA41" s="94"/>
      <c r="AB41" s="94"/>
      <c r="AC41" s="94"/>
      <c r="AD41" s="94"/>
      <c r="AE41" s="101"/>
      <c r="AF41" s="94"/>
      <c r="AG41" s="94"/>
    </row>
    <row r="42" spans="1:38" ht="15.75" x14ac:dyDescent="0.25">
      <c r="A42" s="3"/>
      <c r="B42" s="3"/>
      <c r="C42" s="29"/>
      <c r="F42" s="33" t="s">
        <v>87</v>
      </c>
      <c r="G42" s="33" t="s">
        <v>88</v>
      </c>
      <c r="H42" s="33" t="s">
        <v>89</v>
      </c>
      <c r="I42" s="33" t="s">
        <v>90</v>
      </c>
      <c r="J42" s="33" t="s">
        <v>23</v>
      </c>
      <c r="K42" s="33" t="s">
        <v>91</v>
      </c>
      <c r="L42" s="33" t="s">
        <v>92</v>
      </c>
      <c r="M42" s="33" t="s">
        <v>93</v>
      </c>
      <c r="N42" s="33" t="s">
        <v>94</v>
      </c>
      <c r="O42" s="33" t="s">
        <v>95</v>
      </c>
      <c r="P42" s="33" t="s">
        <v>96</v>
      </c>
      <c r="Q42" s="33" t="s">
        <v>97</v>
      </c>
      <c r="R42" s="33" t="s">
        <v>71</v>
      </c>
      <c r="V42" s="29"/>
      <c r="W42" s="29"/>
      <c r="X42" s="29"/>
      <c r="Y42" s="32"/>
      <c r="Z42" s="29"/>
      <c r="AA42" s="29"/>
      <c r="AB42" s="29"/>
      <c r="AC42" s="29"/>
      <c r="AD42" s="29"/>
      <c r="AE42" s="32"/>
      <c r="AF42" s="29"/>
      <c r="AG42" s="29"/>
    </row>
    <row r="43" spans="1:38" ht="15.75" x14ac:dyDescent="0.25">
      <c r="A43" s="3"/>
      <c r="B43" s="3"/>
      <c r="C43" s="29"/>
      <c r="F43" s="33"/>
      <c r="G43" s="27"/>
      <c r="H43" s="27"/>
      <c r="I43" s="33"/>
      <c r="J43" s="27"/>
      <c r="K43" s="27"/>
      <c r="L43" s="27"/>
      <c r="M43" s="27"/>
      <c r="N43" s="33"/>
      <c r="O43" s="27"/>
      <c r="P43" s="33"/>
      <c r="Q43" s="27"/>
      <c r="R43" s="33"/>
      <c r="V43" s="29"/>
      <c r="W43" s="29"/>
      <c r="X43" s="29"/>
      <c r="Y43" s="32"/>
      <c r="Z43" s="29"/>
      <c r="AA43" s="29"/>
      <c r="AB43" s="29"/>
      <c r="AC43" s="29"/>
      <c r="AD43" s="29"/>
      <c r="AE43" s="32"/>
      <c r="AF43" s="29"/>
      <c r="AG43" s="29"/>
    </row>
    <row r="44" spans="1:38" ht="15.75" x14ac:dyDescent="0.25">
      <c r="A44" s="3" t="s">
        <v>7</v>
      </c>
      <c r="B44" s="3"/>
      <c r="C44" s="29"/>
      <c r="F44" s="29">
        <f>F39*$F41</f>
        <v>0</v>
      </c>
      <c r="G44" s="29">
        <f t="shared" ref="G44:Q44" si="7">G39*$F41</f>
        <v>0</v>
      </c>
      <c r="H44" s="29">
        <f t="shared" si="7"/>
        <v>0.36354556803995008</v>
      </c>
      <c r="I44" s="29">
        <f t="shared" si="7"/>
        <v>1.9086142322097379</v>
      </c>
      <c r="J44" s="29">
        <f t="shared" si="7"/>
        <v>3.3264419475655433</v>
      </c>
      <c r="K44" s="29">
        <f t="shared" si="7"/>
        <v>3.7808739076154807</v>
      </c>
      <c r="L44" s="29">
        <f t="shared" si="7"/>
        <v>3.6718102372034953</v>
      </c>
      <c r="M44" s="29">
        <f t="shared" si="7"/>
        <v>3.3355305867665415</v>
      </c>
      <c r="N44" s="29">
        <f t="shared" si="7"/>
        <v>3.1719350811485643</v>
      </c>
      <c r="O44" s="29">
        <f t="shared" si="7"/>
        <v>2.0176779026217231</v>
      </c>
      <c r="P44" s="29">
        <f t="shared" si="7"/>
        <v>0.26357053682896375</v>
      </c>
      <c r="Q44" s="29">
        <f t="shared" si="7"/>
        <v>0</v>
      </c>
      <c r="R44" s="29">
        <f>SUM(F44:Q44)</f>
        <v>21.840000000000003</v>
      </c>
      <c r="V44" s="29"/>
      <c r="W44" s="29"/>
      <c r="Y44" s="32"/>
      <c r="Z44" s="29"/>
      <c r="AA44" s="29"/>
      <c r="AB44" s="29"/>
      <c r="AC44" s="29"/>
      <c r="AD44" s="29"/>
      <c r="AE44" s="32"/>
      <c r="AF44" s="29"/>
      <c r="AG44" s="29"/>
    </row>
    <row r="45" spans="1:38" ht="15.75" x14ac:dyDescent="0.25">
      <c r="A45" s="3" t="s">
        <v>6</v>
      </c>
      <c r="B45" s="3"/>
      <c r="C45" s="29"/>
      <c r="F45" s="29">
        <f t="shared" ref="F45:Q45" si="8">F44/12</f>
        <v>0</v>
      </c>
      <c r="G45" s="29">
        <f t="shared" si="8"/>
        <v>0</v>
      </c>
      <c r="H45" s="29">
        <f t="shared" si="8"/>
        <v>3.0295464003329175E-2</v>
      </c>
      <c r="I45" s="29">
        <f t="shared" si="8"/>
        <v>0.15905118601747817</v>
      </c>
      <c r="J45" s="29">
        <f t="shared" si="8"/>
        <v>0.27720349563046193</v>
      </c>
      <c r="K45" s="29">
        <f t="shared" si="8"/>
        <v>0.31507282563462341</v>
      </c>
      <c r="L45" s="29">
        <f t="shared" si="8"/>
        <v>0.30598418643362463</v>
      </c>
      <c r="M45" s="29">
        <f t="shared" si="8"/>
        <v>0.2779608822305451</v>
      </c>
      <c r="N45" s="29">
        <f t="shared" si="8"/>
        <v>0.26432792342904704</v>
      </c>
      <c r="O45" s="29">
        <f t="shared" si="8"/>
        <v>0.16813982521847692</v>
      </c>
      <c r="P45" s="29">
        <f t="shared" si="8"/>
        <v>2.1964211402413645E-2</v>
      </c>
      <c r="Q45" s="29">
        <f t="shared" si="8"/>
        <v>0</v>
      </c>
      <c r="R45" s="29">
        <f>SUM(F45:Q45)</f>
        <v>1.8199999999999998</v>
      </c>
      <c r="U45" s="29"/>
      <c r="V45" s="29"/>
      <c r="W45" s="29"/>
      <c r="X45" s="29"/>
      <c r="Y45" s="32"/>
      <c r="Z45" s="29"/>
      <c r="AA45" s="29"/>
      <c r="AB45" s="29"/>
      <c r="AC45" s="29"/>
      <c r="AD45" s="29"/>
      <c r="AE45" s="32"/>
      <c r="AF45" s="29"/>
      <c r="AG45" s="29"/>
    </row>
    <row r="48" spans="1:38" x14ac:dyDescent="0.2">
      <c r="C48" s="2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</row>
    <row r="51" spans="2:2" x14ac:dyDescent="0.2">
      <c r="B51" s="29"/>
    </row>
    <row r="52" spans="2:2" x14ac:dyDescent="0.2">
      <c r="B52" s="29"/>
    </row>
    <row r="53" spans="2:2" x14ac:dyDescent="0.2">
      <c r="B53" s="29"/>
    </row>
    <row r="54" spans="2:2" x14ac:dyDescent="0.2">
      <c r="B54" s="29"/>
    </row>
    <row r="55" spans="2:2" x14ac:dyDescent="0.2">
      <c r="B55" s="29"/>
    </row>
    <row r="56" spans="2:2" x14ac:dyDescent="0.2">
      <c r="B56" s="29"/>
    </row>
    <row r="57" spans="2:2" x14ac:dyDescent="0.2">
      <c r="B57" s="29"/>
    </row>
    <row r="58" spans="2:2" x14ac:dyDescent="0.2">
      <c r="B58" s="29"/>
    </row>
    <row r="59" spans="2:2" x14ac:dyDescent="0.2">
      <c r="B59" s="29"/>
    </row>
    <row r="60" spans="2:2" x14ac:dyDescent="0.2">
      <c r="B60" s="29"/>
    </row>
    <row r="61" spans="2:2" x14ac:dyDescent="0.2">
      <c r="B61" s="29"/>
    </row>
    <row r="62" spans="2:2" x14ac:dyDescent="0.2">
      <c r="B62" s="29"/>
    </row>
  </sheetData>
  <sheetProtection algorithmName="SHA-512" hashValue="fOe/L1lgusSV5gXpqGWvF4CqEwwI70sR/rhqh70O0DRmjj017YbuiN4EiOR3scnEDCT8QIQf9gkUvx4tH9qRuQ==" saltValue="KT1Lfzekalqyq9p8teu9jg==" spinCount="100000" sheet="1" formatColumns="0"/>
  <mergeCells count="11">
    <mergeCell ref="AJ6:AN6"/>
    <mergeCell ref="AP6:AT6"/>
    <mergeCell ref="A3:C3"/>
    <mergeCell ref="E6:J6"/>
    <mergeCell ref="L6:P6"/>
    <mergeCell ref="R6:V6"/>
    <mergeCell ref="S26:X26"/>
    <mergeCell ref="X6:AB6"/>
    <mergeCell ref="AD6:AH6"/>
    <mergeCell ref="F26:K26"/>
    <mergeCell ref="L26:Q26"/>
  </mergeCells>
  <phoneticPr fontId="0" type="noConversion"/>
  <printOptions horizontalCentered="1" gridLines="1"/>
  <pageMargins left="0.75" right="0.25" top="0.75" bottom="0.75" header="0.5" footer="0.5"/>
  <pageSetup paperSize="17" scale="75" orientation="landscape" r:id="rId1"/>
  <headerFooter alignWithMargins="0">
    <oddHeader>&amp;L&amp;D</oddHeader>
    <oddFooter>&amp;L&amp;F&amp;R&amp;A</oddFooter>
  </headerFooter>
  <colBreaks count="1" manualBreakCount="1">
    <brk id="46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Z62"/>
  <sheetViews>
    <sheetView zoomScaleNormal="100" zoomScaleSheetLayoutView="75" workbookViewId="0">
      <selection activeCell="C12" sqref="C12:C23"/>
    </sheetView>
  </sheetViews>
  <sheetFormatPr defaultColWidth="9.140625" defaultRowHeight="15" x14ac:dyDescent="0.2"/>
  <cols>
    <col min="1" max="1" width="28.28515625" style="28" customWidth="1"/>
    <col min="2" max="16" width="10.7109375" style="28" customWidth="1"/>
    <col min="17" max="17" width="11.140625" style="28" bestFit="1" customWidth="1"/>
    <col min="18" max="20" width="10.7109375" style="28" customWidth="1"/>
    <col min="21" max="21" width="14.7109375" style="28" customWidth="1"/>
    <col min="22" max="24" width="10.7109375" style="28" customWidth="1"/>
    <col min="25" max="25" width="8.7109375" style="28" customWidth="1"/>
    <col min="26" max="26" width="10.85546875" style="28" bestFit="1" customWidth="1"/>
    <col min="27" max="27" width="11.7109375" style="28" customWidth="1"/>
    <col min="28" max="28" width="9.7109375" style="28" bestFit="1" customWidth="1"/>
    <col min="29" max="29" width="10.85546875" style="28" customWidth="1"/>
    <col min="30" max="30" width="9.85546875" style="28" bestFit="1" customWidth="1"/>
    <col min="31" max="31" width="10.140625" style="28" customWidth="1"/>
    <col min="32" max="33" width="9.85546875" style="28" bestFit="1" customWidth="1"/>
    <col min="34" max="34" width="9.28515625" style="28" customWidth="1"/>
    <col min="35" max="35" width="15.7109375" style="28" customWidth="1"/>
    <col min="36" max="36" width="7.140625" style="28" bestFit="1" customWidth="1"/>
    <col min="37" max="37" width="8.7109375" style="28" customWidth="1"/>
    <col min="38" max="39" width="8.7109375" style="28" bestFit="1" customWidth="1"/>
    <col min="40" max="207" width="9.7109375" style="28" customWidth="1"/>
    <col min="208" max="16384" width="9.140625" style="28"/>
  </cols>
  <sheetData>
    <row r="1" spans="1:48" ht="18" x14ac:dyDescent="0.25">
      <c r="A1" s="39" t="s">
        <v>260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8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93"/>
      <c r="AA2" s="93"/>
      <c r="AB2" s="93"/>
      <c r="AC2" s="93"/>
      <c r="AD2" s="93"/>
      <c r="AE2" s="93"/>
      <c r="AF2" s="93"/>
    </row>
    <row r="3" spans="1:48" s="29" customFormat="1" ht="18.75" x14ac:dyDescent="0.25">
      <c r="A3" s="298" t="s">
        <v>164</v>
      </c>
      <c r="B3" s="298"/>
      <c r="C3" s="298"/>
      <c r="D3" s="3">
        <v>0.41</v>
      </c>
      <c r="E3" s="29" t="s">
        <v>168</v>
      </c>
      <c r="M3" s="235"/>
      <c r="AB3" s="3"/>
      <c r="AD3" s="35"/>
    </row>
    <row r="4" spans="1:48" ht="18.75" x14ac:dyDescent="0.25">
      <c r="A4" s="65" t="s">
        <v>203</v>
      </c>
      <c r="B4" s="65"/>
      <c r="C4" s="29"/>
      <c r="F4" s="3"/>
      <c r="G4" s="27"/>
      <c r="H4" s="3"/>
      <c r="I4" s="3"/>
      <c r="J4" s="3"/>
      <c r="K4" s="3"/>
      <c r="L4" s="3"/>
      <c r="M4" s="236"/>
      <c r="N4" s="3"/>
      <c r="O4" s="3"/>
      <c r="P4" s="3"/>
      <c r="Q4" s="3"/>
      <c r="R4" s="3"/>
      <c r="S4" s="27"/>
      <c r="T4" s="3"/>
      <c r="U4" s="3"/>
      <c r="V4" s="29"/>
      <c r="W4" s="29"/>
      <c r="X4" s="29"/>
      <c r="Y4" s="32"/>
      <c r="Z4" s="3"/>
      <c r="AG4" s="29"/>
    </row>
    <row r="5" spans="1:48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84"/>
      <c r="AH5" s="81"/>
      <c r="AI5" s="81"/>
      <c r="AJ5" s="81"/>
      <c r="AK5" s="81"/>
      <c r="AL5" s="81"/>
      <c r="AM5" s="81"/>
      <c r="AN5" s="81"/>
      <c r="AO5" s="81"/>
    </row>
    <row r="6" spans="1:48" s="29" customFormat="1" ht="15.75" customHeight="1" x14ac:dyDescent="0.25">
      <c r="A6" s="27"/>
      <c r="B6" s="27"/>
      <c r="D6" s="27"/>
      <c r="E6" s="303" t="s">
        <v>216</v>
      </c>
      <c r="F6" s="304"/>
      <c r="G6" s="304"/>
      <c r="H6" s="304"/>
      <c r="I6" s="304"/>
      <c r="J6" s="304"/>
      <c r="K6" s="300" t="s">
        <v>217</v>
      </c>
      <c r="L6" s="300"/>
      <c r="M6" s="300"/>
      <c r="N6" s="300"/>
      <c r="O6" s="300"/>
      <c r="P6" s="300"/>
      <c r="Q6" s="301" t="s">
        <v>218</v>
      </c>
      <c r="R6" s="301"/>
      <c r="S6" s="301"/>
      <c r="T6" s="301"/>
      <c r="U6" s="301"/>
      <c r="V6" s="301"/>
      <c r="W6" s="49"/>
      <c r="X6" s="28"/>
      <c r="Y6" s="28"/>
      <c r="Z6" s="28"/>
      <c r="AA6" s="28"/>
      <c r="AB6" s="28"/>
      <c r="AC6" s="49"/>
      <c r="AD6" s="302"/>
      <c r="AE6" s="302"/>
      <c r="AF6" s="302"/>
      <c r="AG6" s="302"/>
      <c r="AH6" s="302"/>
      <c r="AI6" s="49"/>
      <c r="AJ6" s="302"/>
      <c r="AK6" s="302"/>
      <c r="AL6" s="302"/>
      <c r="AM6" s="302"/>
      <c r="AN6" s="302"/>
      <c r="AO6" s="49"/>
      <c r="AP6" s="302"/>
      <c r="AQ6" s="302"/>
      <c r="AR6" s="302"/>
      <c r="AS6" s="302"/>
      <c r="AT6" s="302"/>
    </row>
    <row r="7" spans="1:48" s="29" customFormat="1" x14ac:dyDescent="0.2">
      <c r="F7" s="249">
        <v>0.11</v>
      </c>
      <c r="G7" s="82" t="s">
        <v>185</v>
      </c>
      <c r="H7" s="82"/>
      <c r="I7" s="82"/>
      <c r="L7" s="249">
        <v>1.53</v>
      </c>
      <c r="M7" s="82" t="s">
        <v>185</v>
      </c>
      <c r="N7" s="82"/>
      <c r="O7" s="82"/>
      <c r="R7" s="249">
        <v>1.92</v>
      </c>
      <c r="S7" s="82" t="s">
        <v>185</v>
      </c>
      <c r="T7" s="82"/>
      <c r="U7" s="82"/>
      <c r="W7" s="35">
        <v>8</v>
      </c>
      <c r="X7" s="35"/>
      <c r="AA7" s="82"/>
      <c r="AD7" s="35"/>
      <c r="AE7" s="82"/>
      <c r="AF7" s="82"/>
      <c r="AG7" s="82"/>
      <c r="AJ7" s="35"/>
      <c r="AK7" s="82"/>
      <c r="AL7" s="82"/>
      <c r="AM7" s="82"/>
      <c r="AP7" s="35"/>
      <c r="AQ7" s="82"/>
      <c r="AR7" s="82"/>
      <c r="AS7" s="82"/>
      <c r="AV7" s="82"/>
    </row>
    <row r="8" spans="1:48" s="29" customFormat="1" x14ac:dyDescent="0.2">
      <c r="F8" s="35">
        <v>0</v>
      </c>
      <c r="G8" s="82" t="s">
        <v>205</v>
      </c>
      <c r="H8" s="82"/>
      <c r="I8" s="82"/>
      <c r="L8" s="35">
        <v>0</v>
      </c>
      <c r="M8" s="82" t="s">
        <v>205</v>
      </c>
      <c r="N8" s="82"/>
      <c r="O8" s="82"/>
      <c r="R8" s="35">
        <v>0</v>
      </c>
      <c r="S8" s="82" t="s">
        <v>205</v>
      </c>
      <c r="T8" s="82"/>
      <c r="U8" s="82"/>
      <c r="W8" s="328" t="s">
        <v>302</v>
      </c>
      <c r="X8" s="330"/>
      <c r="AA8" s="82"/>
      <c r="AD8" s="35"/>
      <c r="AE8" s="82"/>
      <c r="AF8" s="82"/>
      <c r="AG8" s="82"/>
      <c r="AJ8" s="35"/>
      <c r="AK8" s="82"/>
      <c r="AL8" s="82"/>
      <c r="AM8" s="82"/>
      <c r="AP8" s="35"/>
      <c r="AQ8" s="82"/>
      <c r="AR8" s="82"/>
      <c r="AS8" s="82"/>
    </row>
    <row r="9" spans="1:48" s="29" customFormat="1" x14ac:dyDescent="0.2">
      <c r="C9" s="32"/>
      <c r="F9" s="226">
        <v>415.33</v>
      </c>
      <c r="G9" s="29" t="s">
        <v>193</v>
      </c>
      <c r="K9" s="106"/>
      <c r="L9" s="249">
        <v>532.22</v>
      </c>
      <c r="M9" s="29" t="s">
        <v>193</v>
      </c>
      <c r="R9" s="249">
        <v>637.89</v>
      </c>
      <c r="S9" s="29" t="s">
        <v>193</v>
      </c>
      <c r="W9" s="330"/>
      <c r="X9" s="330"/>
    </row>
    <row r="10" spans="1:48" s="29" customFormat="1" x14ac:dyDescent="0.2">
      <c r="C10" s="32"/>
      <c r="F10" s="35">
        <f>SUM(F7:F9)</f>
        <v>415.44</v>
      </c>
      <c r="G10" s="29" t="s">
        <v>194</v>
      </c>
      <c r="L10" s="35">
        <f>SUM(L7:L9)</f>
        <v>533.75</v>
      </c>
      <c r="M10" s="29" t="s">
        <v>194</v>
      </c>
      <c r="R10" s="35">
        <f>SUM(R7:R9)</f>
        <v>639.80999999999995</v>
      </c>
      <c r="S10" s="29" t="s">
        <v>194</v>
      </c>
      <c r="W10" s="330"/>
      <c r="X10" s="330"/>
      <c r="AD10" s="35"/>
      <c r="AJ10" s="35"/>
      <c r="AP10" s="35"/>
    </row>
    <row r="11" spans="1:48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 t="s">
        <v>19</v>
      </c>
      <c r="L11" s="86" t="s">
        <v>347</v>
      </c>
      <c r="M11" s="86" t="s">
        <v>210</v>
      </c>
      <c r="N11" s="86" t="s">
        <v>186</v>
      </c>
      <c r="O11" s="86" t="s">
        <v>189</v>
      </c>
      <c r="P11" s="86" t="s">
        <v>287</v>
      </c>
      <c r="Q11" s="87" t="s">
        <v>19</v>
      </c>
      <c r="R11" s="86" t="s">
        <v>347</v>
      </c>
      <c r="S11" s="86" t="s">
        <v>210</v>
      </c>
      <c r="T11" s="86" t="s">
        <v>186</v>
      </c>
      <c r="U11" s="86" t="s">
        <v>189</v>
      </c>
      <c r="V11" s="86" t="s">
        <v>287</v>
      </c>
      <c r="W11" s="331" t="s">
        <v>309</v>
      </c>
      <c r="X11" s="331"/>
      <c r="Z11" s="86"/>
      <c r="AA11" s="86"/>
      <c r="AB11" s="86"/>
      <c r="AC11" s="87"/>
      <c r="AD11" s="86"/>
      <c r="AE11" s="86"/>
      <c r="AF11" s="86"/>
      <c r="AG11" s="86"/>
      <c r="AH11" s="86"/>
      <c r="AI11" s="87"/>
      <c r="AJ11" s="86"/>
      <c r="AK11" s="86"/>
      <c r="AL11" s="86"/>
      <c r="AM11" s="86"/>
      <c r="AN11" s="86"/>
      <c r="AO11" s="87"/>
      <c r="AP11" s="86"/>
      <c r="AQ11" s="86"/>
      <c r="AR11" s="86"/>
      <c r="AS11" s="86"/>
      <c r="AT11" s="86"/>
    </row>
    <row r="12" spans="1:48" s="59" customFormat="1" ht="15.75" customHeight="1" x14ac:dyDescent="0.25">
      <c r="A12" s="36" t="s">
        <v>175</v>
      </c>
      <c r="B12" s="35">
        <f>F46/$D$3</f>
        <v>0</v>
      </c>
      <c r="C12" s="123">
        <f>2.21/12</f>
        <v>0.18416666666666667</v>
      </c>
      <c r="D12" s="226">
        <v>0.155</v>
      </c>
      <c r="E12" s="280">
        <v>0</v>
      </c>
      <c r="F12" s="35">
        <f t="shared" ref="F12:F23" si="0">$F$7*(IF($C12-$D12&lt;0,0,ABS($C12-$D12)))</f>
        <v>3.2083333333333343E-3</v>
      </c>
      <c r="G12" s="35">
        <f t="shared" ref="G12:G23" si="1">F12/$D$3</f>
        <v>7.8252032520325226E-3</v>
      </c>
      <c r="H12" s="29">
        <f>F$9*$B12</f>
        <v>0</v>
      </c>
      <c r="I12" s="35">
        <f>G12+H12</f>
        <v>7.8252032520325226E-3</v>
      </c>
      <c r="J12" s="249">
        <v>0</v>
      </c>
      <c r="K12" s="249">
        <v>0</v>
      </c>
      <c r="L12" s="35">
        <f t="shared" ref="L12:L23" si="2">$L$7*(IF($C12-$D12&lt;0,0,ABS($C12-$D12)))</f>
        <v>4.4625000000000012E-2</v>
      </c>
      <c r="M12" s="35">
        <f t="shared" ref="M12:M23" si="3">L12/$D$3</f>
        <v>0.10884146341463419</v>
      </c>
      <c r="N12" s="29">
        <f>L$9*$B12</f>
        <v>0</v>
      </c>
      <c r="O12" s="35">
        <f>M12+N12</f>
        <v>0.10884146341463419</v>
      </c>
      <c r="P12" s="249">
        <v>0</v>
      </c>
      <c r="Q12" s="249">
        <v>0</v>
      </c>
      <c r="R12" s="35">
        <f>R$7*(IF($C12-$D12&lt;0,0,ABS($C12-$D12)))</f>
        <v>5.6000000000000015E-2</v>
      </c>
      <c r="S12" s="35">
        <f t="shared" ref="S12:S23" si="4">R12/$D$3</f>
        <v>0.13658536585365857</v>
      </c>
      <c r="T12" s="29">
        <f>R$9*$B12</f>
        <v>0</v>
      </c>
      <c r="U12" s="35">
        <f>S12+T12</f>
        <v>0.13658536585365857</v>
      </c>
      <c r="V12" s="249">
        <v>0</v>
      </c>
      <c r="W12" s="35">
        <f>W$7*(IF($C12-$D12&lt;0,0,ABS($C12-$D12)))</f>
        <v>0.23333333333333339</v>
      </c>
      <c r="X12" s="35"/>
      <c r="Z12" s="29"/>
      <c r="AA12" s="276"/>
      <c r="AB12" s="35"/>
      <c r="AC12" s="27"/>
      <c r="AD12" s="35"/>
      <c r="AE12" s="35"/>
      <c r="AF12" s="29"/>
      <c r="AG12" s="35"/>
      <c r="AH12" s="35"/>
      <c r="AI12" s="27"/>
      <c r="AJ12" s="86"/>
      <c r="AK12" s="86"/>
      <c r="AL12" s="86"/>
      <c r="AM12" s="86"/>
      <c r="AN12" s="86"/>
      <c r="AO12" s="27"/>
      <c r="AP12" s="86"/>
      <c r="AQ12" s="86"/>
      <c r="AR12" s="86"/>
      <c r="AS12" s="86"/>
      <c r="AT12" s="86"/>
    </row>
    <row r="13" spans="1:48" s="29" customFormat="1" ht="15.75" x14ac:dyDescent="0.25">
      <c r="A13" s="36" t="s">
        <v>21</v>
      </c>
      <c r="B13" s="35">
        <f>G46/$D$3</f>
        <v>0</v>
      </c>
      <c r="C13" s="35">
        <f>2.92/12</f>
        <v>0.24333333333333332</v>
      </c>
      <c r="D13" s="226">
        <v>0.18416666666666667</v>
      </c>
      <c r="E13" s="280">
        <v>0</v>
      </c>
      <c r="F13" s="35">
        <f t="shared" si="0"/>
        <v>6.5083333333333312E-3</v>
      </c>
      <c r="G13" s="35">
        <f t="shared" si="1"/>
        <v>1.5873983739837394E-2</v>
      </c>
      <c r="H13" s="29">
        <f>F$9*$B13</f>
        <v>0</v>
      </c>
      <c r="I13" s="35">
        <f t="shared" ref="I13:I22" si="5">G13+H13</f>
        <v>1.5873983739837394E-2</v>
      </c>
      <c r="J13" s="249">
        <v>0</v>
      </c>
      <c r="K13" s="280">
        <v>0</v>
      </c>
      <c r="L13" s="35">
        <f t="shared" si="2"/>
        <v>9.0524999999999967E-2</v>
      </c>
      <c r="M13" s="35">
        <f t="shared" si="3"/>
        <v>0.22079268292682919</v>
      </c>
      <c r="N13" s="29">
        <f>L$9*$B13</f>
        <v>0</v>
      </c>
      <c r="O13" s="35">
        <f t="shared" ref="O13:O22" si="6">M13+N13</f>
        <v>0.22079268292682919</v>
      </c>
      <c r="P13" s="249">
        <v>0</v>
      </c>
      <c r="Q13" s="280">
        <v>0</v>
      </c>
      <c r="R13" s="35">
        <f>R$7*(IF($C13-$D13&lt;0,0,ABS($C13-$D13)))</f>
        <v>0.11359999999999995</v>
      </c>
      <c r="S13" s="35">
        <f t="shared" si="4"/>
        <v>0.27707317073170723</v>
      </c>
      <c r="T13" s="29">
        <f t="shared" ref="T13:T22" si="7">R$9*$B13</f>
        <v>0</v>
      </c>
      <c r="U13" s="35">
        <f t="shared" ref="U13:U22" si="8">S13+T13</f>
        <v>0.27707317073170723</v>
      </c>
      <c r="V13" s="249">
        <v>0</v>
      </c>
      <c r="W13" s="35">
        <f t="shared" ref="W13:W22" si="9">W$7*(IF($C13-$D13&lt;0,0,ABS($C13-$D13)))</f>
        <v>0.47333333333333316</v>
      </c>
      <c r="X13" s="35"/>
      <c r="AA13" s="276"/>
      <c r="AB13" s="35"/>
      <c r="AD13" s="35"/>
      <c r="AE13" s="35"/>
      <c r="AG13" s="35"/>
      <c r="AH13" s="35"/>
      <c r="AI13" s="35"/>
      <c r="AJ13" s="35"/>
      <c r="AK13" s="35"/>
      <c r="AM13" s="35"/>
      <c r="AN13" s="35"/>
      <c r="AO13" s="90"/>
      <c r="AP13" s="35"/>
      <c r="AQ13" s="35"/>
      <c r="AS13" s="35"/>
      <c r="AT13" s="35"/>
    </row>
    <row r="14" spans="1:48" s="29" customFormat="1" ht="15.75" x14ac:dyDescent="0.25">
      <c r="A14" s="36" t="s">
        <v>20</v>
      </c>
      <c r="B14" s="35">
        <f>H46/$D$3</f>
        <v>0.11033260821104905</v>
      </c>
      <c r="C14" s="35">
        <f>6.12/12</f>
        <v>0.51</v>
      </c>
      <c r="D14" s="226">
        <v>0.12666666666666668</v>
      </c>
      <c r="E14" s="280">
        <v>781.28883299999995</v>
      </c>
      <c r="F14" s="35">
        <f t="shared" si="0"/>
        <v>4.2166666666666665E-2</v>
      </c>
      <c r="G14" s="35">
        <f t="shared" si="1"/>
        <v>0.10284552845528455</v>
      </c>
      <c r="H14" s="29">
        <f>F$9*$B14</f>
        <v>45.824442168295</v>
      </c>
      <c r="I14" s="35">
        <f t="shared" si="5"/>
        <v>45.927287696750284</v>
      </c>
      <c r="J14" s="35">
        <f t="shared" ref="J14:J22" si="10">IF(E14-I14&gt;0,0,ABS(E14-I14))</f>
        <v>0</v>
      </c>
      <c r="K14" s="280">
        <v>819.26236615000016</v>
      </c>
      <c r="L14" s="35">
        <f t="shared" si="2"/>
        <v>0.58649999999999991</v>
      </c>
      <c r="M14" s="35">
        <f t="shared" si="3"/>
        <v>1.4304878048780487</v>
      </c>
      <c r="N14" s="29">
        <f>L$9*$B14</f>
        <v>58.721220742084526</v>
      </c>
      <c r="O14" s="35">
        <f t="shared" si="6"/>
        <v>60.151708546962574</v>
      </c>
      <c r="P14" s="35">
        <f>IF(K14-O14&gt;0,0,ABS(K14-O14))</f>
        <v>0</v>
      </c>
      <c r="Q14" s="280">
        <v>1831.7345450000003</v>
      </c>
      <c r="R14" s="35">
        <f>R$7*(IF($C14-$D14&lt;0,0,ABS($C14-$D14)))</f>
        <v>0.73599999999999988</v>
      </c>
      <c r="S14" s="35">
        <f t="shared" si="4"/>
        <v>1.795121951219512</v>
      </c>
      <c r="T14" s="29">
        <f t="shared" si="7"/>
        <v>70.380067451746072</v>
      </c>
      <c r="U14" s="35">
        <f t="shared" si="8"/>
        <v>72.175189402965586</v>
      </c>
      <c r="V14" s="35">
        <f t="shared" ref="V14:V22" si="11">IF(Q14-U14&gt;0,0,ABS(Q14-U14))</f>
        <v>0</v>
      </c>
      <c r="W14" s="35">
        <f t="shared" si="9"/>
        <v>3.0666666666666664</v>
      </c>
      <c r="X14" s="35"/>
      <c r="AA14" s="276"/>
      <c r="AB14" s="35"/>
      <c r="AC14" s="35"/>
      <c r="AD14" s="35"/>
      <c r="AE14" s="35"/>
      <c r="AG14" s="35"/>
      <c r="AH14" s="35"/>
      <c r="AI14" s="35"/>
      <c r="AJ14" s="35"/>
      <c r="AK14" s="35"/>
      <c r="AM14" s="35"/>
      <c r="AN14" s="35"/>
      <c r="AO14" s="90"/>
      <c r="AP14" s="35"/>
      <c r="AQ14" s="35"/>
      <c r="AS14" s="35"/>
      <c r="AT14" s="35"/>
    </row>
    <row r="15" spans="1:48" s="29" customFormat="1" ht="15.75" x14ac:dyDescent="0.25">
      <c r="A15" s="36" t="s">
        <v>22</v>
      </c>
      <c r="B15" s="35">
        <f>I46/$D$3</f>
        <v>0.48161059139743628</v>
      </c>
      <c r="C15" s="35">
        <f>7.97/12</f>
        <v>0.66416666666666668</v>
      </c>
      <c r="D15" s="226">
        <v>1.1666666666666667E-2</v>
      </c>
      <c r="E15" s="280">
        <v>745.98306700000012</v>
      </c>
      <c r="F15" s="35">
        <f t="shared" si="0"/>
        <v>7.1774999999999992E-2</v>
      </c>
      <c r="G15" s="35">
        <f t="shared" si="1"/>
        <v>0.17506097560975609</v>
      </c>
      <c r="H15" s="29">
        <f t="shared" ref="H15:H22" si="12">F$9*$B15</f>
        <v>200.02732692509721</v>
      </c>
      <c r="I15" s="35">
        <f t="shared" si="5"/>
        <v>200.20238790070698</v>
      </c>
      <c r="J15" s="35">
        <f t="shared" si="10"/>
        <v>0</v>
      </c>
      <c r="K15" s="280">
        <v>1066.4523148999997</v>
      </c>
      <c r="L15" s="35">
        <f t="shared" si="2"/>
        <v>0.99832500000000002</v>
      </c>
      <c r="M15" s="35">
        <f t="shared" si="3"/>
        <v>2.434939024390244</v>
      </c>
      <c r="N15" s="29">
        <f t="shared" ref="N15:N22" si="13">L$9*$B15</f>
        <v>256.32278895354358</v>
      </c>
      <c r="O15" s="35">
        <f t="shared" si="6"/>
        <v>258.75772797793383</v>
      </c>
      <c r="P15" s="35">
        <f t="shared" ref="P15:P22" si="14">IF(K15-O15&gt;0,0,ABS(K15-O15))</f>
        <v>0</v>
      </c>
      <c r="Q15" s="280">
        <v>1518.1876073999999</v>
      </c>
      <c r="R15" s="35">
        <f t="shared" ref="R15:R22" si="15">R$7*(IF($C15-$D15&lt;0,0,ABS($C15-$D15)))</f>
        <v>1.2527999999999999</v>
      </c>
      <c r="S15" s="35">
        <f t="shared" si="4"/>
        <v>3.055609756097561</v>
      </c>
      <c r="T15" s="29">
        <f t="shared" si="7"/>
        <v>307.21458014651063</v>
      </c>
      <c r="U15" s="35">
        <f t="shared" si="8"/>
        <v>310.27018990260819</v>
      </c>
      <c r="V15" s="35">
        <f t="shared" si="11"/>
        <v>0</v>
      </c>
      <c r="W15" s="35">
        <f t="shared" si="9"/>
        <v>5.22</v>
      </c>
      <c r="X15" s="35"/>
      <c r="AA15" s="276"/>
      <c r="AB15" s="35"/>
      <c r="AC15" s="35"/>
      <c r="AD15" s="35"/>
      <c r="AE15" s="35"/>
      <c r="AG15" s="35"/>
      <c r="AH15" s="35"/>
      <c r="AI15" s="35"/>
      <c r="AJ15" s="35"/>
      <c r="AK15" s="35"/>
      <c r="AM15" s="35"/>
      <c r="AN15" s="35"/>
      <c r="AO15" s="90"/>
      <c r="AP15" s="35"/>
      <c r="AQ15" s="35"/>
      <c r="AS15" s="35"/>
      <c r="AT15" s="35"/>
    </row>
    <row r="16" spans="1:48" s="29" customFormat="1" ht="15.75" x14ac:dyDescent="0.25">
      <c r="A16" s="36" t="s">
        <v>23</v>
      </c>
      <c r="B16" s="35">
        <f>J46/$D$3</f>
        <v>0.81961366099636435</v>
      </c>
      <c r="C16" s="35">
        <f>9.18/12</f>
        <v>0.76500000000000001</v>
      </c>
      <c r="D16" s="226">
        <v>0</v>
      </c>
      <c r="E16" s="280">
        <v>922.3135500000003</v>
      </c>
      <c r="F16" s="35">
        <f t="shared" si="0"/>
        <v>8.4150000000000003E-2</v>
      </c>
      <c r="G16" s="35">
        <f t="shared" si="1"/>
        <v>0.20524390243902441</v>
      </c>
      <c r="H16" s="29">
        <f t="shared" si="12"/>
        <v>340.41014182162002</v>
      </c>
      <c r="I16" s="35">
        <f t="shared" si="5"/>
        <v>340.61538572405902</v>
      </c>
      <c r="J16" s="35">
        <f t="shared" si="10"/>
        <v>0</v>
      </c>
      <c r="K16" s="280">
        <v>1396.9837061099997</v>
      </c>
      <c r="L16" s="35">
        <f t="shared" si="2"/>
        <v>1.17045</v>
      </c>
      <c r="M16" s="35">
        <f t="shared" si="3"/>
        <v>2.8547560975609758</v>
      </c>
      <c r="N16" s="29">
        <f t="shared" si="13"/>
        <v>436.21478265548507</v>
      </c>
      <c r="O16" s="35">
        <f t="shared" si="6"/>
        <v>439.06953875304606</v>
      </c>
      <c r="P16" s="35">
        <f t="shared" si="14"/>
        <v>0</v>
      </c>
      <c r="Q16" s="280">
        <v>1609.8437560999998</v>
      </c>
      <c r="R16" s="35">
        <f t="shared" si="15"/>
        <v>1.4687999999999999</v>
      </c>
      <c r="S16" s="35">
        <f t="shared" si="4"/>
        <v>3.582439024390244</v>
      </c>
      <c r="T16" s="29">
        <f t="shared" si="7"/>
        <v>522.82335821297079</v>
      </c>
      <c r="U16" s="35">
        <f t="shared" si="8"/>
        <v>526.40579723736107</v>
      </c>
      <c r="V16" s="35">
        <f t="shared" si="11"/>
        <v>0</v>
      </c>
      <c r="W16" s="35">
        <f t="shared" si="9"/>
        <v>6.12</v>
      </c>
      <c r="X16" s="35"/>
      <c r="AA16" s="276"/>
      <c r="AB16" s="35"/>
      <c r="AC16" s="35"/>
      <c r="AD16" s="35"/>
      <c r="AE16" s="35"/>
      <c r="AG16" s="35"/>
      <c r="AH16" s="35"/>
      <c r="AI16" s="35"/>
      <c r="AJ16" s="35"/>
      <c r="AK16" s="35"/>
      <c r="AM16" s="35"/>
      <c r="AN16" s="35"/>
      <c r="AO16" s="90"/>
      <c r="AP16" s="35"/>
      <c r="AQ16" s="35"/>
      <c r="AS16" s="35"/>
      <c r="AT16" s="35"/>
    </row>
    <row r="17" spans="1:52" s="29" customFormat="1" ht="15.75" x14ac:dyDescent="0.25">
      <c r="A17" s="36" t="s">
        <v>24</v>
      </c>
      <c r="B17" s="35">
        <f>K46/$D$3</f>
        <v>1.0735537910059216</v>
      </c>
      <c r="C17" s="35">
        <f>10.96/12</f>
        <v>0.91333333333333344</v>
      </c>
      <c r="D17" s="226">
        <v>7.3333333333333334E-2</v>
      </c>
      <c r="E17" s="280">
        <v>696.19797000000005</v>
      </c>
      <c r="F17" s="35">
        <f t="shared" si="0"/>
        <v>9.240000000000001E-2</v>
      </c>
      <c r="G17" s="35">
        <f t="shared" si="1"/>
        <v>0.22536585365853662</v>
      </c>
      <c r="H17" s="29">
        <f t="shared" si="12"/>
        <v>445.87909601848941</v>
      </c>
      <c r="I17" s="35">
        <f t="shared" si="5"/>
        <v>446.10446187214797</v>
      </c>
      <c r="J17" s="35">
        <f t="shared" si="10"/>
        <v>0</v>
      </c>
      <c r="K17" s="280">
        <v>817.57244971</v>
      </c>
      <c r="L17" s="35">
        <f t="shared" si="2"/>
        <v>1.2852000000000001</v>
      </c>
      <c r="M17" s="35">
        <f t="shared" si="3"/>
        <v>3.134634146341464</v>
      </c>
      <c r="N17" s="29">
        <f t="shared" si="13"/>
        <v>571.36679864917164</v>
      </c>
      <c r="O17" s="35">
        <f t="shared" si="6"/>
        <v>574.5014327955131</v>
      </c>
      <c r="P17" s="35">
        <f t="shared" si="14"/>
        <v>0</v>
      </c>
      <c r="Q17" s="280">
        <v>1115.3646851000001</v>
      </c>
      <c r="R17" s="35">
        <f t="shared" si="15"/>
        <v>1.6128</v>
      </c>
      <c r="S17" s="35">
        <f t="shared" si="4"/>
        <v>3.9336585365853662</v>
      </c>
      <c r="T17" s="29">
        <f t="shared" si="7"/>
        <v>684.80922774476733</v>
      </c>
      <c r="U17" s="35">
        <f t="shared" si="8"/>
        <v>688.74288628135264</v>
      </c>
      <c r="V17" s="35">
        <f t="shared" si="11"/>
        <v>0</v>
      </c>
      <c r="W17" s="35">
        <f t="shared" si="9"/>
        <v>6.7200000000000006</v>
      </c>
      <c r="X17" s="35"/>
      <c r="AA17" s="276"/>
      <c r="AB17" s="35"/>
      <c r="AC17" s="35"/>
      <c r="AD17" s="35"/>
      <c r="AE17" s="35"/>
      <c r="AG17" s="35"/>
      <c r="AH17" s="35"/>
      <c r="AI17" s="35"/>
      <c r="AJ17" s="35"/>
      <c r="AK17" s="35"/>
      <c r="AM17" s="35"/>
      <c r="AN17" s="35"/>
      <c r="AO17" s="90"/>
      <c r="AP17" s="35"/>
      <c r="AQ17" s="35"/>
      <c r="AS17" s="35"/>
      <c r="AT17" s="35"/>
    </row>
    <row r="18" spans="1:52" s="29" customFormat="1" ht="15.75" x14ac:dyDescent="0.25">
      <c r="A18" s="36" t="s">
        <v>25</v>
      </c>
      <c r="B18" s="35">
        <f>L46/$D$3</f>
        <v>0.81435972727202866</v>
      </c>
      <c r="C18" s="35">
        <f>8.4/12</f>
        <v>0.70000000000000007</v>
      </c>
      <c r="D18" s="226">
        <v>0.28750000000000003</v>
      </c>
      <c r="E18" s="280">
        <v>554.77655900000013</v>
      </c>
      <c r="F18" s="35">
        <f t="shared" si="0"/>
        <v>4.5375000000000006E-2</v>
      </c>
      <c r="G18" s="35">
        <f t="shared" si="1"/>
        <v>0.11067073170731709</v>
      </c>
      <c r="H18" s="29">
        <f t="shared" si="12"/>
        <v>338.22802552789165</v>
      </c>
      <c r="I18" s="35">
        <f t="shared" si="5"/>
        <v>338.33869625959898</v>
      </c>
      <c r="J18" s="35">
        <f t="shared" si="10"/>
        <v>0</v>
      </c>
      <c r="K18" s="280">
        <v>891.54596335999997</v>
      </c>
      <c r="L18" s="35">
        <f t="shared" si="2"/>
        <v>0.63112500000000005</v>
      </c>
      <c r="M18" s="35">
        <f t="shared" si="3"/>
        <v>1.5393292682926831</v>
      </c>
      <c r="N18" s="29">
        <f t="shared" si="13"/>
        <v>433.4185340487191</v>
      </c>
      <c r="O18" s="35">
        <f t="shared" si="6"/>
        <v>434.9578633170118</v>
      </c>
      <c r="P18" s="35">
        <f t="shared" si="14"/>
        <v>0</v>
      </c>
      <c r="Q18" s="280">
        <v>1591.5363279999997</v>
      </c>
      <c r="R18" s="35">
        <f t="shared" si="15"/>
        <v>0.79200000000000004</v>
      </c>
      <c r="S18" s="35">
        <f t="shared" si="4"/>
        <v>1.9317073170731709</v>
      </c>
      <c r="T18" s="29">
        <f t="shared" si="7"/>
        <v>519.4719264295544</v>
      </c>
      <c r="U18" s="35">
        <f t="shared" si="8"/>
        <v>521.40363374662752</v>
      </c>
      <c r="V18" s="35">
        <f t="shared" si="11"/>
        <v>0</v>
      </c>
      <c r="W18" s="35">
        <f t="shared" si="9"/>
        <v>3.3000000000000003</v>
      </c>
      <c r="X18" s="35"/>
      <c r="AA18" s="276"/>
      <c r="AB18" s="35"/>
      <c r="AC18" s="35"/>
      <c r="AD18" s="35"/>
      <c r="AE18" s="35"/>
      <c r="AG18" s="35"/>
      <c r="AH18" s="35"/>
      <c r="AI18" s="35"/>
      <c r="AJ18" s="35"/>
      <c r="AK18" s="35"/>
      <c r="AM18" s="35"/>
      <c r="AN18" s="35"/>
      <c r="AO18" s="90"/>
      <c r="AP18" s="35"/>
      <c r="AQ18" s="35"/>
      <c r="AS18" s="35"/>
      <c r="AT18" s="35"/>
    </row>
    <row r="19" spans="1:52" s="29" customFormat="1" ht="15.75" x14ac:dyDescent="0.25">
      <c r="A19" s="36" t="s">
        <v>26</v>
      </c>
      <c r="B19" s="35">
        <f>M46/$D$3</f>
        <v>1.0070039638310033</v>
      </c>
      <c r="C19" s="35">
        <f>6.98/12</f>
        <v>0.58166666666666667</v>
      </c>
      <c r="D19" s="226">
        <v>0.10333333333333333</v>
      </c>
      <c r="E19" s="280">
        <v>483.76833299999993</v>
      </c>
      <c r="F19" s="35">
        <f t="shared" si="0"/>
        <v>5.2616666666666666E-2</v>
      </c>
      <c r="G19" s="35">
        <f t="shared" si="1"/>
        <v>0.12833333333333333</v>
      </c>
      <c r="H19" s="29">
        <f t="shared" si="12"/>
        <v>418.2389562979306</v>
      </c>
      <c r="I19" s="35">
        <f t="shared" si="5"/>
        <v>418.36728963126393</v>
      </c>
      <c r="J19" s="35">
        <f t="shared" si="10"/>
        <v>0</v>
      </c>
      <c r="K19" s="280">
        <v>868.00614140000027</v>
      </c>
      <c r="L19" s="35">
        <f t="shared" si="2"/>
        <v>0.73185</v>
      </c>
      <c r="M19" s="35">
        <f t="shared" si="3"/>
        <v>1.7850000000000001</v>
      </c>
      <c r="N19" s="29">
        <f t="shared" si="13"/>
        <v>535.94764963013665</v>
      </c>
      <c r="O19" s="35">
        <f t="shared" si="6"/>
        <v>537.73264963013662</v>
      </c>
      <c r="P19" s="35">
        <f t="shared" si="14"/>
        <v>0</v>
      </c>
      <c r="Q19" s="280">
        <v>1608.7131781999999</v>
      </c>
      <c r="R19" s="35">
        <f t="shared" si="15"/>
        <v>0.91839999999999999</v>
      </c>
      <c r="S19" s="35">
        <f t="shared" si="4"/>
        <v>2.2400000000000002</v>
      </c>
      <c r="T19" s="29">
        <f t="shared" si="7"/>
        <v>642.35775848815865</v>
      </c>
      <c r="U19" s="35">
        <f t="shared" si="8"/>
        <v>644.59775848815866</v>
      </c>
      <c r="V19" s="35">
        <f t="shared" si="11"/>
        <v>0</v>
      </c>
      <c r="W19" s="35">
        <f t="shared" si="9"/>
        <v>3.8266666666666667</v>
      </c>
      <c r="X19" s="35"/>
      <c r="AA19" s="276"/>
      <c r="AB19" s="35"/>
      <c r="AC19" s="35"/>
      <c r="AD19" s="35"/>
      <c r="AE19" s="35"/>
      <c r="AG19" s="35"/>
      <c r="AH19" s="35"/>
      <c r="AI19" s="35"/>
      <c r="AJ19" s="35"/>
      <c r="AK19" s="35"/>
      <c r="AM19" s="35"/>
      <c r="AN19" s="35"/>
      <c r="AO19" s="90"/>
      <c r="AP19" s="35"/>
      <c r="AQ19" s="35"/>
      <c r="AS19" s="35"/>
      <c r="AT19" s="35"/>
    </row>
    <row r="20" spans="1:52" s="29" customFormat="1" ht="15.75" x14ac:dyDescent="0.25">
      <c r="A20" s="36" t="s">
        <v>27</v>
      </c>
      <c r="B20" s="35">
        <f>N46/$D$3</f>
        <v>0.70227580781953436</v>
      </c>
      <c r="C20" s="35">
        <f>6.19/12</f>
        <v>0.51583333333333337</v>
      </c>
      <c r="D20" s="226">
        <v>4.9166666666666664E-2</v>
      </c>
      <c r="E20" s="280">
        <v>413.35514799999999</v>
      </c>
      <c r="F20" s="35">
        <f t="shared" si="0"/>
        <v>5.1333333333333335E-2</v>
      </c>
      <c r="G20" s="35">
        <f t="shared" si="1"/>
        <v>0.12520325203252033</v>
      </c>
      <c r="H20" s="29">
        <f t="shared" si="12"/>
        <v>291.67621126168717</v>
      </c>
      <c r="I20" s="35">
        <f t="shared" si="5"/>
        <v>291.80141451371969</v>
      </c>
      <c r="J20" s="35">
        <f t="shared" si="10"/>
        <v>0</v>
      </c>
      <c r="K20" s="280">
        <v>687.43103259999987</v>
      </c>
      <c r="L20" s="35">
        <f t="shared" si="2"/>
        <v>0.71400000000000008</v>
      </c>
      <c r="M20" s="35">
        <f t="shared" si="3"/>
        <v>1.7414634146341466</v>
      </c>
      <c r="N20" s="29">
        <f t="shared" si="13"/>
        <v>373.7652304377126</v>
      </c>
      <c r="O20" s="35">
        <f t="shared" si="6"/>
        <v>375.50669385234676</v>
      </c>
      <c r="P20" s="35">
        <f t="shared" si="14"/>
        <v>0</v>
      </c>
      <c r="Q20" s="280">
        <v>1242.445608</v>
      </c>
      <c r="R20" s="35">
        <f t="shared" si="15"/>
        <v>0.89600000000000002</v>
      </c>
      <c r="S20" s="35">
        <f t="shared" si="4"/>
        <v>2.1853658536585368</v>
      </c>
      <c r="T20" s="29">
        <f t="shared" si="7"/>
        <v>447.97471505000277</v>
      </c>
      <c r="U20" s="35">
        <f t="shared" si="8"/>
        <v>450.16008090366131</v>
      </c>
      <c r="V20" s="35">
        <f t="shared" si="11"/>
        <v>0</v>
      </c>
      <c r="W20" s="35">
        <f t="shared" si="9"/>
        <v>3.7333333333333334</v>
      </c>
      <c r="X20" s="35"/>
      <c r="AA20" s="276"/>
      <c r="AB20" s="35"/>
      <c r="AC20" s="35"/>
      <c r="AD20" s="35"/>
      <c r="AE20" s="35"/>
      <c r="AG20" s="35"/>
      <c r="AH20" s="35"/>
      <c r="AI20" s="35"/>
      <c r="AJ20" s="35"/>
      <c r="AK20" s="35"/>
      <c r="AM20" s="35"/>
      <c r="AN20" s="35"/>
      <c r="AO20" s="90"/>
      <c r="AP20" s="35"/>
      <c r="AQ20" s="35"/>
      <c r="AS20" s="35"/>
      <c r="AT20" s="35"/>
    </row>
    <row r="21" spans="1:52" s="29" customFormat="1" ht="15.75" x14ac:dyDescent="0.25">
      <c r="A21" s="36" t="s">
        <v>28</v>
      </c>
      <c r="B21" s="35">
        <f>O46/$D$3</f>
        <v>0.46584879022442938</v>
      </c>
      <c r="C21" s="35">
        <f>5.2/12</f>
        <v>0.43333333333333335</v>
      </c>
      <c r="D21" s="226">
        <v>0.02</v>
      </c>
      <c r="E21" s="280">
        <v>388.36342600000006</v>
      </c>
      <c r="F21" s="35">
        <f t="shared" si="0"/>
        <v>4.5466666666666669E-2</v>
      </c>
      <c r="G21" s="35">
        <f t="shared" si="1"/>
        <v>0.11089430894308944</v>
      </c>
      <c r="H21" s="29">
        <f t="shared" si="12"/>
        <v>193.48097804391224</v>
      </c>
      <c r="I21" s="35">
        <f t="shared" si="5"/>
        <v>193.59187235285535</v>
      </c>
      <c r="J21" s="35">
        <f t="shared" si="10"/>
        <v>0</v>
      </c>
      <c r="K21" s="280">
        <v>555.23275710000007</v>
      </c>
      <c r="L21" s="35">
        <f t="shared" si="2"/>
        <v>0.63239999999999996</v>
      </c>
      <c r="M21" s="35">
        <f t="shared" si="3"/>
        <v>1.5424390243902439</v>
      </c>
      <c r="N21" s="29">
        <f t="shared" si="13"/>
        <v>247.93404313324581</v>
      </c>
      <c r="O21" s="35">
        <f t="shared" si="6"/>
        <v>249.47648215763604</v>
      </c>
      <c r="P21" s="35">
        <f t="shared" si="14"/>
        <v>0</v>
      </c>
      <c r="Q21" s="280">
        <v>1132.1646759999996</v>
      </c>
      <c r="R21" s="35">
        <f t="shared" si="15"/>
        <v>0.79359999999999997</v>
      </c>
      <c r="S21" s="35">
        <f t="shared" si="4"/>
        <v>1.9356097560975609</v>
      </c>
      <c r="T21" s="29">
        <f t="shared" si="7"/>
        <v>297.16028479626124</v>
      </c>
      <c r="U21" s="35">
        <f t="shared" si="8"/>
        <v>299.0958945523588</v>
      </c>
      <c r="V21" s="35">
        <f t="shared" si="11"/>
        <v>0</v>
      </c>
      <c r="W21" s="35">
        <f t="shared" si="9"/>
        <v>3.3066666666666666</v>
      </c>
      <c r="X21" s="35"/>
      <c r="AA21" s="276"/>
      <c r="AB21" s="35"/>
      <c r="AC21" s="35"/>
      <c r="AD21" s="35"/>
      <c r="AE21" s="35"/>
      <c r="AG21" s="35"/>
      <c r="AH21" s="35"/>
      <c r="AI21" s="35"/>
      <c r="AJ21" s="35"/>
      <c r="AK21" s="35"/>
      <c r="AM21" s="35"/>
      <c r="AN21" s="35"/>
      <c r="AO21" s="90"/>
      <c r="AP21" s="35"/>
      <c r="AQ21" s="35"/>
      <c r="AS21" s="35"/>
      <c r="AT21" s="35"/>
    </row>
    <row r="22" spans="1:52" s="29" customFormat="1" ht="15.75" x14ac:dyDescent="0.25">
      <c r="A22" s="36" t="s">
        <v>29</v>
      </c>
      <c r="B22" s="35">
        <f>P46/$D$3</f>
        <v>8.2311628347925478E-2</v>
      </c>
      <c r="C22" s="35">
        <f>2.71/12</f>
        <v>0.22583333333333333</v>
      </c>
      <c r="D22" s="226">
        <v>2.6666666666666668E-2</v>
      </c>
      <c r="E22" s="280">
        <v>596.032735</v>
      </c>
      <c r="F22" s="35">
        <f t="shared" si="0"/>
        <v>2.1908333333333332E-2</v>
      </c>
      <c r="G22" s="35">
        <f t="shared" si="1"/>
        <v>5.3434959349593497E-2</v>
      </c>
      <c r="H22" s="29">
        <f t="shared" si="12"/>
        <v>34.186488601743889</v>
      </c>
      <c r="I22" s="35">
        <f t="shared" si="5"/>
        <v>34.239923561093484</v>
      </c>
      <c r="J22" s="35">
        <f t="shared" si="10"/>
        <v>0</v>
      </c>
      <c r="K22" s="280">
        <v>960.15815760000021</v>
      </c>
      <c r="L22" s="35">
        <f t="shared" si="2"/>
        <v>0.30472499999999997</v>
      </c>
      <c r="M22" s="35">
        <f t="shared" si="3"/>
        <v>0.74323170731707311</v>
      </c>
      <c r="N22" s="29">
        <f t="shared" si="13"/>
        <v>43.807894839332903</v>
      </c>
      <c r="O22" s="35">
        <f t="shared" si="6"/>
        <v>44.551126546649975</v>
      </c>
      <c r="P22" s="35">
        <f t="shared" si="14"/>
        <v>0</v>
      </c>
      <c r="Q22" s="280">
        <v>1868.0122112999993</v>
      </c>
      <c r="R22" s="35">
        <f t="shared" si="15"/>
        <v>0.38239999999999996</v>
      </c>
      <c r="S22" s="35">
        <f t="shared" si="4"/>
        <v>0.93268292682926823</v>
      </c>
      <c r="T22" s="29">
        <f t="shared" si="7"/>
        <v>52.505764606858179</v>
      </c>
      <c r="U22" s="35">
        <f t="shared" si="8"/>
        <v>53.438447533687444</v>
      </c>
      <c r="V22" s="35">
        <f t="shared" si="11"/>
        <v>0</v>
      </c>
      <c r="W22" s="35">
        <f t="shared" si="9"/>
        <v>1.5933333333333333</v>
      </c>
      <c r="X22" s="35"/>
      <c r="AA22" s="276"/>
      <c r="AB22" s="35"/>
      <c r="AC22" s="35"/>
      <c r="AD22" s="35"/>
      <c r="AE22" s="35"/>
      <c r="AG22" s="35"/>
      <c r="AH22" s="35"/>
      <c r="AI22" s="35"/>
      <c r="AJ22" s="35"/>
      <c r="AK22" s="35"/>
      <c r="AM22" s="35"/>
      <c r="AN22" s="35"/>
      <c r="AO22" s="90"/>
      <c r="AP22" s="35"/>
      <c r="AQ22" s="35"/>
      <c r="AS22" s="35"/>
      <c r="AT22" s="35"/>
    </row>
    <row r="23" spans="1:52" s="29" customFormat="1" ht="15.75" x14ac:dyDescent="0.25">
      <c r="A23" s="36" t="s">
        <v>204</v>
      </c>
      <c r="B23" s="35">
        <f>Q46/$D$3</f>
        <v>0</v>
      </c>
      <c r="C23" s="123">
        <f>2.21/12</f>
        <v>0.18416666666666667</v>
      </c>
      <c r="D23" s="226">
        <v>0</v>
      </c>
      <c r="E23" s="249">
        <v>0.9123962000000001</v>
      </c>
      <c r="F23" s="35">
        <f t="shared" si="0"/>
        <v>2.0258333333333333E-2</v>
      </c>
      <c r="G23" s="35">
        <f t="shared" si="1"/>
        <v>4.9410569105691061E-2</v>
      </c>
      <c r="H23" s="29">
        <f>F$9*$B23</f>
        <v>0</v>
      </c>
      <c r="I23" s="35">
        <f>G23+H23</f>
        <v>4.9410569105691061E-2</v>
      </c>
      <c r="J23" s="249">
        <v>0</v>
      </c>
      <c r="K23" s="249">
        <v>29.355356000000008</v>
      </c>
      <c r="L23" s="35">
        <f t="shared" si="2"/>
        <v>0.281775</v>
      </c>
      <c r="M23" s="35">
        <f t="shared" si="3"/>
        <v>0.68725609756097561</v>
      </c>
      <c r="N23" s="29">
        <f>L$9*$B23</f>
        <v>0</v>
      </c>
      <c r="O23" s="35">
        <f>M23+N23</f>
        <v>0.68725609756097561</v>
      </c>
      <c r="P23" s="249">
        <v>0</v>
      </c>
      <c r="Q23" s="249">
        <v>43.219811300000003</v>
      </c>
      <c r="R23" s="35">
        <f>R$7*(IF($C23-$D23&lt;0,0,ABS($C23-$D23)))</f>
        <v>0.35360000000000003</v>
      </c>
      <c r="S23" s="35">
        <f t="shared" si="4"/>
        <v>0.862439024390244</v>
      </c>
      <c r="T23" s="29">
        <f>R$9*$B23</f>
        <v>0</v>
      </c>
      <c r="U23" s="35">
        <f>S23+T23</f>
        <v>0.862439024390244</v>
      </c>
      <c r="V23" s="249">
        <v>0</v>
      </c>
      <c r="W23" s="35">
        <f>W$7*(IF($C23-$D23&lt;0,0,ABS($C23-$D23)))</f>
        <v>1.4733333333333334</v>
      </c>
      <c r="X23" s="35"/>
      <c r="AA23" s="276"/>
      <c r="AB23" s="35"/>
      <c r="AD23" s="35"/>
      <c r="AE23" s="35"/>
      <c r="AG23" s="35"/>
      <c r="AH23" s="35"/>
      <c r="AJ23" s="35"/>
      <c r="AK23" s="35"/>
      <c r="AL23" s="35"/>
      <c r="AM23" s="35"/>
      <c r="AN23" s="35"/>
      <c r="AP23" s="35"/>
      <c r="AQ23" s="35"/>
      <c r="AR23" s="35"/>
      <c r="AS23" s="35"/>
      <c r="AT23" s="35"/>
    </row>
    <row r="24" spans="1:52" s="33" customFormat="1" ht="15.75" x14ac:dyDescent="0.25">
      <c r="A24" s="33" t="s">
        <v>34</v>
      </c>
      <c r="B24" s="33">
        <f t="shared" ref="B24:U24" si="16">SUM(B12:B23)</f>
        <v>5.5569105691056926</v>
      </c>
      <c r="C24" s="33">
        <f t="shared" si="16"/>
        <v>5.9208333333333343</v>
      </c>
      <c r="D24" s="33">
        <f t="shared" si="16"/>
        <v>1.0374999999999999</v>
      </c>
      <c r="E24" s="33">
        <f t="shared" si="16"/>
        <v>5582.9920172000002</v>
      </c>
      <c r="F24" s="33">
        <f t="shared" si="16"/>
        <v>0.53716666666666668</v>
      </c>
      <c r="G24" s="33">
        <f t="shared" si="16"/>
        <v>1.3101626016260162</v>
      </c>
      <c r="H24" s="33">
        <f t="shared" si="16"/>
        <v>2307.9516666666668</v>
      </c>
      <c r="I24" s="33">
        <f t="shared" si="16"/>
        <v>2309.2618292682928</v>
      </c>
      <c r="J24" s="33">
        <f t="shared" si="16"/>
        <v>0</v>
      </c>
      <c r="K24" s="33">
        <f t="shared" si="16"/>
        <v>8092.00024493</v>
      </c>
      <c r="L24" s="33">
        <f t="shared" si="16"/>
        <v>7.4714999999999998</v>
      </c>
      <c r="M24" s="33">
        <f t="shared" si="16"/>
        <v>18.223170731707317</v>
      </c>
      <c r="N24" s="33">
        <f t="shared" si="16"/>
        <v>2957.498943089432</v>
      </c>
      <c r="O24" s="33">
        <f t="shared" si="16"/>
        <v>2975.7221138211389</v>
      </c>
      <c r="P24" s="33">
        <f t="shared" si="16"/>
        <v>0</v>
      </c>
      <c r="Q24" s="33">
        <f t="shared" si="16"/>
        <v>13561.2224064</v>
      </c>
      <c r="R24" s="33">
        <f t="shared" si="16"/>
        <v>9.3760000000000012</v>
      </c>
      <c r="S24" s="33">
        <f t="shared" si="16"/>
        <v>22.868292682926835</v>
      </c>
      <c r="T24" s="33">
        <f t="shared" si="16"/>
        <v>3544.6976829268301</v>
      </c>
      <c r="U24" s="33">
        <f t="shared" si="16"/>
        <v>3567.5659756097571</v>
      </c>
      <c r="V24" s="33">
        <f>SUM(V12:V23)</f>
        <v>0</v>
      </c>
      <c r="W24" s="33">
        <f>SUM(W12:W23)</f>
        <v>39.06666666666667</v>
      </c>
    </row>
    <row r="25" spans="1:52" s="29" customFormat="1" x14ac:dyDescent="0.2">
      <c r="A25" s="172" t="s">
        <v>339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1" t="s">
        <v>331</v>
      </c>
      <c r="U25" s="206"/>
      <c r="V25" s="206"/>
    </row>
    <row r="26" spans="1:52" s="29" customFormat="1" x14ac:dyDescent="0.2">
      <c r="A26" s="29" t="s">
        <v>338</v>
      </c>
    </row>
    <row r="27" spans="1:52" s="104" customFormat="1" ht="18" x14ac:dyDescent="0.25">
      <c r="A27" s="98" t="s">
        <v>35</v>
      </c>
      <c r="B27" s="99"/>
      <c r="C27" s="102"/>
      <c r="D27" s="103"/>
      <c r="E27" s="103"/>
      <c r="F27" s="305" t="s">
        <v>117</v>
      </c>
      <c r="G27" s="306"/>
      <c r="H27" s="306"/>
      <c r="I27" s="306"/>
      <c r="J27" s="306"/>
      <c r="K27" s="306"/>
      <c r="L27" s="307" t="s">
        <v>118</v>
      </c>
      <c r="M27" s="306"/>
      <c r="N27" s="306"/>
      <c r="O27" s="306"/>
      <c r="P27" s="306"/>
      <c r="Q27" s="306"/>
      <c r="R27" s="137"/>
      <c r="S27" s="308" t="s">
        <v>71</v>
      </c>
      <c r="T27" s="309"/>
      <c r="U27" s="309"/>
      <c r="V27" s="309"/>
      <c r="W27" s="309"/>
      <c r="X27" s="309"/>
      <c r="Y27" s="162"/>
      <c r="Z27" s="164"/>
      <c r="AA27" s="48"/>
      <c r="AB27" s="48"/>
      <c r="AC27" s="48"/>
      <c r="AD27" s="48"/>
      <c r="AE27" s="48"/>
      <c r="AF27" s="48"/>
      <c r="AG27" s="162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165"/>
      <c r="AV27" s="165"/>
      <c r="AW27" s="165"/>
      <c r="AX27" s="165"/>
      <c r="AY27" s="165"/>
      <c r="AZ27" s="165"/>
    </row>
    <row r="28" spans="1:52" s="2" customFormat="1" ht="72.75" customHeight="1" x14ac:dyDescent="0.2">
      <c r="A28" s="89"/>
      <c r="B28" s="89"/>
      <c r="C28" s="105" t="s">
        <v>8</v>
      </c>
      <c r="D28" s="105" t="s">
        <v>9</v>
      </c>
      <c r="E28" s="105"/>
      <c r="F28" s="83" t="s">
        <v>200</v>
      </c>
      <c r="G28" s="86" t="s">
        <v>0</v>
      </c>
      <c r="H28" s="83" t="s">
        <v>2</v>
      </c>
      <c r="I28" s="83" t="s">
        <v>3</v>
      </c>
      <c r="J28" s="83" t="s">
        <v>288</v>
      </c>
      <c r="K28" s="83" t="s">
        <v>289</v>
      </c>
      <c r="L28" s="89"/>
      <c r="M28" s="83" t="s">
        <v>202</v>
      </c>
      <c r="N28" s="86" t="s">
        <v>0</v>
      </c>
      <c r="O28" s="83" t="s">
        <v>289</v>
      </c>
      <c r="P28" s="83" t="s">
        <v>201</v>
      </c>
      <c r="Q28" s="86" t="s">
        <v>0</v>
      </c>
      <c r="S28" s="86" t="s">
        <v>119</v>
      </c>
      <c r="T28" s="83" t="s">
        <v>1</v>
      </c>
      <c r="U28" s="83" t="s">
        <v>4</v>
      </c>
      <c r="V28" s="86" t="s">
        <v>290</v>
      </c>
      <c r="W28" s="86" t="s">
        <v>120</v>
      </c>
      <c r="X28" s="86" t="s">
        <v>291</v>
      </c>
      <c r="Y28" s="83"/>
      <c r="Z28" s="86"/>
      <c r="AA28" s="83"/>
      <c r="AB28" s="83"/>
      <c r="AC28" s="86"/>
      <c r="AD28" s="86"/>
      <c r="AE28" s="86"/>
      <c r="AG28" s="59"/>
    </row>
    <row r="29" spans="1:52" ht="15.75" x14ac:dyDescent="0.25">
      <c r="A29" s="28" t="s">
        <v>235</v>
      </c>
      <c r="B29" s="29"/>
      <c r="C29" s="35">
        <f>B24*D3</f>
        <v>2.2783333333333338</v>
      </c>
      <c r="E29" s="35"/>
      <c r="F29" s="35">
        <f>($F9+$L9+$R9+$X9+$AD9+$AJ9)-F30</f>
        <v>1585.44</v>
      </c>
      <c r="G29" s="35">
        <f>F29*$C29</f>
        <v>3612.160800000001</v>
      </c>
      <c r="H29" s="29">
        <f>H24+N24+T24+Z24+AF24+AL24</f>
        <v>8810.1482926829285</v>
      </c>
      <c r="I29" s="29"/>
      <c r="J29" s="29"/>
      <c r="K29" s="29">
        <f>G29*J32</f>
        <v>0</v>
      </c>
      <c r="L29" s="29"/>
      <c r="M29" s="226">
        <v>307.86</v>
      </c>
      <c r="N29" s="35">
        <f>M29*$C29</f>
        <v>701.4077000000002</v>
      </c>
      <c r="O29" s="29">
        <f>J32*N29</f>
        <v>0</v>
      </c>
      <c r="P29" s="226">
        <v>166.17</v>
      </c>
      <c r="Q29" s="35">
        <f>P29*$C29</f>
        <v>378.59065000000004</v>
      </c>
      <c r="S29" s="29">
        <f>F29+M29+P29</f>
        <v>2059.4700000000003</v>
      </c>
      <c r="T29" s="29">
        <f>G29+N29+Q29</f>
        <v>4692.1591500000013</v>
      </c>
      <c r="U29" s="29">
        <f>O29+K29</f>
        <v>0</v>
      </c>
      <c r="V29" s="29">
        <f>T29-U29</f>
        <v>4692.1591500000013</v>
      </c>
      <c r="W29" s="29"/>
      <c r="X29" s="29"/>
      <c r="Y29" s="29"/>
      <c r="Z29" s="29"/>
      <c r="AA29" s="3"/>
      <c r="AB29" s="29"/>
      <c r="AC29" s="29"/>
      <c r="AD29" s="29"/>
      <c r="AE29" s="29"/>
      <c r="AG29" s="29"/>
      <c r="AH29" s="30"/>
      <c r="AI29" s="30"/>
      <c r="AM29" s="29"/>
    </row>
    <row r="30" spans="1:52" ht="15.75" x14ac:dyDescent="0.25">
      <c r="A30" s="28" t="s">
        <v>236</v>
      </c>
      <c r="B30" s="29"/>
      <c r="C30" s="29"/>
      <c r="D30" s="35"/>
      <c r="E30" s="35"/>
      <c r="F30" s="35"/>
      <c r="G30" s="35"/>
      <c r="H30" s="29"/>
      <c r="I30" s="29"/>
      <c r="J30" s="29"/>
      <c r="K30" s="29"/>
      <c r="L30" s="29"/>
      <c r="M30" s="35">
        <v>0</v>
      </c>
      <c r="N30" s="35"/>
      <c r="O30" s="29"/>
      <c r="P30" s="29">
        <v>0</v>
      </c>
      <c r="Q30" s="35"/>
      <c r="S30" s="29"/>
      <c r="T30" s="29"/>
      <c r="U30" s="29"/>
      <c r="V30" s="29"/>
      <c r="W30" s="29"/>
      <c r="X30" s="29"/>
      <c r="Y30" s="29"/>
      <c r="Z30" s="29"/>
      <c r="AA30" s="3"/>
      <c r="AB30" s="29"/>
      <c r="AC30" s="29"/>
      <c r="AD30" s="29"/>
      <c r="AE30" s="29"/>
      <c r="AG30" s="29"/>
      <c r="AH30" s="30"/>
      <c r="AI30" s="30"/>
      <c r="AK30" s="3"/>
      <c r="AM30" s="29"/>
    </row>
    <row r="31" spans="1:52" s="29" customFormat="1" ht="15.75" x14ac:dyDescent="0.25">
      <c r="A31" s="29" t="s">
        <v>48</v>
      </c>
      <c r="E31" s="35"/>
      <c r="F31" s="35">
        <f>F7+L7+R7+X7+AD7+AJ7+AP7</f>
        <v>3.56</v>
      </c>
      <c r="G31" s="35">
        <f>F31*($C24-$D24)</f>
        <v>17.384666666666671</v>
      </c>
      <c r="H31" s="29">
        <f>G24+M24+S24+W24</f>
        <v>81.46829268292683</v>
      </c>
      <c r="K31" s="29">
        <f>G31*J32</f>
        <v>0</v>
      </c>
      <c r="M31" s="249">
        <v>66.23</v>
      </c>
      <c r="N31" s="35">
        <f>M31*($C24-$D24)</f>
        <v>323.42316666666676</v>
      </c>
      <c r="O31" s="35">
        <f>J32*N31</f>
        <v>0</v>
      </c>
      <c r="P31" s="226">
        <v>1.01</v>
      </c>
      <c r="Q31" s="35">
        <f>P31*($C24-$D24)</f>
        <v>4.9321666666666681</v>
      </c>
      <c r="R31" s="35"/>
      <c r="S31" s="29">
        <f>F31+M31+P31</f>
        <v>70.800000000000011</v>
      </c>
      <c r="T31" s="29">
        <f>G31+N31+Q31</f>
        <v>345.74000000000007</v>
      </c>
      <c r="U31" s="29">
        <f>O31+K31</f>
        <v>0</v>
      </c>
      <c r="V31" s="29">
        <f>T31-U31</f>
        <v>345.74000000000007</v>
      </c>
      <c r="W31" s="32"/>
      <c r="AA31" s="3"/>
      <c r="AD31" s="32"/>
      <c r="AH31" s="28"/>
      <c r="AI31" s="28"/>
      <c r="AJ31" s="28"/>
      <c r="AK31" s="28"/>
      <c r="AL31" s="28"/>
    </row>
    <row r="32" spans="1:52" ht="15.75" x14ac:dyDescent="0.25">
      <c r="A32" s="3" t="s">
        <v>71</v>
      </c>
      <c r="B32" s="29"/>
      <c r="D32" s="35"/>
      <c r="E32" s="35"/>
      <c r="F32" s="35">
        <f>SUM(F29:F31)</f>
        <v>1589</v>
      </c>
      <c r="G32" s="35">
        <f>SUM(G29:G31)</f>
        <v>3629.5454666666678</v>
      </c>
      <c r="H32" s="35">
        <f>SUM(H29:H31)</f>
        <v>8891.6165853658549</v>
      </c>
      <c r="I32" s="29">
        <f>J24+P24+V24+AB24+AH24+AN24+AT24</f>
        <v>0</v>
      </c>
      <c r="J32" s="33">
        <f>I32/H32</f>
        <v>0</v>
      </c>
      <c r="K32" s="35">
        <f>J32*G32</f>
        <v>0</v>
      </c>
      <c r="L32" s="29"/>
      <c r="M32" s="35">
        <f>SUM(M29:M31)</f>
        <v>374.09000000000003</v>
      </c>
      <c r="N32" s="35">
        <f>SUM(N29:N31)</f>
        <v>1024.8308666666669</v>
      </c>
      <c r="O32" s="35">
        <f>SUM(O29:O31)</f>
        <v>0</v>
      </c>
      <c r="P32" s="35">
        <f>SUM(P29:P31)</f>
        <v>167.17999999999998</v>
      </c>
      <c r="Q32" s="35">
        <f>SUM(Q29:Q31)</f>
        <v>383.5228166666667</v>
      </c>
      <c r="S32" s="29">
        <f>SUM(S29:S31)</f>
        <v>2130.2700000000004</v>
      </c>
      <c r="T32" s="29">
        <f>SUM(T29:T31)</f>
        <v>5037.8991500000011</v>
      </c>
      <c r="U32" s="29">
        <f>SUM(U29:U31)</f>
        <v>0</v>
      </c>
      <c r="V32" s="29">
        <f>SUM(V29:V31)</f>
        <v>5037.8991500000011</v>
      </c>
      <c r="W32" s="35">
        <f>(V32-Q32)*0.1+(Q32*0.02)</f>
        <v>473.10808966666679</v>
      </c>
      <c r="X32" s="29">
        <f>W32+V32</f>
        <v>5511.0072396666683</v>
      </c>
      <c r="Y32" s="29"/>
      <c r="Z32" s="3"/>
      <c r="AA32" s="3"/>
      <c r="AB32" s="3"/>
      <c r="AC32" s="3"/>
      <c r="AD32" s="27"/>
      <c r="AE32" s="3"/>
      <c r="AG32" s="29"/>
      <c r="AM32" s="29"/>
    </row>
    <row r="33" spans="1:33" ht="15.75" x14ac:dyDescent="0.25">
      <c r="A33" s="29"/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A33" s="29"/>
      <c r="AF33" s="29"/>
      <c r="AG33" s="29"/>
    </row>
    <row r="34" spans="1:33" ht="15.75" x14ac:dyDescent="0.25">
      <c r="A34" s="29" t="s">
        <v>121</v>
      </c>
      <c r="B34" s="29"/>
      <c r="C34" s="29"/>
      <c r="D34" s="35"/>
      <c r="E34" s="35"/>
      <c r="F34" s="35"/>
      <c r="G34" s="35"/>
      <c r="H34" s="29"/>
      <c r="I34" s="29"/>
      <c r="J34" s="35"/>
      <c r="K34" s="35"/>
      <c r="L34" s="29"/>
      <c r="M34" s="35"/>
      <c r="N34" s="35"/>
      <c r="O34" s="29"/>
      <c r="P34" s="35"/>
      <c r="Q34" s="35"/>
      <c r="R34" s="35"/>
      <c r="S34" s="29"/>
      <c r="T34" s="29"/>
      <c r="U34" s="29"/>
      <c r="V34" s="29"/>
      <c r="W34" s="29"/>
      <c r="X34" s="3"/>
      <c r="Y34" s="29"/>
      <c r="Z34" s="29"/>
      <c r="AG34" s="29"/>
    </row>
    <row r="35" spans="1:33" ht="15.75" x14ac:dyDescent="0.25">
      <c r="A35" s="29" t="s">
        <v>344</v>
      </c>
      <c r="C35" s="35"/>
      <c r="D35" s="35"/>
      <c r="E35" s="35"/>
      <c r="F35" s="29"/>
      <c r="G35" s="29"/>
      <c r="H35" s="35"/>
      <c r="I35" s="29"/>
      <c r="J35" s="35"/>
      <c r="K35" s="35"/>
      <c r="L35" s="29"/>
      <c r="M35" s="35"/>
      <c r="N35" s="35"/>
      <c r="O35" s="29"/>
      <c r="P35" s="29"/>
      <c r="Q35" s="29"/>
      <c r="R35" s="29"/>
      <c r="S35" s="3"/>
      <c r="T35" s="32"/>
      <c r="U35" s="29"/>
      <c r="V35" s="29"/>
      <c r="W35" s="29"/>
      <c r="X35" s="3"/>
      <c r="Y35" s="32"/>
      <c r="Z35" s="29"/>
      <c r="AA35" s="29"/>
    </row>
    <row r="36" spans="1:33" s="97" customFormat="1" ht="15.75" x14ac:dyDescent="0.25">
      <c r="A36" s="100" t="s">
        <v>192</v>
      </c>
      <c r="B36" s="100"/>
      <c r="D36" s="94"/>
      <c r="E36" s="94"/>
      <c r="F36" s="94"/>
      <c r="G36" s="101"/>
      <c r="H36" s="94"/>
      <c r="I36" s="94"/>
      <c r="J36" s="94"/>
      <c r="K36" s="94"/>
      <c r="L36" s="94"/>
      <c r="M36" s="101"/>
      <c r="N36" s="94"/>
      <c r="O36" s="94"/>
      <c r="P36" s="94"/>
      <c r="Q36" s="94"/>
      <c r="R36" s="94"/>
      <c r="S36" s="101"/>
      <c r="T36" s="94"/>
      <c r="U36" s="94"/>
      <c r="V36" s="95"/>
      <c r="W36" s="95"/>
      <c r="X36" s="95"/>
      <c r="Y36" s="96"/>
      <c r="Z36" s="95"/>
      <c r="AA36" s="95"/>
      <c r="AF36" s="95"/>
      <c r="AG36" s="95"/>
    </row>
    <row r="37" spans="1:33" ht="15.75" x14ac:dyDescent="0.25">
      <c r="A37" s="29"/>
      <c r="B37" s="29"/>
      <c r="C37" s="36"/>
      <c r="D37" s="3"/>
      <c r="E37" s="3"/>
      <c r="F37" s="33" t="s">
        <v>87</v>
      </c>
      <c r="G37" s="33" t="s">
        <v>88</v>
      </c>
      <c r="H37" s="33" t="s">
        <v>89</v>
      </c>
      <c r="I37" s="33" t="s">
        <v>90</v>
      </c>
      <c r="J37" s="33" t="s">
        <v>23</v>
      </c>
      <c r="K37" s="33" t="s">
        <v>91</v>
      </c>
      <c r="L37" s="33" t="s">
        <v>92</v>
      </c>
      <c r="M37" s="33" t="s">
        <v>93</v>
      </c>
      <c r="N37" s="33" t="s">
        <v>94</v>
      </c>
      <c r="O37" s="33" t="s">
        <v>95</v>
      </c>
      <c r="P37" s="33" t="s">
        <v>96</v>
      </c>
      <c r="Q37" s="33" t="s">
        <v>97</v>
      </c>
      <c r="R37" s="33" t="s">
        <v>71</v>
      </c>
      <c r="S37" s="27"/>
      <c r="T37" s="3"/>
      <c r="U37" s="3"/>
      <c r="V37" s="29"/>
      <c r="W37" s="29"/>
      <c r="X37" s="29"/>
      <c r="Y37" s="32"/>
      <c r="Z37" s="29"/>
      <c r="AA37" s="29"/>
      <c r="AF37" s="29"/>
      <c r="AG37" s="29"/>
    </row>
    <row r="38" spans="1:33" ht="15.75" x14ac:dyDescent="0.25">
      <c r="A38" s="3"/>
      <c r="B38" s="3"/>
      <c r="C38" s="3"/>
      <c r="T38" s="3" t="s">
        <v>14</v>
      </c>
      <c r="U38" s="29"/>
      <c r="V38" s="3"/>
      <c r="W38" s="32"/>
      <c r="X38" s="29"/>
      <c r="Y38" s="32"/>
      <c r="AF38" s="29"/>
      <c r="AG38" s="29"/>
    </row>
    <row r="39" spans="1:33" ht="15.75" x14ac:dyDescent="0.25">
      <c r="A39" s="3" t="s">
        <v>329</v>
      </c>
      <c r="B39" s="3"/>
      <c r="C39" s="106"/>
      <c r="F39" s="226">
        <v>0</v>
      </c>
      <c r="G39" s="226">
        <v>0</v>
      </c>
      <c r="H39" s="226">
        <v>0.63</v>
      </c>
      <c r="I39" s="226">
        <v>2.75</v>
      </c>
      <c r="J39" s="226">
        <v>4.68</v>
      </c>
      <c r="K39" s="226">
        <v>6.13</v>
      </c>
      <c r="L39" s="226">
        <v>4.6500000000000004</v>
      </c>
      <c r="M39" s="226">
        <v>5.75</v>
      </c>
      <c r="N39" s="226">
        <v>4.01</v>
      </c>
      <c r="O39" s="226">
        <v>2.66</v>
      </c>
      <c r="P39" s="226">
        <v>0.47</v>
      </c>
      <c r="Q39" s="226">
        <v>0</v>
      </c>
      <c r="R39" s="29">
        <f>SUM(F39:Q39)</f>
        <v>31.729999999999993</v>
      </c>
      <c r="T39" s="29"/>
      <c r="U39" s="3" t="s">
        <v>79</v>
      </c>
      <c r="V39" s="29"/>
      <c r="W39" s="27"/>
      <c r="X39" s="29"/>
      <c r="Y39" s="32"/>
      <c r="AF39" s="29"/>
      <c r="AG39" s="29"/>
    </row>
    <row r="40" spans="1:33" ht="15.75" x14ac:dyDescent="0.25">
      <c r="A40" s="3" t="s">
        <v>98</v>
      </c>
      <c r="B40" s="3"/>
      <c r="C40" s="29"/>
      <c r="F40" s="29">
        <f>F39/$R39</f>
        <v>0</v>
      </c>
      <c r="G40" s="29">
        <f t="shared" ref="G40:Q40" si="17">G39/$R39</f>
        <v>0</v>
      </c>
      <c r="H40" s="29">
        <f t="shared" si="17"/>
        <v>1.9855026788528213E-2</v>
      </c>
      <c r="I40" s="29">
        <f t="shared" si="17"/>
        <v>8.6668767727702503E-2</v>
      </c>
      <c r="J40" s="29">
        <f t="shared" si="17"/>
        <v>0.14749448471478099</v>
      </c>
      <c r="K40" s="29">
        <f t="shared" si="17"/>
        <v>0.19319256224393322</v>
      </c>
      <c r="L40" s="29">
        <f t="shared" si="17"/>
        <v>0.14654900724866063</v>
      </c>
      <c r="M40" s="29">
        <f t="shared" si="17"/>
        <v>0.18121651433974162</v>
      </c>
      <c r="N40" s="29">
        <f t="shared" si="17"/>
        <v>0.12637882130475891</v>
      </c>
      <c r="O40" s="29">
        <f t="shared" si="17"/>
        <v>8.383233532934134E-2</v>
      </c>
      <c r="P40" s="29">
        <f t="shared" si="17"/>
        <v>1.4812480302552791E-2</v>
      </c>
      <c r="Q40" s="29">
        <f t="shared" si="17"/>
        <v>0</v>
      </c>
      <c r="R40" s="29">
        <f>SUM(F40:Q40)</f>
        <v>1.0000000000000002</v>
      </c>
      <c r="T40" s="29"/>
      <c r="U40" s="3" t="s">
        <v>82</v>
      </c>
      <c r="V40" s="270">
        <v>89</v>
      </c>
      <c r="W40" s="29" t="s">
        <v>115</v>
      </c>
      <c r="X40" s="29"/>
      <c r="Y40" s="32"/>
      <c r="AE40" s="32"/>
      <c r="AF40" s="29"/>
      <c r="AG40" s="29"/>
    </row>
    <row r="41" spans="1:33" ht="16.5" thickBot="1" x14ac:dyDescent="0.3">
      <c r="A41" s="3"/>
      <c r="B41" s="3"/>
      <c r="C41" s="29"/>
      <c r="F41" s="29"/>
      <c r="G41" s="32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T41" s="29"/>
      <c r="U41" s="3" t="s">
        <v>375</v>
      </c>
      <c r="V41" s="270">
        <v>0</v>
      </c>
      <c r="Y41" s="32"/>
      <c r="AE41" s="32"/>
      <c r="AF41" s="29"/>
      <c r="AG41" s="29"/>
    </row>
    <row r="42" spans="1:33" ht="16.5" thickBot="1" x14ac:dyDescent="0.3">
      <c r="A42" s="94" t="s">
        <v>191</v>
      </c>
      <c r="B42" s="94"/>
      <c r="C42" s="95"/>
      <c r="D42" s="95"/>
      <c r="E42" s="95"/>
      <c r="F42" s="282">
        <v>27.34</v>
      </c>
      <c r="G42" s="94" t="s">
        <v>10</v>
      </c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T42" s="29"/>
      <c r="U42" s="3" t="s">
        <v>80</v>
      </c>
      <c r="V42" s="270">
        <v>145.76</v>
      </c>
      <c r="W42" s="29" t="s">
        <v>116</v>
      </c>
      <c r="X42" s="29"/>
      <c r="Y42" s="32"/>
      <c r="AE42" s="32"/>
      <c r="AF42" s="29"/>
      <c r="AG42" s="29"/>
    </row>
    <row r="43" spans="1:33" ht="15.75" x14ac:dyDescent="0.25">
      <c r="A43" s="3"/>
      <c r="B43" s="3"/>
      <c r="C43" s="29"/>
      <c r="F43" s="33" t="s">
        <v>87</v>
      </c>
      <c r="G43" s="33" t="s">
        <v>88</v>
      </c>
      <c r="H43" s="33" t="s">
        <v>89</v>
      </c>
      <c r="I43" s="33" t="s">
        <v>90</v>
      </c>
      <c r="J43" s="33" t="s">
        <v>23</v>
      </c>
      <c r="K43" s="33" t="s">
        <v>91</v>
      </c>
      <c r="L43" s="33" t="s">
        <v>92</v>
      </c>
      <c r="M43" s="33" t="s">
        <v>93</v>
      </c>
      <c r="N43" s="33" t="s">
        <v>94</v>
      </c>
      <c r="O43" s="33" t="s">
        <v>95</v>
      </c>
      <c r="P43" s="33" t="s">
        <v>96</v>
      </c>
      <c r="Q43" s="33" t="s">
        <v>97</v>
      </c>
      <c r="R43" s="33" t="s">
        <v>71</v>
      </c>
      <c r="T43" s="29"/>
      <c r="U43" s="3" t="s">
        <v>335</v>
      </c>
      <c r="V43" s="270">
        <v>27.7</v>
      </c>
      <c r="W43" s="29"/>
      <c r="X43" s="29"/>
      <c r="Y43" s="32"/>
      <c r="AE43" s="32"/>
      <c r="AF43" s="29"/>
      <c r="AG43" s="29"/>
    </row>
    <row r="44" spans="1:33" ht="15.75" x14ac:dyDescent="0.25">
      <c r="A44" s="3"/>
      <c r="B44" s="3"/>
      <c r="C44" s="29"/>
      <c r="F44" s="33"/>
      <c r="G44" s="27"/>
      <c r="H44" s="27"/>
      <c r="I44" s="33"/>
      <c r="J44" s="27"/>
      <c r="K44" s="27"/>
      <c r="L44" s="27"/>
      <c r="M44" s="27"/>
      <c r="N44" s="33"/>
      <c r="O44" s="27"/>
      <c r="P44" s="33"/>
      <c r="Q44" s="27"/>
      <c r="R44" s="33"/>
      <c r="T44" s="2"/>
      <c r="U44" s="3" t="s">
        <v>376</v>
      </c>
      <c r="V44" s="270"/>
      <c r="Y44" s="32"/>
      <c r="AE44" s="32"/>
      <c r="AF44" s="29"/>
      <c r="AG44" s="29"/>
    </row>
    <row r="45" spans="1:33" ht="15.75" x14ac:dyDescent="0.25">
      <c r="A45" s="3" t="s">
        <v>7</v>
      </c>
      <c r="B45" s="3"/>
      <c r="C45" s="29"/>
      <c r="F45" s="29">
        <f>F40*$F42</f>
        <v>0</v>
      </c>
      <c r="G45" s="29">
        <f t="shared" ref="G45:Q45" si="18">G40*$F42</f>
        <v>0</v>
      </c>
      <c r="H45" s="29">
        <f t="shared" si="18"/>
        <v>0.54283643239836132</v>
      </c>
      <c r="I45" s="29">
        <f t="shared" si="18"/>
        <v>2.3695241096753863</v>
      </c>
      <c r="J45" s="29">
        <f t="shared" si="18"/>
        <v>4.0324992121021124</v>
      </c>
      <c r="K45" s="29">
        <f t="shared" si="18"/>
        <v>5.2818846517491345</v>
      </c>
      <c r="L45" s="29">
        <f t="shared" si="18"/>
        <v>4.0066498581783812</v>
      </c>
      <c r="M45" s="29">
        <f t="shared" si="18"/>
        <v>4.954459502048536</v>
      </c>
      <c r="N45" s="29">
        <f t="shared" si="18"/>
        <v>3.4551969744721087</v>
      </c>
      <c r="O45" s="29">
        <f t="shared" si="18"/>
        <v>2.2919760479041922</v>
      </c>
      <c r="P45" s="29">
        <f t="shared" si="18"/>
        <v>0.40497321147179333</v>
      </c>
      <c r="Q45" s="29">
        <f t="shared" si="18"/>
        <v>0</v>
      </c>
      <c r="R45" s="29">
        <f>SUM(F45:Q45)</f>
        <v>27.340000000000007</v>
      </c>
      <c r="U45" s="30" t="s">
        <v>358</v>
      </c>
      <c r="V45" s="270">
        <v>0</v>
      </c>
      <c r="Y45" s="32"/>
      <c r="AE45" s="32"/>
      <c r="AF45" s="29"/>
      <c r="AG45" s="29"/>
    </row>
    <row r="46" spans="1:33" ht="15.75" x14ac:dyDescent="0.25">
      <c r="A46" s="3" t="s">
        <v>6</v>
      </c>
      <c r="B46" s="3"/>
      <c r="C46" s="29"/>
      <c r="F46" s="29">
        <f t="shared" ref="F46:Q46" si="19">F45/12</f>
        <v>0</v>
      </c>
      <c r="G46" s="29">
        <f t="shared" si="19"/>
        <v>0</v>
      </c>
      <c r="H46" s="29">
        <f t="shared" si="19"/>
        <v>4.523636936653011E-2</v>
      </c>
      <c r="I46" s="29">
        <f t="shared" si="19"/>
        <v>0.19746034247294886</v>
      </c>
      <c r="J46" s="29">
        <f t="shared" si="19"/>
        <v>0.33604160100850938</v>
      </c>
      <c r="K46" s="29">
        <f t="shared" si="19"/>
        <v>0.44015705431242785</v>
      </c>
      <c r="L46" s="29">
        <f t="shared" si="19"/>
        <v>0.33388748818153174</v>
      </c>
      <c r="M46" s="29">
        <f t="shared" si="19"/>
        <v>0.41287162517071135</v>
      </c>
      <c r="N46" s="29">
        <f t="shared" si="19"/>
        <v>0.28793308120600908</v>
      </c>
      <c r="O46" s="29">
        <f t="shared" si="19"/>
        <v>0.19099800399201602</v>
      </c>
      <c r="P46" s="29">
        <f t="shared" si="19"/>
        <v>3.3747767622649444E-2</v>
      </c>
      <c r="Q46" s="29">
        <f t="shared" si="19"/>
        <v>0</v>
      </c>
      <c r="R46" s="29">
        <f>SUM(F46:Q46)</f>
        <v>2.2783333333333338</v>
      </c>
      <c r="U46" s="3" t="s">
        <v>171</v>
      </c>
      <c r="V46" s="226"/>
      <c r="W46" s="173" t="s">
        <v>303</v>
      </c>
      <c r="X46"/>
      <c r="Y46" s="32"/>
      <c r="Z46" s="29"/>
      <c r="AA46" s="29"/>
      <c r="AB46" s="29"/>
      <c r="AC46" s="29"/>
      <c r="AD46" s="29"/>
      <c r="AE46" s="32"/>
      <c r="AF46" s="29"/>
      <c r="AG46" s="29"/>
    </row>
    <row r="47" spans="1:33" x14ac:dyDescent="0.2">
      <c r="W47" s="29"/>
      <c r="X47" s="29"/>
      <c r="Y47" s="32"/>
      <c r="Z47" s="29"/>
      <c r="AA47" s="29"/>
      <c r="AB47" s="29"/>
      <c r="AC47" s="29"/>
      <c r="AD47" s="29"/>
      <c r="AE47" s="32"/>
      <c r="AF47" s="29"/>
      <c r="AG47" s="29"/>
    </row>
    <row r="48" spans="1:33" x14ac:dyDescent="0.2">
      <c r="V48" s="29"/>
      <c r="W48" s="29"/>
      <c r="X48" s="29"/>
      <c r="Y48" s="32"/>
      <c r="Z48" s="29"/>
      <c r="AA48" s="29"/>
      <c r="AB48" s="29"/>
      <c r="AC48" s="29"/>
      <c r="AD48" s="29"/>
      <c r="AE48" s="32"/>
      <c r="AF48" s="29"/>
      <c r="AG48" s="29"/>
    </row>
    <row r="49" spans="1:33" ht="15.75" x14ac:dyDescent="0.25">
      <c r="B49" s="2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T49" s="3" t="s">
        <v>15</v>
      </c>
      <c r="V49" s="3">
        <f>SUM(V40:V46)</f>
        <v>262.45999999999998</v>
      </c>
      <c r="W49" s="29"/>
      <c r="X49" s="29"/>
      <c r="Y49" s="32"/>
      <c r="Z49" s="29"/>
      <c r="AA49" s="29"/>
      <c r="AB49" s="29"/>
      <c r="AC49" s="29"/>
      <c r="AD49" s="29"/>
      <c r="AE49" s="32"/>
      <c r="AF49" s="29"/>
      <c r="AG49" s="29"/>
    </row>
    <row r="50" spans="1:33" x14ac:dyDescent="0.2">
      <c r="V50" s="29"/>
      <c r="W50" s="29"/>
      <c r="X50" s="29"/>
      <c r="Y50" s="32"/>
      <c r="Z50" s="29"/>
      <c r="AA50" s="29"/>
      <c r="AB50" s="29"/>
      <c r="AC50" s="29"/>
      <c r="AD50" s="29"/>
      <c r="AE50" s="32"/>
      <c r="AF50" s="29"/>
      <c r="AG50" s="29"/>
    </row>
    <row r="51" spans="1:33" x14ac:dyDescent="0.2">
      <c r="B51" s="29"/>
      <c r="W51" s="29"/>
      <c r="X51" s="29"/>
      <c r="Y51" s="32"/>
      <c r="Z51" s="29"/>
      <c r="AA51" s="29"/>
      <c r="AB51" s="29"/>
      <c r="AC51" s="29"/>
      <c r="AD51" s="29"/>
      <c r="AE51" s="32"/>
      <c r="AF51" s="29"/>
      <c r="AG51" s="29"/>
    </row>
    <row r="52" spans="1:33" x14ac:dyDescent="0.2">
      <c r="B52" s="29"/>
      <c r="V52" s="29"/>
      <c r="W52" s="29"/>
      <c r="X52" s="29"/>
      <c r="Y52" s="32"/>
      <c r="Z52" s="29"/>
      <c r="AA52" s="29"/>
      <c r="AB52" s="29"/>
      <c r="AC52" s="29"/>
      <c r="AD52" s="29"/>
      <c r="AE52" s="32"/>
      <c r="AF52" s="29"/>
      <c r="AG52" s="29"/>
    </row>
    <row r="53" spans="1:33" x14ac:dyDescent="0.2">
      <c r="B53" s="29"/>
      <c r="V53" s="29"/>
      <c r="W53" s="29"/>
      <c r="X53" s="29"/>
      <c r="Y53" s="32"/>
      <c r="Z53" s="29"/>
      <c r="AA53" s="29"/>
      <c r="AB53" s="29"/>
      <c r="AC53" s="29"/>
      <c r="AD53" s="29"/>
      <c r="AE53" s="32"/>
      <c r="AF53" s="29"/>
      <c r="AG53" s="29"/>
    </row>
    <row r="54" spans="1:33" x14ac:dyDescent="0.2">
      <c r="B54" s="29"/>
      <c r="V54" s="29"/>
      <c r="W54" s="29"/>
      <c r="X54" s="29"/>
      <c r="Y54" s="32"/>
      <c r="Z54" s="29"/>
      <c r="AA54" s="29"/>
      <c r="AB54" s="29"/>
      <c r="AC54" s="29"/>
      <c r="AD54" s="29"/>
      <c r="AE54" s="32"/>
      <c r="AF54" s="29"/>
      <c r="AG54" s="29"/>
    </row>
    <row r="55" spans="1:33" x14ac:dyDescent="0.2">
      <c r="B55" s="29"/>
      <c r="V55" s="29"/>
      <c r="W55" s="29"/>
      <c r="X55" s="29"/>
      <c r="Y55" s="32"/>
      <c r="Z55" s="29"/>
      <c r="AA55" s="29"/>
      <c r="AB55" s="29"/>
      <c r="AC55" s="29"/>
      <c r="AD55" s="29"/>
      <c r="AE55" s="32"/>
      <c r="AF55" s="29"/>
      <c r="AG55" s="29"/>
    </row>
    <row r="56" spans="1:33" x14ac:dyDescent="0.2">
      <c r="B56" s="29"/>
      <c r="S56" s="32"/>
      <c r="T56" s="29"/>
      <c r="V56" s="29"/>
      <c r="W56" s="29"/>
      <c r="X56" s="29"/>
      <c r="Y56" s="32"/>
      <c r="Z56" s="29"/>
      <c r="AA56" s="29"/>
      <c r="AB56" s="29"/>
      <c r="AC56" s="29"/>
      <c r="AD56" s="29"/>
      <c r="AE56" s="32"/>
      <c r="AF56" s="29"/>
      <c r="AG56" s="29"/>
    </row>
    <row r="57" spans="1:33" s="29" customFormat="1" ht="15.75" x14ac:dyDescent="0.25">
      <c r="A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Z57" s="3"/>
      <c r="AA57" s="3"/>
      <c r="AB57" s="3"/>
      <c r="AC57" s="3"/>
      <c r="AD57" s="3"/>
      <c r="AE57" s="27"/>
      <c r="AF57" s="3"/>
      <c r="AG57" s="3"/>
    </row>
    <row r="58" spans="1:33" x14ac:dyDescent="0.2">
      <c r="B58" s="29"/>
      <c r="V58" s="29"/>
      <c r="W58" s="29"/>
      <c r="X58" s="29"/>
      <c r="Y58" s="32"/>
      <c r="Z58" s="29"/>
      <c r="AA58" s="29"/>
      <c r="AB58" s="29"/>
      <c r="AC58" s="29"/>
      <c r="AD58" s="29"/>
      <c r="AE58" s="32"/>
      <c r="AF58" s="29"/>
      <c r="AG58" s="29"/>
    </row>
    <row r="59" spans="1:33" x14ac:dyDescent="0.2">
      <c r="B59" s="29"/>
      <c r="V59" s="29"/>
      <c r="W59" s="29"/>
      <c r="X59" s="29"/>
      <c r="Y59" s="32"/>
      <c r="Z59" s="29"/>
      <c r="AA59" s="29"/>
      <c r="AB59" s="29"/>
      <c r="AC59" s="29"/>
      <c r="AD59" s="29"/>
      <c r="AE59" s="32"/>
      <c r="AF59" s="29"/>
      <c r="AG59" s="29"/>
    </row>
    <row r="60" spans="1:33" x14ac:dyDescent="0.2">
      <c r="B60" s="29"/>
      <c r="V60" s="29"/>
      <c r="W60" s="29"/>
      <c r="Y60" s="32"/>
      <c r="Z60" s="29"/>
      <c r="AA60" s="29"/>
      <c r="AB60" s="29"/>
      <c r="AC60" s="29"/>
      <c r="AD60" s="29"/>
      <c r="AE60" s="32"/>
      <c r="AF60" s="29"/>
      <c r="AG60" s="29"/>
    </row>
    <row r="61" spans="1:33" x14ac:dyDescent="0.2">
      <c r="B61" s="29"/>
      <c r="U61" s="29"/>
      <c r="V61" s="29"/>
      <c r="W61" s="29"/>
      <c r="X61" s="29"/>
      <c r="Y61" s="32"/>
      <c r="Z61" s="29"/>
      <c r="AA61" s="29"/>
      <c r="AB61" s="29"/>
      <c r="AC61" s="29"/>
      <c r="AD61" s="29"/>
      <c r="AE61" s="32"/>
      <c r="AF61" s="29"/>
      <c r="AG61" s="29"/>
    </row>
    <row r="62" spans="1:33" x14ac:dyDescent="0.2">
      <c r="B62" s="29"/>
    </row>
  </sheetData>
  <sheetProtection algorithmName="SHA-512" hashValue="HW3KK4AEAOtBI/W3nzMXwUsFUstgkdGX27OKL7b4bxbO15pmhnuFjcAJ63e2oNrJlQG+2jGMZ0LdRsVi8WHPow==" saltValue="3HRtYdW3EDsyxsVgFVyiHQ==" spinCount="100000" sheet="1" formatColumns="0"/>
  <mergeCells count="12">
    <mergeCell ref="AJ6:AN6"/>
    <mergeCell ref="AP6:AT6"/>
    <mergeCell ref="A3:C3"/>
    <mergeCell ref="E6:J6"/>
    <mergeCell ref="S27:X27"/>
    <mergeCell ref="AD6:AH6"/>
    <mergeCell ref="F27:K27"/>
    <mergeCell ref="L27:Q27"/>
    <mergeCell ref="W8:X10"/>
    <mergeCell ref="W11:X11"/>
    <mergeCell ref="K6:P6"/>
    <mergeCell ref="Q6:V6"/>
  </mergeCells>
  <phoneticPr fontId="0" type="noConversion"/>
  <printOptions horizontalCentered="1" gridLines="1"/>
  <pageMargins left="0.75" right="0.25" top="0.75" bottom="0.75" header="0.5" footer="0.5"/>
  <pageSetup paperSize="17" scale="75" orientation="landscape" r:id="rId1"/>
  <headerFooter alignWithMargins="0">
    <oddHeader>&amp;L&amp;D</oddHeader>
    <oddFooter>&amp;L&amp;F&amp;R&amp;A</oddFooter>
  </headerFooter>
  <colBreaks count="1" manualBreakCount="1">
    <brk id="46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A62"/>
  <sheetViews>
    <sheetView zoomScaleNormal="100" zoomScaleSheetLayoutView="75" workbookViewId="0">
      <selection activeCell="C12" sqref="C12:C23"/>
    </sheetView>
  </sheetViews>
  <sheetFormatPr defaultColWidth="9.140625" defaultRowHeight="15" x14ac:dyDescent="0.2"/>
  <cols>
    <col min="1" max="1" width="28.28515625" style="28" customWidth="1"/>
    <col min="2" max="27" width="10.7109375" style="28" customWidth="1"/>
    <col min="28" max="28" width="9.85546875" style="28" bestFit="1" customWidth="1"/>
    <col min="29" max="29" width="9.28515625" style="28" bestFit="1" customWidth="1"/>
    <col min="30" max="31" width="9.85546875" style="28" bestFit="1" customWidth="1"/>
    <col min="32" max="32" width="10.85546875" style="28" customWidth="1"/>
    <col min="33" max="34" width="9.85546875" style="28" bestFit="1" customWidth="1"/>
    <col min="35" max="35" width="8.28515625" style="28" customWidth="1"/>
    <col min="36" max="36" width="15.7109375" style="28" customWidth="1"/>
    <col min="37" max="37" width="7.140625" style="28" bestFit="1" customWidth="1"/>
    <col min="38" max="38" width="8.7109375" style="28" customWidth="1"/>
    <col min="39" max="40" width="8.7109375" style="28" bestFit="1" customWidth="1"/>
    <col min="41" max="41" width="6.7109375" style="28" bestFit="1" customWidth="1"/>
    <col min="42" max="208" width="9.7109375" style="28" customWidth="1"/>
    <col min="209" max="16384" width="9.140625" style="28"/>
  </cols>
  <sheetData>
    <row r="1" spans="1:49" ht="18" x14ac:dyDescent="0.25">
      <c r="A1" s="39" t="s">
        <v>83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32"/>
      <c r="U1" s="29"/>
      <c r="V1" s="29"/>
      <c r="W1" s="29"/>
      <c r="X1" s="29"/>
      <c r="Y1" s="29"/>
      <c r="Z1" s="32"/>
      <c r="AA1" s="29"/>
      <c r="AB1" s="29"/>
      <c r="AC1" s="29"/>
      <c r="AD1" s="29"/>
      <c r="AE1" s="29"/>
      <c r="AF1" s="32"/>
      <c r="AG1" s="29"/>
      <c r="AH1" s="29"/>
    </row>
    <row r="2" spans="1:49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</row>
    <row r="3" spans="1:49" s="29" customFormat="1" ht="18.75" x14ac:dyDescent="0.25">
      <c r="A3" s="298" t="s">
        <v>164</v>
      </c>
      <c r="B3" s="298"/>
      <c r="C3" s="298"/>
      <c r="D3" s="64">
        <v>0.441</v>
      </c>
      <c r="E3" s="29" t="s">
        <v>167</v>
      </c>
      <c r="M3" s="236"/>
      <c r="P3" s="32"/>
      <c r="U3" s="32"/>
      <c r="Z3" s="32"/>
      <c r="AC3" s="3"/>
      <c r="AE3" s="35"/>
    </row>
    <row r="4" spans="1:49" ht="18.75" x14ac:dyDescent="0.25">
      <c r="A4" s="65" t="s">
        <v>203</v>
      </c>
      <c r="B4" s="65"/>
      <c r="C4" s="29"/>
      <c r="F4" s="3"/>
      <c r="G4" s="27"/>
      <c r="H4" s="3"/>
      <c r="I4" s="3"/>
      <c r="J4" s="3"/>
      <c r="K4" s="3"/>
      <c r="L4" s="3"/>
      <c r="M4" s="235"/>
      <c r="N4" s="3"/>
      <c r="O4" s="3"/>
      <c r="P4" s="3"/>
      <c r="Q4" s="3"/>
      <c r="R4" s="3"/>
      <c r="S4" s="27"/>
      <c r="T4" s="27"/>
      <c r="U4" s="3"/>
      <c r="V4" s="3"/>
      <c r="W4" s="29"/>
      <c r="X4" s="29"/>
      <c r="Y4" s="29"/>
      <c r="Z4" s="32"/>
      <c r="AA4" s="3"/>
      <c r="AH4" s="29"/>
    </row>
    <row r="5" spans="1:49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84"/>
      <c r="AI5" s="81"/>
      <c r="AJ5" s="81"/>
      <c r="AK5" s="81"/>
      <c r="AL5" s="81"/>
      <c r="AM5" s="81"/>
      <c r="AN5" s="81"/>
      <c r="AO5" s="81"/>
      <c r="AP5" s="81"/>
    </row>
    <row r="6" spans="1:49" s="29" customFormat="1" ht="15.75" customHeight="1" x14ac:dyDescent="0.25">
      <c r="A6" s="27"/>
      <c r="B6" s="27"/>
      <c r="D6" s="27"/>
      <c r="E6" s="303" t="s">
        <v>220</v>
      </c>
      <c r="F6" s="304"/>
      <c r="G6" s="304"/>
      <c r="H6" s="304"/>
      <c r="I6" s="304"/>
      <c r="J6" s="304"/>
      <c r="K6" s="69"/>
      <c r="L6" s="302"/>
      <c r="M6" s="302"/>
      <c r="N6" s="302"/>
      <c r="O6" s="302"/>
      <c r="P6" s="302"/>
      <c r="Q6" s="49"/>
      <c r="R6" s="302"/>
      <c r="S6" s="302"/>
      <c r="T6" s="302"/>
      <c r="U6" s="302"/>
      <c r="V6" s="302"/>
      <c r="W6" s="302"/>
      <c r="X6" s="49"/>
      <c r="Y6" s="28"/>
      <c r="Z6" s="28"/>
      <c r="AA6" s="28"/>
      <c r="AB6" s="28"/>
      <c r="AC6" s="28"/>
      <c r="AD6" s="49"/>
      <c r="AE6" s="302"/>
      <c r="AF6" s="302"/>
      <c r="AG6" s="302"/>
      <c r="AH6" s="302"/>
      <c r="AI6" s="302"/>
      <c r="AJ6" s="49"/>
      <c r="AK6" s="302"/>
      <c r="AL6" s="302"/>
      <c r="AM6" s="302"/>
      <c r="AN6" s="302"/>
      <c r="AO6" s="302"/>
      <c r="AP6" s="49"/>
      <c r="AQ6" s="302"/>
      <c r="AR6" s="302"/>
      <c r="AS6" s="302"/>
      <c r="AT6" s="302"/>
      <c r="AU6" s="302"/>
    </row>
    <row r="7" spans="1:49" s="29" customFormat="1" x14ac:dyDescent="0.2">
      <c r="F7" s="249">
        <v>0</v>
      </c>
      <c r="G7" s="82" t="s">
        <v>185</v>
      </c>
      <c r="H7" s="82"/>
      <c r="I7" s="82"/>
      <c r="L7" s="35"/>
      <c r="M7" s="82"/>
      <c r="N7" s="82"/>
      <c r="O7" s="82"/>
      <c r="R7" s="35"/>
      <c r="S7" s="82"/>
      <c r="T7" s="82"/>
      <c r="U7" s="82"/>
      <c r="V7" s="82"/>
      <c r="Y7" s="35"/>
      <c r="Z7" s="82"/>
      <c r="AA7" s="82"/>
      <c r="AB7" s="82"/>
      <c r="AE7" s="35"/>
      <c r="AF7" s="82"/>
      <c r="AG7" s="82"/>
      <c r="AH7" s="82"/>
      <c r="AK7" s="35"/>
      <c r="AL7" s="82"/>
      <c r="AM7" s="82"/>
      <c r="AN7" s="82"/>
      <c r="AQ7" s="35"/>
      <c r="AR7" s="82"/>
      <c r="AS7" s="82"/>
      <c r="AT7" s="82"/>
      <c r="AW7" s="82"/>
    </row>
    <row r="8" spans="1:49" s="29" customFormat="1" x14ac:dyDescent="0.2">
      <c r="F8" s="35">
        <v>0</v>
      </c>
      <c r="G8" s="82" t="s">
        <v>205</v>
      </c>
      <c r="H8" s="82"/>
      <c r="I8" s="82"/>
      <c r="L8" s="35"/>
      <c r="M8" s="82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82"/>
      <c r="AA8" s="82"/>
      <c r="AB8" s="82"/>
      <c r="AE8" s="35"/>
      <c r="AF8" s="82"/>
      <c r="AG8" s="82"/>
      <c r="AH8" s="82"/>
      <c r="AK8" s="35"/>
      <c r="AL8" s="82"/>
      <c r="AM8" s="82"/>
      <c r="AN8" s="82"/>
      <c r="AQ8" s="35"/>
      <c r="AR8" s="82"/>
      <c r="AS8" s="82"/>
      <c r="AT8" s="82"/>
    </row>
    <row r="9" spans="1:49" s="29" customFormat="1" ht="15.75" x14ac:dyDescent="0.25">
      <c r="C9" s="32"/>
      <c r="F9" s="226">
        <v>96.31</v>
      </c>
      <c r="G9" s="29" t="s">
        <v>193</v>
      </c>
      <c r="L9" s="33"/>
    </row>
    <row r="10" spans="1:49" s="29" customFormat="1" x14ac:dyDescent="0.2">
      <c r="C10" s="32"/>
      <c r="F10" s="35">
        <f>SUM(F7:F9)</f>
        <v>96.31</v>
      </c>
      <c r="G10" s="29" t="s">
        <v>194</v>
      </c>
      <c r="L10" s="35"/>
      <c r="R10" s="35"/>
      <c r="Y10" s="35"/>
      <c r="AE10" s="35"/>
      <c r="AK10" s="35"/>
      <c r="AQ10" s="35"/>
    </row>
    <row r="11" spans="1:49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/>
      <c r="L11" s="86"/>
      <c r="M11" s="86"/>
      <c r="N11" s="86"/>
      <c r="O11" s="86"/>
      <c r="P11" s="86"/>
      <c r="Q11" s="87"/>
      <c r="R11" s="86"/>
      <c r="S11" s="86"/>
      <c r="T11" s="86"/>
      <c r="U11" s="86"/>
      <c r="V11" s="86"/>
      <c r="W11" s="86"/>
      <c r="X11" s="87"/>
      <c r="Y11" s="86"/>
      <c r="Z11" s="86"/>
      <c r="AA11" s="86"/>
      <c r="AB11" s="86"/>
      <c r="AC11" s="86"/>
      <c r="AD11" s="87"/>
      <c r="AE11" s="86"/>
      <c r="AF11" s="86"/>
      <c r="AG11" s="86"/>
      <c r="AH11" s="86"/>
      <c r="AI11" s="86"/>
      <c r="AJ11" s="87"/>
      <c r="AK11" s="86"/>
      <c r="AL11" s="86"/>
      <c r="AM11" s="86"/>
      <c r="AN11" s="86"/>
      <c r="AO11" s="86"/>
      <c r="AP11" s="87"/>
      <c r="AQ11" s="86"/>
      <c r="AR11" s="86"/>
      <c r="AS11" s="86"/>
      <c r="AT11" s="86"/>
      <c r="AU11" s="86"/>
    </row>
    <row r="12" spans="1:49" s="59" customFormat="1" ht="15.75" customHeight="1" x14ac:dyDescent="0.25">
      <c r="A12" s="36" t="s">
        <v>175</v>
      </c>
      <c r="B12" s="35">
        <f>F45/$D$3</f>
        <v>0</v>
      </c>
      <c r="C12" s="123">
        <f>2.21/12</f>
        <v>0.18416666666666667</v>
      </c>
      <c r="D12" s="226">
        <v>0.14916666666666667</v>
      </c>
      <c r="E12" s="249">
        <v>0</v>
      </c>
      <c r="F12" s="35">
        <f>$F$7*(IF($C12-$D12&lt;0,0,ABS($C12-$D12)))</f>
        <v>0</v>
      </c>
      <c r="G12" s="35">
        <f t="shared" ref="G12:G23" si="0">F12/$D$3</f>
        <v>0</v>
      </c>
      <c r="H12" s="29">
        <f>F$9*$B12</f>
        <v>0</v>
      </c>
      <c r="I12" s="35">
        <f>G12+H12</f>
        <v>0</v>
      </c>
      <c r="J12" s="249">
        <v>0</v>
      </c>
      <c r="K12" s="27"/>
      <c r="L12" s="276"/>
      <c r="M12" s="35"/>
      <c r="N12" s="29"/>
      <c r="O12" s="35"/>
      <c r="P12" s="35"/>
      <c r="Q12" s="27"/>
      <c r="R12" s="35"/>
      <c r="S12" s="35"/>
      <c r="T12" s="35"/>
      <c r="U12" s="29"/>
      <c r="V12" s="35"/>
      <c r="W12" s="35"/>
      <c r="X12" s="27"/>
      <c r="Y12" s="35"/>
      <c r="Z12" s="35"/>
      <c r="AA12" s="29"/>
      <c r="AB12" s="35"/>
      <c r="AC12" s="35"/>
      <c r="AD12" s="27"/>
      <c r="AE12" s="35"/>
      <c r="AF12" s="35"/>
      <c r="AG12" s="29"/>
      <c r="AH12" s="35"/>
      <c r="AI12" s="35"/>
      <c r="AJ12" s="27"/>
      <c r="AK12" s="86"/>
      <c r="AL12" s="86"/>
      <c r="AM12" s="86"/>
      <c r="AN12" s="86"/>
      <c r="AO12" s="86"/>
      <c r="AP12" s="27"/>
      <c r="AQ12" s="86"/>
      <c r="AR12" s="86"/>
      <c r="AS12" s="86"/>
      <c r="AT12" s="86"/>
      <c r="AU12" s="86"/>
    </row>
    <row r="13" spans="1:49" s="29" customFormat="1" ht="15.75" x14ac:dyDescent="0.25">
      <c r="A13" s="36" t="s">
        <v>21</v>
      </c>
      <c r="B13" s="35">
        <f>G45/$D$3</f>
        <v>1.7179485661395397E-3</v>
      </c>
      <c r="C13" s="35">
        <f>2.92/12</f>
        <v>0.24333333333333332</v>
      </c>
      <c r="D13" s="226">
        <v>0.13500000000000001</v>
      </c>
      <c r="E13" s="249">
        <v>0</v>
      </c>
      <c r="F13" s="35">
        <f>$F$7*(IF($C13-$D13&lt;0,0,ABS($C13-$D13)))</f>
        <v>0</v>
      </c>
      <c r="G13" s="35">
        <f t="shared" si="0"/>
        <v>0</v>
      </c>
      <c r="H13" s="29">
        <f>F$9*$B13</f>
        <v>0.16545562640489908</v>
      </c>
      <c r="I13" s="35">
        <f t="shared" ref="I13:I22" si="1">G13+H13</f>
        <v>0.16545562640489908</v>
      </c>
      <c r="J13" s="249">
        <v>0</v>
      </c>
      <c r="L13" s="276"/>
      <c r="M13" s="35"/>
      <c r="O13" s="35"/>
      <c r="P13" s="35"/>
      <c r="R13" s="35"/>
      <c r="S13" s="35"/>
      <c r="T13" s="35"/>
      <c r="V13" s="35"/>
      <c r="W13" s="35"/>
      <c r="Y13" s="35"/>
      <c r="Z13" s="35"/>
      <c r="AB13" s="35"/>
      <c r="AC13" s="35"/>
      <c r="AE13" s="35"/>
      <c r="AF13" s="35"/>
      <c r="AH13" s="35"/>
      <c r="AI13" s="35"/>
      <c r="AJ13" s="35"/>
      <c r="AK13" s="35"/>
      <c r="AL13" s="35"/>
      <c r="AN13" s="35"/>
      <c r="AO13" s="35"/>
      <c r="AP13" s="90"/>
      <c r="AQ13" s="35"/>
      <c r="AR13" s="35"/>
      <c r="AT13" s="35"/>
      <c r="AU13" s="35"/>
    </row>
    <row r="14" spans="1:49" s="29" customFormat="1" ht="15.75" x14ac:dyDescent="0.25">
      <c r="A14" s="36" t="s">
        <v>20</v>
      </c>
      <c r="B14" s="35">
        <f>H45/$D$3</f>
        <v>0.24223074782567511</v>
      </c>
      <c r="C14" s="35">
        <f>6.12/12</f>
        <v>0.51</v>
      </c>
      <c r="D14" s="226">
        <v>5.4166666666666669E-2</v>
      </c>
      <c r="E14" s="226">
        <v>1.0909085000000003</v>
      </c>
      <c r="F14" s="35">
        <f t="shared" ref="F14:F22" si="2">$F$7*(IF($C14-$D14&lt;0,0,ABS($C14-$D14)))</f>
        <v>0</v>
      </c>
      <c r="G14" s="35">
        <f t="shared" si="0"/>
        <v>0</v>
      </c>
      <c r="H14" s="29">
        <f>F$9*$B14</f>
        <v>23.329243323090772</v>
      </c>
      <c r="I14" s="35">
        <f t="shared" si="1"/>
        <v>23.329243323090772</v>
      </c>
      <c r="J14" s="35">
        <f>IF(E14-I14&gt;0,0,ABS(E14-I14))</f>
        <v>22.238334823090771</v>
      </c>
      <c r="L14" s="276"/>
      <c r="M14" s="35"/>
      <c r="O14" s="35"/>
      <c r="P14" s="35"/>
      <c r="R14" s="35"/>
      <c r="S14" s="35"/>
      <c r="T14" s="35"/>
      <c r="V14" s="35"/>
      <c r="W14" s="35"/>
      <c r="X14" s="35"/>
      <c r="Y14" s="35"/>
      <c r="Z14" s="35"/>
      <c r="AB14" s="35"/>
      <c r="AC14" s="35"/>
      <c r="AD14" s="35"/>
      <c r="AE14" s="35"/>
      <c r="AF14" s="35"/>
      <c r="AH14" s="35"/>
      <c r="AI14" s="35"/>
      <c r="AJ14" s="35"/>
      <c r="AK14" s="35"/>
      <c r="AL14" s="35"/>
      <c r="AN14" s="35"/>
      <c r="AO14" s="35"/>
      <c r="AP14" s="90"/>
      <c r="AQ14" s="35"/>
      <c r="AR14" s="35"/>
      <c r="AT14" s="35"/>
      <c r="AU14" s="35"/>
    </row>
    <row r="15" spans="1:49" s="29" customFormat="1" ht="15.75" x14ac:dyDescent="0.25">
      <c r="A15" s="36" t="s">
        <v>22</v>
      </c>
      <c r="B15" s="35">
        <f>I45/$D$3</f>
        <v>0.51538456984186187</v>
      </c>
      <c r="C15" s="35">
        <f>7.97/12</f>
        <v>0.66416666666666668</v>
      </c>
      <c r="D15" s="226">
        <v>1.2499999999999999E-2</v>
      </c>
      <c r="E15" s="226">
        <v>218.89574920000001</v>
      </c>
      <c r="F15" s="35">
        <f t="shared" si="2"/>
        <v>0</v>
      </c>
      <c r="G15" s="35">
        <f t="shared" si="0"/>
        <v>0</v>
      </c>
      <c r="H15" s="29">
        <f t="shared" ref="H15:H22" si="3">F$9*$B15</f>
        <v>49.636687921469715</v>
      </c>
      <c r="I15" s="35">
        <f t="shared" si="1"/>
        <v>49.636687921469715</v>
      </c>
      <c r="J15" s="35">
        <f t="shared" ref="J15:J22" si="4">IF(E15-I15&gt;0,0,ABS(E15-I15))</f>
        <v>0</v>
      </c>
      <c r="L15" s="276"/>
      <c r="M15" s="35"/>
      <c r="O15" s="35"/>
      <c r="P15" s="35"/>
      <c r="R15" s="35"/>
      <c r="S15" s="35"/>
      <c r="T15" s="35"/>
      <c r="V15" s="35"/>
      <c r="W15" s="35"/>
      <c r="X15" s="35"/>
      <c r="Y15" s="35"/>
      <c r="Z15" s="35"/>
      <c r="AB15" s="35"/>
      <c r="AC15" s="35"/>
      <c r="AD15" s="35"/>
      <c r="AE15" s="35"/>
      <c r="AF15" s="35"/>
      <c r="AH15" s="35"/>
      <c r="AI15" s="35"/>
      <c r="AJ15" s="35"/>
      <c r="AK15" s="35"/>
      <c r="AL15" s="35"/>
      <c r="AN15" s="35"/>
      <c r="AO15" s="35"/>
      <c r="AP15" s="90"/>
      <c r="AQ15" s="35"/>
      <c r="AR15" s="35"/>
      <c r="AT15" s="35"/>
      <c r="AU15" s="35"/>
    </row>
    <row r="16" spans="1:49" s="29" customFormat="1" ht="15.75" x14ac:dyDescent="0.25">
      <c r="A16" s="36" t="s">
        <v>23</v>
      </c>
      <c r="B16" s="35">
        <f>J45/$D$3</f>
        <v>0.84694864310679308</v>
      </c>
      <c r="C16" s="35">
        <f>9.18/12</f>
        <v>0.76500000000000001</v>
      </c>
      <c r="D16" s="226">
        <v>0</v>
      </c>
      <c r="E16" s="249">
        <v>97.297137380000009</v>
      </c>
      <c r="F16" s="35">
        <f t="shared" si="2"/>
        <v>0</v>
      </c>
      <c r="G16" s="35">
        <f t="shared" si="0"/>
        <v>0</v>
      </c>
      <c r="H16" s="29">
        <f t="shared" si="3"/>
        <v>81.569623817615238</v>
      </c>
      <c r="I16" s="35">
        <f t="shared" si="1"/>
        <v>81.569623817615238</v>
      </c>
      <c r="J16" s="35">
        <f t="shared" si="4"/>
        <v>0</v>
      </c>
      <c r="L16" s="276"/>
      <c r="M16" s="35"/>
      <c r="O16" s="35"/>
      <c r="P16" s="35"/>
      <c r="R16" s="35"/>
      <c r="S16" s="35"/>
      <c r="T16" s="35"/>
      <c r="V16" s="35"/>
      <c r="W16" s="35"/>
      <c r="X16" s="35"/>
      <c r="Y16" s="35"/>
      <c r="Z16" s="35"/>
      <c r="AB16" s="35"/>
      <c r="AC16" s="35"/>
      <c r="AD16" s="35"/>
      <c r="AE16" s="35"/>
      <c r="AF16" s="35"/>
      <c r="AH16" s="35"/>
      <c r="AI16" s="35"/>
      <c r="AJ16" s="35"/>
      <c r="AK16" s="35"/>
      <c r="AL16" s="35"/>
      <c r="AN16" s="35"/>
      <c r="AO16" s="35"/>
      <c r="AP16" s="90"/>
      <c r="AQ16" s="35"/>
      <c r="AR16" s="35"/>
      <c r="AT16" s="35"/>
      <c r="AU16" s="35"/>
    </row>
    <row r="17" spans="1:53" s="29" customFormat="1" ht="15.75" x14ac:dyDescent="0.25">
      <c r="A17" s="36" t="s">
        <v>24</v>
      </c>
      <c r="B17" s="35">
        <f>K45/$D$3</f>
        <v>1.1819486135040034</v>
      </c>
      <c r="C17" s="35">
        <f>10.96/12</f>
        <v>0.91333333333333344</v>
      </c>
      <c r="D17" s="226">
        <v>4.5000000000000005E-2</v>
      </c>
      <c r="E17" s="249">
        <v>202.90501405999996</v>
      </c>
      <c r="F17" s="35">
        <f t="shared" si="2"/>
        <v>0</v>
      </c>
      <c r="G17" s="35">
        <f t="shared" si="0"/>
        <v>0</v>
      </c>
      <c r="H17" s="29">
        <f t="shared" si="3"/>
        <v>113.83347096657057</v>
      </c>
      <c r="I17" s="35">
        <f t="shared" si="1"/>
        <v>113.83347096657057</v>
      </c>
      <c r="J17" s="35">
        <f t="shared" si="4"/>
        <v>0</v>
      </c>
      <c r="L17" s="276"/>
      <c r="M17" s="35"/>
      <c r="O17" s="35"/>
      <c r="P17" s="35"/>
      <c r="R17" s="35"/>
      <c r="S17" s="35"/>
      <c r="T17" s="35"/>
      <c r="V17" s="35"/>
      <c r="W17" s="35"/>
      <c r="X17" s="35"/>
      <c r="Y17" s="35"/>
      <c r="Z17" s="35"/>
      <c r="AB17" s="35"/>
      <c r="AC17" s="35"/>
      <c r="AD17" s="35"/>
      <c r="AE17" s="35"/>
      <c r="AF17" s="35"/>
      <c r="AH17" s="35"/>
      <c r="AI17" s="35"/>
      <c r="AJ17" s="35"/>
      <c r="AK17" s="35"/>
      <c r="AL17" s="35"/>
      <c r="AN17" s="35"/>
      <c r="AO17" s="35"/>
      <c r="AP17" s="90"/>
      <c r="AQ17" s="35"/>
      <c r="AR17" s="35"/>
      <c r="AT17" s="35"/>
      <c r="AU17" s="35"/>
    </row>
    <row r="18" spans="1:53" s="29" customFormat="1" ht="15.75" x14ac:dyDescent="0.25">
      <c r="A18" s="36" t="s">
        <v>25</v>
      </c>
      <c r="B18" s="35">
        <f>L45/$D$3</f>
        <v>1.0943332366308869</v>
      </c>
      <c r="C18" s="35">
        <f>8.4/12</f>
        <v>0.70000000000000007</v>
      </c>
      <c r="D18" s="226">
        <v>0.16</v>
      </c>
      <c r="E18" s="249">
        <v>20.600319419999995</v>
      </c>
      <c r="F18" s="35">
        <f t="shared" si="2"/>
        <v>0</v>
      </c>
      <c r="G18" s="35">
        <f t="shared" si="0"/>
        <v>0</v>
      </c>
      <c r="H18" s="29">
        <f t="shared" si="3"/>
        <v>105.39523401992072</v>
      </c>
      <c r="I18" s="35">
        <f t="shared" si="1"/>
        <v>105.39523401992072</v>
      </c>
      <c r="J18" s="35">
        <f t="shared" si="4"/>
        <v>84.79491459992073</v>
      </c>
      <c r="L18" s="276"/>
      <c r="M18" s="35"/>
      <c r="O18" s="35"/>
      <c r="P18" s="35"/>
      <c r="R18" s="35"/>
      <c r="S18" s="35"/>
      <c r="T18" s="35"/>
      <c r="V18" s="35"/>
      <c r="W18" s="35"/>
      <c r="X18" s="35"/>
      <c r="Y18" s="35"/>
      <c r="Z18" s="35"/>
      <c r="AB18" s="35"/>
      <c r="AC18" s="35"/>
      <c r="AD18" s="35"/>
      <c r="AE18" s="35"/>
      <c r="AF18" s="35"/>
      <c r="AH18" s="35"/>
      <c r="AI18" s="35"/>
      <c r="AJ18" s="35"/>
      <c r="AK18" s="35"/>
      <c r="AL18" s="35"/>
      <c r="AN18" s="35"/>
      <c r="AO18" s="35"/>
      <c r="AP18" s="90"/>
      <c r="AQ18" s="35"/>
      <c r="AR18" s="35"/>
      <c r="AT18" s="35"/>
      <c r="AU18" s="35"/>
    </row>
    <row r="19" spans="1:53" s="29" customFormat="1" ht="15.75" x14ac:dyDescent="0.25">
      <c r="A19" s="36" t="s">
        <v>26</v>
      </c>
      <c r="B19" s="35">
        <f>M45/$D$3</f>
        <v>1.0651281110065145</v>
      </c>
      <c r="C19" s="35">
        <f>6.98/12</f>
        <v>0.58166666666666667</v>
      </c>
      <c r="D19" s="226">
        <v>0.105</v>
      </c>
      <c r="E19" s="226">
        <v>209.5278203900001</v>
      </c>
      <c r="F19" s="35">
        <f t="shared" si="2"/>
        <v>0</v>
      </c>
      <c r="G19" s="35">
        <f t="shared" si="0"/>
        <v>0</v>
      </c>
      <c r="H19" s="29">
        <f t="shared" si="3"/>
        <v>102.58248837103741</v>
      </c>
      <c r="I19" s="35">
        <f t="shared" si="1"/>
        <v>102.58248837103741</v>
      </c>
      <c r="J19" s="35">
        <f t="shared" si="4"/>
        <v>0</v>
      </c>
      <c r="L19" s="276"/>
      <c r="M19" s="35"/>
      <c r="O19" s="35"/>
      <c r="P19" s="35"/>
      <c r="R19" s="35"/>
      <c r="S19" s="35"/>
      <c r="T19" s="35"/>
      <c r="V19" s="35"/>
      <c r="W19" s="35"/>
      <c r="X19" s="35"/>
      <c r="Y19" s="35"/>
      <c r="Z19" s="35"/>
      <c r="AB19" s="35"/>
      <c r="AC19" s="35"/>
      <c r="AD19" s="35"/>
      <c r="AE19" s="35"/>
      <c r="AF19" s="35"/>
      <c r="AH19" s="35"/>
      <c r="AI19" s="35"/>
      <c r="AJ19" s="35"/>
      <c r="AK19" s="35"/>
      <c r="AL19" s="35"/>
      <c r="AN19" s="35"/>
      <c r="AO19" s="35"/>
      <c r="AP19" s="90"/>
      <c r="AQ19" s="35"/>
      <c r="AR19" s="35"/>
      <c r="AT19" s="35"/>
      <c r="AU19" s="35"/>
    </row>
    <row r="20" spans="1:53" s="29" customFormat="1" ht="15.75" x14ac:dyDescent="0.25">
      <c r="A20" s="36" t="s">
        <v>27</v>
      </c>
      <c r="B20" s="35">
        <f>N45/$D$3</f>
        <v>0.81946146604856041</v>
      </c>
      <c r="C20" s="35">
        <f>6.19/12</f>
        <v>0.51583333333333337</v>
      </c>
      <c r="D20" s="226">
        <v>2.4166666666666666E-2</v>
      </c>
      <c r="E20" s="226">
        <v>2.5943787599999997</v>
      </c>
      <c r="F20" s="35">
        <f t="shared" si="2"/>
        <v>0</v>
      </c>
      <c r="G20" s="35">
        <f t="shared" si="0"/>
        <v>0</v>
      </c>
      <c r="H20" s="29">
        <f t="shared" si="3"/>
        <v>78.922333795136851</v>
      </c>
      <c r="I20" s="35">
        <f t="shared" si="1"/>
        <v>78.922333795136851</v>
      </c>
      <c r="J20" s="35">
        <f t="shared" si="4"/>
        <v>76.327955035136853</v>
      </c>
      <c r="L20" s="276"/>
      <c r="M20" s="35"/>
      <c r="O20" s="35"/>
      <c r="P20" s="35"/>
      <c r="R20" s="35"/>
      <c r="S20" s="35"/>
      <c r="T20" s="35"/>
      <c r="V20" s="35"/>
      <c r="W20" s="35"/>
      <c r="X20" s="35"/>
      <c r="Y20" s="35"/>
      <c r="Z20" s="35"/>
      <c r="AB20" s="35"/>
      <c r="AC20" s="35"/>
      <c r="AD20" s="35"/>
      <c r="AE20" s="35"/>
      <c r="AF20" s="35"/>
      <c r="AH20" s="35"/>
      <c r="AI20" s="35"/>
      <c r="AJ20" s="35"/>
      <c r="AK20" s="35"/>
      <c r="AL20" s="35"/>
      <c r="AN20" s="35"/>
      <c r="AO20" s="35"/>
      <c r="AP20" s="90"/>
      <c r="AQ20" s="35"/>
      <c r="AR20" s="35"/>
      <c r="AT20" s="35"/>
      <c r="AU20" s="35"/>
    </row>
    <row r="21" spans="1:53" s="29" customFormat="1" ht="15.75" x14ac:dyDescent="0.25">
      <c r="A21" s="36" t="s">
        <v>28</v>
      </c>
      <c r="B21" s="35">
        <f>O45/$D$3</f>
        <v>0.55146148973079223</v>
      </c>
      <c r="C21" s="35">
        <f>5.2/12</f>
        <v>0.43333333333333335</v>
      </c>
      <c r="D21" s="226">
        <v>2.5000000000000001E-3</v>
      </c>
      <c r="E21" s="226">
        <v>5.7793357125000027</v>
      </c>
      <c r="F21" s="35">
        <f t="shared" si="2"/>
        <v>0</v>
      </c>
      <c r="G21" s="35">
        <f t="shared" si="0"/>
        <v>0</v>
      </c>
      <c r="H21" s="29">
        <f t="shared" si="3"/>
        <v>53.111256075972598</v>
      </c>
      <c r="I21" s="35">
        <f t="shared" si="1"/>
        <v>53.111256075972598</v>
      </c>
      <c r="J21" s="35">
        <f t="shared" si="4"/>
        <v>47.331920363472598</v>
      </c>
      <c r="L21" s="276"/>
      <c r="M21" s="35"/>
      <c r="O21" s="35"/>
      <c r="P21" s="35"/>
      <c r="R21" s="35"/>
      <c r="S21" s="35"/>
      <c r="T21" s="35"/>
      <c r="V21" s="35"/>
      <c r="W21" s="35"/>
      <c r="X21" s="35"/>
      <c r="Y21" s="35"/>
      <c r="Z21" s="35"/>
      <c r="AB21" s="35"/>
      <c r="AC21" s="35"/>
      <c r="AD21" s="35"/>
      <c r="AE21" s="35"/>
      <c r="AF21" s="35"/>
      <c r="AH21" s="35"/>
      <c r="AI21" s="35"/>
      <c r="AJ21" s="35"/>
      <c r="AK21" s="35"/>
      <c r="AL21" s="35"/>
      <c r="AN21" s="35"/>
      <c r="AO21" s="35"/>
      <c r="AP21" s="90"/>
      <c r="AQ21" s="35"/>
      <c r="AR21" s="35"/>
      <c r="AT21" s="35"/>
      <c r="AU21" s="35"/>
    </row>
    <row r="22" spans="1:53" s="29" customFormat="1" ht="15.75" x14ac:dyDescent="0.25">
      <c r="A22" s="36" t="s">
        <v>29</v>
      </c>
      <c r="B22" s="35">
        <f>P45/$D$3</f>
        <v>0.16148716521711673</v>
      </c>
      <c r="C22" s="35">
        <f>2.71/12</f>
        <v>0.22583333333333333</v>
      </c>
      <c r="D22" s="226">
        <v>2.6666666666666668E-2</v>
      </c>
      <c r="E22" s="226">
        <v>0</v>
      </c>
      <c r="F22" s="35">
        <f t="shared" si="2"/>
        <v>0</v>
      </c>
      <c r="G22" s="35">
        <f t="shared" si="0"/>
        <v>0</v>
      </c>
      <c r="H22" s="29">
        <f t="shared" si="3"/>
        <v>15.552828882060513</v>
      </c>
      <c r="I22" s="35">
        <f t="shared" si="1"/>
        <v>15.552828882060513</v>
      </c>
      <c r="J22" s="35">
        <f t="shared" si="4"/>
        <v>15.552828882060513</v>
      </c>
      <c r="L22" s="276"/>
      <c r="M22" s="35"/>
      <c r="O22" s="35"/>
      <c r="P22" s="35"/>
      <c r="R22" s="35"/>
      <c r="S22" s="35"/>
      <c r="T22" s="35"/>
      <c r="V22" s="35"/>
      <c r="W22" s="35"/>
      <c r="X22" s="35"/>
      <c r="Y22" s="35"/>
      <c r="Z22" s="35"/>
      <c r="AB22" s="35"/>
      <c r="AC22" s="35"/>
      <c r="AD22" s="35"/>
      <c r="AE22" s="35"/>
      <c r="AF22" s="35"/>
      <c r="AH22" s="35"/>
      <c r="AI22" s="35"/>
      <c r="AJ22" s="35"/>
      <c r="AK22" s="35"/>
      <c r="AL22" s="35"/>
      <c r="AN22" s="35"/>
      <c r="AO22" s="35"/>
      <c r="AP22" s="90"/>
      <c r="AQ22" s="35"/>
      <c r="AR22" s="35"/>
      <c r="AT22" s="35"/>
      <c r="AU22" s="35"/>
    </row>
    <row r="23" spans="1:53" s="29" customFormat="1" ht="15.75" x14ac:dyDescent="0.25">
      <c r="A23" s="36" t="s">
        <v>204</v>
      </c>
      <c r="B23" s="35">
        <f>Q45/$D$3</f>
        <v>9.9641016836093305E-2</v>
      </c>
      <c r="C23" s="123">
        <f>2.21/12</f>
        <v>0.18416666666666667</v>
      </c>
      <c r="D23" s="226">
        <v>0</v>
      </c>
      <c r="E23" s="249">
        <v>0</v>
      </c>
      <c r="F23" s="35">
        <f>$F$7*(IF($C23-$D23&lt;0,0,ABS($C23-$D23)))</f>
        <v>0</v>
      </c>
      <c r="G23" s="35">
        <f t="shared" si="0"/>
        <v>0</v>
      </c>
      <c r="H23" s="29">
        <f>F$9*$B23</f>
        <v>9.596426331484146</v>
      </c>
      <c r="I23" s="35">
        <f>G23+H23</f>
        <v>9.596426331484146</v>
      </c>
      <c r="J23" s="249">
        <v>0</v>
      </c>
      <c r="L23" s="276"/>
      <c r="M23" s="35"/>
      <c r="O23" s="35"/>
      <c r="P23" s="35"/>
      <c r="R23" s="35"/>
      <c r="S23" s="35"/>
      <c r="T23" s="35"/>
      <c r="V23" s="35"/>
      <c r="W23" s="35"/>
      <c r="Y23" s="35"/>
      <c r="Z23" s="35"/>
      <c r="AB23" s="35"/>
      <c r="AC23" s="35"/>
      <c r="AE23" s="35"/>
      <c r="AF23" s="35"/>
      <c r="AH23" s="35"/>
      <c r="AI23" s="35"/>
      <c r="AK23" s="35"/>
      <c r="AL23" s="35"/>
      <c r="AM23" s="35"/>
      <c r="AN23" s="35"/>
      <c r="AO23" s="35"/>
      <c r="AQ23" s="35"/>
      <c r="AR23" s="35"/>
      <c r="AS23" s="35"/>
      <c r="AT23" s="35"/>
      <c r="AU23" s="35"/>
    </row>
    <row r="24" spans="1:53" s="33" customFormat="1" ht="15.75" x14ac:dyDescent="0.25">
      <c r="A24" s="33" t="s">
        <v>34</v>
      </c>
      <c r="B24" s="33">
        <f t="shared" ref="B24:J24" si="5">SUM(B12:B23)</f>
        <v>6.5797430083144377</v>
      </c>
      <c r="C24" s="33">
        <f t="shared" si="5"/>
        <v>5.9208333333333343</v>
      </c>
      <c r="D24" s="33">
        <f t="shared" si="5"/>
        <v>0.71416666666666662</v>
      </c>
      <c r="E24" s="33">
        <f t="shared" si="5"/>
        <v>758.69066342250017</v>
      </c>
      <c r="F24" s="33">
        <f t="shared" si="5"/>
        <v>0</v>
      </c>
      <c r="G24" s="33">
        <f t="shared" si="5"/>
        <v>0</v>
      </c>
      <c r="H24" s="33">
        <f t="shared" si="5"/>
        <v>633.69504913076355</v>
      </c>
      <c r="I24" s="33">
        <f t="shared" si="5"/>
        <v>633.69504913076355</v>
      </c>
      <c r="J24" s="33">
        <f t="shared" si="5"/>
        <v>246.24595370368144</v>
      </c>
    </row>
    <row r="25" spans="1:53" s="29" customFormat="1" x14ac:dyDescent="0.2">
      <c r="A25" s="172" t="s">
        <v>339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1" t="s">
        <v>331</v>
      </c>
      <c r="U25" s="206"/>
      <c r="V25" s="206"/>
    </row>
    <row r="26" spans="1:53" s="104" customFormat="1" ht="18" x14ac:dyDescent="0.25">
      <c r="A26" s="98" t="s">
        <v>35</v>
      </c>
      <c r="B26" s="99"/>
      <c r="C26" s="102"/>
      <c r="D26" s="103"/>
      <c r="E26" s="103"/>
      <c r="F26" s="305" t="s">
        <v>117</v>
      </c>
      <c r="G26" s="306"/>
      <c r="H26" s="306"/>
      <c r="I26" s="306"/>
      <c r="J26" s="306"/>
      <c r="K26" s="306"/>
      <c r="L26" s="307" t="s">
        <v>301</v>
      </c>
      <c r="M26" s="306"/>
      <c r="N26" s="306"/>
      <c r="O26" s="306"/>
      <c r="P26" s="306"/>
      <c r="Q26" s="334" t="s">
        <v>320</v>
      </c>
      <c r="R26" s="335"/>
      <c r="S26" s="193"/>
      <c r="T26" s="192" t="s">
        <v>313</v>
      </c>
      <c r="U26" s="192"/>
      <c r="V26" s="308" t="s">
        <v>71</v>
      </c>
      <c r="W26" s="308"/>
      <c r="X26" s="308"/>
      <c r="Y26" s="308"/>
      <c r="Z26" s="308"/>
      <c r="AA26" s="336"/>
      <c r="AB26" s="48"/>
      <c r="AC26" s="48"/>
      <c r="AD26" s="48"/>
      <c r="AE26" s="48"/>
      <c r="AF26" s="48"/>
      <c r="AG26" s="48"/>
      <c r="AH26" s="162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165"/>
      <c r="AW26" s="165"/>
      <c r="AX26" s="165"/>
      <c r="AY26" s="165"/>
      <c r="AZ26" s="165"/>
      <c r="BA26" s="165"/>
    </row>
    <row r="27" spans="1:53" s="2" customFormat="1" ht="72.75" customHeight="1" x14ac:dyDescent="0.25">
      <c r="A27" s="89"/>
      <c r="B27" s="89"/>
      <c r="C27" s="105" t="s">
        <v>8</v>
      </c>
      <c r="D27" s="105" t="s">
        <v>9</v>
      </c>
      <c r="E27" s="105"/>
      <c r="F27" s="83" t="s">
        <v>200</v>
      </c>
      <c r="G27" s="86" t="s">
        <v>0</v>
      </c>
      <c r="H27" s="83" t="s">
        <v>2</v>
      </c>
      <c r="I27" s="83" t="s">
        <v>3</v>
      </c>
      <c r="J27" s="83" t="s">
        <v>288</v>
      </c>
      <c r="K27" s="83" t="s">
        <v>289</v>
      </c>
      <c r="L27" s="177" t="s">
        <v>202</v>
      </c>
      <c r="M27" s="178" t="s">
        <v>0</v>
      </c>
      <c r="N27" s="177" t="s">
        <v>289</v>
      </c>
      <c r="O27" s="198" t="s">
        <v>201</v>
      </c>
      <c r="P27" s="199" t="s">
        <v>0</v>
      </c>
      <c r="Q27" s="180" t="s">
        <v>327</v>
      </c>
      <c r="R27" s="181" t="s">
        <v>0</v>
      </c>
      <c r="S27" s="184" t="s">
        <v>297</v>
      </c>
      <c r="T27" s="185" t="s">
        <v>299</v>
      </c>
      <c r="U27" s="185" t="s">
        <v>300</v>
      </c>
      <c r="V27" s="86" t="s">
        <v>119</v>
      </c>
      <c r="W27" s="83" t="s">
        <v>1</v>
      </c>
      <c r="X27" s="83" t="s">
        <v>4</v>
      </c>
      <c r="Y27" s="86" t="s">
        <v>290</v>
      </c>
      <c r="Z27" s="86" t="s">
        <v>120</v>
      </c>
      <c r="AA27" s="86" t="s">
        <v>291</v>
      </c>
      <c r="AB27" s="83"/>
      <c r="AC27" s="83"/>
      <c r="AD27" s="86"/>
      <c r="AE27" s="86"/>
      <c r="AF27" s="86"/>
      <c r="AH27" s="59"/>
      <c r="AI27" s="3"/>
      <c r="AJ27" s="29"/>
      <c r="AK27" s="3"/>
      <c r="AL27" s="32"/>
      <c r="AM27" s="29"/>
    </row>
    <row r="28" spans="1:53" ht="15.75" x14ac:dyDescent="0.25">
      <c r="A28" s="28" t="s">
        <v>235</v>
      </c>
      <c r="B28" s="29"/>
      <c r="C28" s="35">
        <f>B24*D3</f>
        <v>2.9016666666666668</v>
      </c>
      <c r="E28" s="35"/>
      <c r="F28" s="35">
        <f>($F9+$L9+$R9+$Y9+$AE9+$AK9)-F29</f>
        <v>96.31</v>
      </c>
      <c r="G28" s="35">
        <f>F28*$C28</f>
        <v>279.45951666666667</v>
      </c>
      <c r="H28" s="29">
        <f>H24+N24+U24+AA24+AG24+AM24</f>
        <v>633.69504913076355</v>
      </c>
      <c r="I28" s="29"/>
      <c r="J28" s="29"/>
      <c r="K28" s="29">
        <f>G28*J31</f>
        <v>108.5944655833235</v>
      </c>
      <c r="L28" s="287">
        <v>19.55</v>
      </c>
      <c r="M28" s="179">
        <f>L28*$C28</f>
        <v>56.727583333333335</v>
      </c>
      <c r="N28" s="95">
        <f>J31*M28</f>
        <v>22.043627890706826</v>
      </c>
      <c r="O28" s="286">
        <v>0.34</v>
      </c>
      <c r="P28" s="200">
        <f>O28*$C28</f>
        <v>0.98656666666666681</v>
      </c>
      <c r="Q28" s="288">
        <v>0</v>
      </c>
      <c r="R28" s="183">
        <f>Q28*$C28</f>
        <v>0</v>
      </c>
      <c r="S28" s="265">
        <v>0</v>
      </c>
      <c r="T28" s="266">
        <v>0</v>
      </c>
      <c r="U28" s="172">
        <f>T28</f>
        <v>0</v>
      </c>
      <c r="V28" s="29">
        <f>F28+L28+O28+Q28+S28</f>
        <v>116.2</v>
      </c>
      <c r="W28" s="29">
        <f>G28+M28+P28+R28+U28</f>
        <v>337.17366666666663</v>
      </c>
      <c r="X28" s="29">
        <f>N28+K28</f>
        <v>130.63809347403031</v>
      </c>
      <c r="Y28" s="29">
        <f>W28-X28</f>
        <v>206.53557319263632</v>
      </c>
      <c r="Z28" s="29"/>
      <c r="AA28" s="29"/>
      <c r="AB28" s="3"/>
      <c r="AC28" s="29"/>
      <c r="AD28" s="29"/>
      <c r="AE28" s="29"/>
      <c r="AF28" s="29"/>
      <c r="AH28" s="29"/>
      <c r="AI28" s="30"/>
      <c r="AJ28" s="30"/>
      <c r="AN28" s="29"/>
    </row>
    <row r="29" spans="1:53" ht="15.75" x14ac:dyDescent="0.25">
      <c r="A29" s="28" t="s">
        <v>236</v>
      </c>
      <c r="B29" s="29"/>
      <c r="C29" s="29"/>
      <c r="D29" s="35"/>
      <c r="E29" s="35"/>
      <c r="F29" s="35"/>
      <c r="G29" s="35"/>
      <c r="H29" s="29"/>
      <c r="I29" s="29"/>
      <c r="J29" s="29"/>
      <c r="K29" s="29"/>
      <c r="L29" s="179">
        <v>0</v>
      </c>
      <c r="M29" s="179"/>
      <c r="N29" s="95"/>
      <c r="O29" s="81">
        <v>0</v>
      </c>
      <c r="P29" s="200"/>
      <c r="Q29" s="182">
        <v>0</v>
      </c>
      <c r="R29" s="183"/>
      <c r="S29" s="175"/>
      <c r="T29" s="172"/>
      <c r="U29" s="172"/>
      <c r="V29" s="29"/>
      <c r="W29" s="29"/>
      <c r="X29" s="29"/>
      <c r="Y29" s="29"/>
      <c r="Z29" s="29"/>
      <c r="AA29" s="29"/>
      <c r="AB29" s="3"/>
      <c r="AC29" s="29"/>
      <c r="AD29" s="29"/>
      <c r="AE29" s="29"/>
      <c r="AF29" s="29"/>
      <c r="AH29" s="29"/>
      <c r="AI29" s="29"/>
      <c r="AJ29" s="3"/>
      <c r="AK29" s="29"/>
      <c r="AL29" s="29"/>
      <c r="AM29" s="29"/>
      <c r="AN29" s="29"/>
    </row>
    <row r="30" spans="1:53" s="29" customFormat="1" ht="15.75" x14ac:dyDescent="0.25">
      <c r="A30" s="29" t="s">
        <v>48</v>
      </c>
      <c r="E30" s="35"/>
      <c r="F30" s="35">
        <f>F7+L7+R7+Y7+AE7+AK7</f>
        <v>0</v>
      </c>
      <c r="G30" s="35">
        <f>F30*($C24-$D24)</f>
        <v>0</v>
      </c>
      <c r="H30" s="29">
        <f>G24+M24+S24+Z24+AF24+AL24</f>
        <v>0</v>
      </c>
      <c r="K30" s="29">
        <f>G30*J31</f>
        <v>0</v>
      </c>
      <c r="L30" s="287">
        <v>0</v>
      </c>
      <c r="M30" s="179">
        <f>L30*($C24-$D24)</f>
        <v>0</v>
      </c>
      <c r="N30" s="179">
        <f>J31*M30</f>
        <v>0</v>
      </c>
      <c r="O30" s="286">
        <v>0</v>
      </c>
      <c r="P30" s="200">
        <f>O30*($C24-$D24)</f>
        <v>0</v>
      </c>
      <c r="Q30" s="288">
        <v>0</v>
      </c>
      <c r="R30" s="183">
        <f>Q30*($C24-$D24)</f>
        <v>0</v>
      </c>
      <c r="S30" s="175">
        <f>Q6+X6+AD6+AJ6+AP6+AV6</f>
        <v>0</v>
      </c>
      <c r="T30" s="172">
        <f>R23+Y23+AE23+AK23+AQ23+AW23</f>
        <v>0</v>
      </c>
      <c r="U30" s="172"/>
      <c r="V30" s="29">
        <f>F30+L30+Q30</f>
        <v>0</v>
      </c>
      <c r="W30" s="29">
        <f>G30+M30+R30</f>
        <v>0</v>
      </c>
      <c r="X30" s="29">
        <f>N30+K30</f>
        <v>0</v>
      </c>
      <c r="Y30" s="29">
        <f>W30-X30</f>
        <v>0</v>
      </c>
      <c r="Z30" s="32"/>
      <c r="AB30" s="3"/>
      <c r="AE30" s="32"/>
      <c r="AJ30" s="3"/>
      <c r="AK30" s="35"/>
    </row>
    <row r="31" spans="1:53" ht="15.75" x14ac:dyDescent="0.25">
      <c r="A31" s="3" t="s">
        <v>71</v>
      </c>
      <c r="B31" s="29"/>
      <c r="D31" s="35"/>
      <c r="E31" s="35"/>
      <c r="F31" s="35">
        <f>SUM(F28:F30)</f>
        <v>96.31</v>
      </c>
      <c r="G31" s="35">
        <f>SUM(G28:G30)</f>
        <v>279.45951666666667</v>
      </c>
      <c r="H31" s="35">
        <f>SUM(H28:H30)</f>
        <v>633.69504913076355</v>
      </c>
      <c r="I31" s="29">
        <f>J24+AC24</f>
        <v>246.24595370368144</v>
      </c>
      <c r="J31" s="33">
        <f>I31/H31</f>
        <v>0.38858746654476128</v>
      </c>
      <c r="K31" s="35">
        <f>J31*G31</f>
        <v>108.5944655833235</v>
      </c>
      <c r="L31" s="179">
        <f t="shared" ref="L31:Y31" si="6">SUM(L28:L30)</f>
        <v>19.55</v>
      </c>
      <c r="M31" s="179">
        <f t="shared" si="6"/>
        <v>56.727583333333335</v>
      </c>
      <c r="N31" s="179">
        <f t="shared" si="6"/>
        <v>22.043627890706826</v>
      </c>
      <c r="O31" s="200">
        <f t="shared" si="6"/>
        <v>0.34</v>
      </c>
      <c r="P31" s="200">
        <f t="shared" si="6"/>
        <v>0.98656666666666681</v>
      </c>
      <c r="Q31" s="183">
        <f t="shared" si="6"/>
        <v>0</v>
      </c>
      <c r="R31" s="183">
        <f t="shared" si="6"/>
        <v>0</v>
      </c>
      <c r="S31" s="175">
        <f t="shared" si="6"/>
        <v>0</v>
      </c>
      <c r="T31" s="175">
        <f t="shared" si="6"/>
        <v>0</v>
      </c>
      <c r="U31" s="175">
        <f t="shared" si="6"/>
        <v>0</v>
      </c>
      <c r="V31" s="29">
        <f t="shared" si="6"/>
        <v>116.2</v>
      </c>
      <c r="W31" s="29">
        <f t="shared" si="6"/>
        <v>337.17366666666663</v>
      </c>
      <c r="X31" s="29">
        <f t="shared" si="6"/>
        <v>130.63809347403031</v>
      </c>
      <c r="Y31" s="29">
        <f t="shared" si="6"/>
        <v>206.53557319263632</v>
      </c>
      <c r="Z31" s="35">
        <f>(Y31-R31-U31)*0.1+((P31+R31)*0.02)</f>
        <v>20.673288652596966</v>
      </c>
      <c r="AA31" s="29">
        <f>Z31+Y31</f>
        <v>227.20886184523329</v>
      </c>
      <c r="AB31" s="3"/>
      <c r="AC31" s="3"/>
      <c r="AD31" s="3"/>
      <c r="AE31" s="27"/>
      <c r="AF31" s="3"/>
      <c r="AH31" s="29"/>
      <c r="AI31" s="29"/>
      <c r="AJ31" s="3"/>
      <c r="AK31" s="35"/>
      <c r="AL31" s="29"/>
      <c r="AM31" s="29"/>
      <c r="AN31" s="29"/>
    </row>
    <row r="32" spans="1:53" ht="15.75" x14ac:dyDescent="0.25">
      <c r="A32" s="29"/>
      <c r="B32" s="29"/>
      <c r="C32" s="29"/>
      <c r="D32" s="35"/>
      <c r="E32" s="35"/>
      <c r="F32" s="35"/>
      <c r="G32" s="35"/>
      <c r="H32" s="29"/>
      <c r="I32" s="29"/>
      <c r="J32" s="35"/>
      <c r="K32" s="35"/>
      <c r="L32" s="29"/>
      <c r="M32" s="35"/>
      <c r="N32" s="35"/>
      <c r="O32" s="29"/>
      <c r="P32" s="35"/>
      <c r="Q32" s="35"/>
      <c r="R32" s="35"/>
      <c r="S32" s="29"/>
      <c r="T32" s="29"/>
      <c r="U32" s="29"/>
      <c r="V32" s="29"/>
      <c r="W32" s="29"/>
      <c r="X32" s="29"/>
      <c r="Y32" s="3"/>
      <c r="Z32" s="29"/>
      <c r="AA32" s="29"/>
      <c r="AB32" s="29"/>
      <c r="AG32" s="29"/>
      <c r="AH32" s="29"/>
      <c r="AM32" s="29"/>
    </row>
    <row r="33" spans="1:39" x14ac:dyDescent="0.2">
      <c r="A33" s="203" t="s">
        <v>121</v>
      </c>
      <c r="B33" s="203"/>
      <c r="C33" s="203"/>
      <c r="D33" s="204"/>
      <c r="E33" s="204"/>
      <c r="F33" s="204"/>
      <c r="G33" s="204"/>
      <c r="H33" s="29"/>
      <c r="I33" s="29"/>
      <c r="J33" s="35"/>
      <c r="K33" s="35"/>
      <c r="L33" s="332" t="s">
        <v>332</v>
      </c>
      <c r="M33" s="333"/>
      <c r="N33" s="333"/>
      <c r="O33" s="333"/>
      <c r="P33" s="333"/>
      <c r="Q33" s="333"/>
      <c r="R33" s="333"/>
      <c r="S33" s="333"/>
      <c r="T33" s="333"/>
      <c r="U33" s="333"/>
      <c r="V33" s="333"/>
      <c r="W33" s="333"/>
      <c r="X33" s="333"/>
      <c r="Y33" s="333"/>
      <c r="Z33" s="333"/>
      <c r="AA33" s="333"/>
      <c r="AH33" s="29"/>
      <c r="AM33" s="2"/>
    </row>
    <row r="34" spans="1:39" x14ac:dyDescent="0.2">
      <c r="A34" s="81" t="s">
        <v>336</v>
      </c>
      <c r="B34" s="202"/>
      <c r="C34" s="202"/>
      <c r="D34" s="200"/>
      <c r="E34" s="200"/>
      <c r="F34" s="29"/>
      <c r="G34" s="29"/>
      <c r="H34" s="182" t="s">
        <v>345</v>
      </c>
      <c r="I34" s="182"/>
      <c r="J34" s="183"/>
      <c r="L34" s="333"/>
      <c r="M34" s="333"/>
      <c r="N34" s="333"/>
      <c r="O34" s="333"/>
      <c r="P34" s="333"/>
      <c r="Q34" s="333"/>
      <c r="R34" s="333"/>
      <c r="S34" s="333"/>
      <c r="T34" s="333"/>
      <c r="U34" s="333"/>
      <c r="V34" s="333"/>
      <c r="W34" s="333"/>
      <c r="X34" s="333"/>
      <c r="Y34" s="333"/>
      <c r="Z34" s="333"/>
      <c r="AA34" s="333"/>
      <c r="AB34" s="29"/>
    </row>
    <row r="35" spans="1:39" s="97" customFormat="1" ht="15.75" x14ac:dyDescent="0.25">
      <c r="A35" s="100" t="s">
        <v>192</v>
      </c>
      <c r="B35" s="100"/>
      <c r="D35" s="94"/>
      <c r="E35" s="94"/>
      <c r="F35" s="94"/>
      <c r="G35" s="101"/>
      <c r="H35" s="94"/>
      <c r="I35" s="94"/>
      <c r="J35" s="94"/>
      <c r="K35" s="94"/>
      <c r="L35" s="94"/>
      <c r="M35" s="101"/>
      <c r="N35" s="94"/>
      <c r="O35" s="94"/>
      <c r="P35" s="94"/>
      <c r="Q35" s="94"/>
      <c r="R35" s="94"/>
      <c r="S35" s="101"/>
      <c r="T35" s="101"/>
      <c r="U35" s="94"/>
      <c r="V35" s="94"/>
      <c r="W35" s="95"/>
      <c r="X35" s="95"/>
      <c r="Y35" s="95"/>
      <c r="Z35" s="96"/>
      <c r="AA35" s="95"/>
      <c r="AB35" s="95"/>
      <c r="AG35" s="95"/>
      <c r="AH35" s="95"/>
    </row>
    <row r="36" spans="1:39" ht="15.75" x14ac:dyDescent="0.25">
      <c r="A36" s="3"/>
      <c r="B36" s="3"/>
      <c r="C36" s="3"/>
      <c r="F36" s="33" t="s">
        <v>87</v>
      </c>
      <c r="G36" s="33" t="s">
        <v>88</v>
      </c>
      <c r="H36" s="33" t="s">
        <v>89</v>
      </c>
      <c r="I36" s="33" t="s">
        <v>90</v>
      </c>
      <c r="J36" s="33" t="s">
        <v>23</v>
      </c>
      <c r="K36" s="33" t="s">
        <v>91</v>
      </c>
      <c r="L36" s="33" t="s">
        <v>92</v>
      </c>
      <c r="M36" s="33" t="s">
        <v>93</v>
      </c>
      <c r="N36" s="33" t="s">
        <v>94</v>
      </c>
      <c r="O36" s="33" t="s">
        <v>95</v>
      </c>
      <c r="P36" s="33" t="s">
        <v>96</v>
      </c>
      <c r="Q36" s="33" t="s">
        <v>97</v>
      </c>
      <c r="R36" s="33" t="s">
        <v>71</v>
      </c>
      <c r="U36" s="3" t="s">
        <v>14</v>
      </c>
      <c r="V36" s="29"/>
      <c r="W36" s="3"/>
      <c r="X36" s="32"/>
      <c r="AG36" s="29"/>
      <c r="AH36" s="29"/>
    </row>
    <row r="37" spans="1:39" ht="15.75" x14ac:dyDescent="0.25">
      <c r="A37" s="3"/>
      <c r="B37" s="3"/>
      <c r="C37" s="3"/>
      <c r="F37" s="33"/>
      <c r="G37" s="27"/>
      <c r="H37" s="27"/>
      <c r="I37" s="33"/>
      <c r="J37" s="27"/>
      <c r="K37" s="27"/>
      <c r="L37" s="27"/>
      <c r="M37" s="27"/>
      <c r="N37" s="33"/>
      <c r="O37" s="27"/>
      <c r="P37" s="33"/>
      <c r="Q37" s="27"/>
      <c r="R37" s="33"/>
      <c r="U37" s="3" t="s">
        <v>79</v>
      </c>
      <c r="V37" s="2"/>
      <c r="W37" s="29"/>
      <c r="X37" s="27"/>
      <c r="Y37" s="30"/>
      <c r="AG37" s="29"/>
      <c r="AH37" s="29"/>
    </row>
    <row r="38" spans="1:39" ht="15.75" x14ac:dyDescent="0.25">
      <c r="A38" s="3" t="s">
        <v>329</v>
      </c>
      <c r="B38" s="3"/>
      <c r="C38" s="106"/>
      <c r="F38" s="226">
        <v>0</v>
      </c>
      <c r="G38" s="226">
        <v>0.01</v>
      </c>
      <c r="H38" s="226">
        <v>1.41</v>
      </c>
      <c r="I38" s="226">
        <v>3</v>
      </c>
      <c r="J38" s="226">
        <v>4.93</v>
      </c>
      <c r="K38" s="226">
        <v>6.88</v>
      </c>
      <c r="L38" s="226">
        <v>6.37</v>
      </c>
      <c r="M38" s="226">
        <v>6.2</v>
      </c>
      <c r="N38" s="226">
        <v>4.7699999999999996</v>
      </c>
      <c r="O38" s="226">
        <v>3.21</v>
      </c>
      <c r="P38" s="226">
        <v>0.94</v>
      </c>
      <c r="Q38" s="226">
        <v>0.57999999999999996</v>
      </c>
      <c r="R38" s="29">
        <f>SUM(F38:Q38)</f>
        <v>38.299999999999997</v>
      </c>
      <c r="U38" s="29" t="s">
        <v>372</v>
      </c>
      <c r="V38" s="29"/>
      <c r="W38" s="249">
        <v>2.27</v>
      </c>
      <c r="X38" s="29"/>
      <c r="Y38" s="29"/>
      <c r="Z38" s="32"/>
      <c r="AG38" s="29"/>
      <c r="AH38" s="29"/>
    </row>
    <row r="39" spans="1:39" ht="15.75" x14ac:dyDescent="0.25">
      <c r="A39" s="3" t="s">
        <v>98</v>
      </c>
      <c r="B39" s="3"/>
      <c r="C39" s="29"/>
      <c r="F39" s="29">
        <f>F38/$R38</f>
        <v>0</v>
      </c>
      <c r="G39" s="29">
        <f t="shared" ref="G39:Q39" si="7">G38/$R38</f>
        <v>2.6109660574412537E-4</v>
      </c>
      <c r="H39" s="29">
        <f t="shared" si="7"/>
        <v>3.6814621409921672E-2</v>
      </c>
      <c r="I39" s="29">
        <f t="shared" si="7"/>
        <v>7.8328981723237601E-2</v>
      </c>
      <c r="J39" s="29">
        <f t="shared" si="7"/>
        <v>0.1287206266318538</v>
      </c>
      <c r="K39" s="29">
        <f t="shared" si="7"/>
        <v>0.17963446475195824</v>
      </c>
      <c r="L39" s="29">
        <f t="shared" si="7"/>
        <v>0.16631853785900785</v>
      </c>
      <c r="M39" s="29">
        <f t="shared" si="7"/>
        <v>0.16187989556135771</v>
      </c>
      <c r="N39" s="29">
        <f t="shared" si="7"/>
        <v>0.12454308093994777</v>
      </c>
      <c r="O39" s="29">
        <f t="shared" si="7"/>
        <v>8.3812010443864229E-2</v>
      </c>
      <c r="P39" s="29">
        <f t="shared" si="7"/>
        <v>2.4543080939947781E-2</v>
      </c>
      <c r="Q39" s="29">
        <f t="shared" si="7"/>
        <v>1.5143603133159269E-2</v>
      </c>
      <c r="R39" s="29">
        <f>SUM(F39:Q39)</f>
        <v>1.0000000000000002</v>
      </c>
      <c r="U39" s="29" t="s">
        <v>317</v>
      </c>
      <c r="V39" s="3"/>
      <c r="W39" s="249">
        <v>0</v>
      </c>
      <c r="X39" s="29"/>
      <c r="Y39" s="216"/>
      <c r="Z39" s="27"/>
      <c r="AA39" s="29"/>
      <c r="AG39" s="29"/>
      <c r="AH39" s="29"/>
    </row>
    <row r="40" spans="1:39" ht="16.5" thickBot="1" x14ac:dyDescent="0.3">
      <c r="A40" s="3"/>
      <c r="B40" s="3"/>
      <c r="C40" s="29"/>
      <c r="F40" s="29"/>
      <c r="G40" s="32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U40" s="29" t="s">
        <v>81</v>
      </c>
      <c r="V40" s="3"/>
      <c r="W40" s="249">
        <v>0</v>
      </c>
      <c r="X40" s="29"/>
      <c r="Y40" s="216"/>
      <c r="Z40" s="27"/>
      <c r="AG40" s="29"/>
      <c r="AH40" s="29"/>
    </row>
    <row r="41" spans="1:39" ht="16.5" thickBot="1" x14ac:dyDescent="0.3">
      <c r="A41" s="94" t="s">
        <v>191</v>
      </c>
      <c r="B41" s="94"/>
      <c r="C41" s="95"/>
      <c r="D41" s="95"/>
      <c r="E41" s="95"/>
      <c r="F41" s="282">
        <v>34.82</v>
      </c>
      <c r="G41" s="94" t="s">
        <v>10</v>
      </c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U41" s="29" t="s">
        <v>330</v>
      </c>
      <c r="V41" s="2"/>
      <c r="W41" s="226">
        <v>0</v>
      </c>
      <c r="X41" s="29"/>
      <c r="Y41" s="29"/>
      <c r="Z41" s="32"/>
      <c r="AA41" s="29"/>
      <c r="AG41" s="29"/>
      <c r="AH41" s="29"/>
    </row>
    <row r="42" spans="1:39" ht="15.75" x14ac:dyDescent="0.25">
      <c r="A42" s="3"/>
      <c r="B42" s="3"/>
      <c r="C42" s="29"/>
      <c r="F42" s="33" t="s">
        <v>87</v>
      </c>
      <c r="G42" s="33" t="s">
        <v>88</v>
      </c>
      <c r="H42" s="33" t="s">
        <v>89</v>
      </c>
      <c r="I42" s="33" t="s">
        <v>90</v>
      </c>
      <c r="J42" s="33" t="s">
        <v>23</v>
      </c>
      <c r="K42" s="33" t="s">
        <v>91</v>
      </c>
      <c r="L42" s="33" t="s">
        <v>92</v>
      </c>
      <c r="M42" s="33" t="s">
        <v>93</v>
      </c>
      <c r="N42" s="33" t="s">
        <v>94</v>
      </c>
      <c r="O42" s="33" t="s">
        <v>95</v>
      </c>
      <c r="P42" s="33" t="s">
        <v>96</v>
      </c>
      <c r="Q42" s="33" t="s">
        <v>97</v>
      </c>
      <c r="R42" s="33" t="s">
        <v>71</v>
      </c>
      <c r="U42" s="3" t="s">
        <v>15</v>
      </c>
      <c r="V42" s="29"/>
      <c r="W42" s="3">
        <f>SUM(W38:W41)</f>
        <v>2.27</v>
      </c>
      <c r="X42" s="29"/>
      <c r="Y42" s="29"/>
      <c r="Z42" s="32"/>
      <c r="AG42" s="29"/>
      <c r="AH42" s="29"/>
    </row>
    <row r="43" spans="1:39" ht="15.75" x14ac:dyDescent="0.25">
      <c r="A43" s="3"/>
      <c r="B43" s="3"/>
      <c r="C43" s="29"/>
      <c r="F43" s="33"/>
      <c r="G43" s="27"/>
      <c r="H43" s="27"/>
      <c r="I43" s="33"/>
      <c r="J43" s="27"/>
      <c r="K43" s="27"/>
      <c r="L43" s="27"/>
      <c r="M43" s="27"/>
      <c r="N43" s="33"/>
      <c r="O43" s="27"/>
      <c r="P43" s="33"/>
      <c r="Q43" s="27"/>
      <c r="R43" s="33"/>
      <c r="W43" s="29"/>
      <c r="X43" s="29"/>
      <c r="Y43" s="29"/>
      <c r="Z43" s="32"/>
      <c r="AA43" s="29"/>
      <c r="AB43" s="29"/>
      <c r="AC43" s="29"/>
      <c r="AD43" s="29"/>
      <c r="AE43" s="29"/>
      <c r="AF43" s="32"/>
      <c r="AG43" s="29"/>
      <c r="AH43" s="29"/>
    </row>
    <row r="44" spans="1:39" ht="15.75" x14ac:dyDescent="0.25">
      <c r="A44" s="3" t="s">
        <v>7</v>
      </c>
      <c r="B44" s="3"/>
      <c r="C44" s="29"/>
      <c r="F44" s="29">
        <f>F39*$F41</f>
        <v>0</v>
      </c>
      <c r="G44" s="29">
        <f t="shared" ref="G44:Q44" si="8">G39*$F41</f>
        <v>9.0913838120104448E-3</v>
      </c>
      <c r="H44" s="29">
        <f t="shared" si="8"/>
        <v>1.2818851174934727</v>
      </c>
      <c r="I44" s="29">
        <f t="shared" si="8"/>
        <v>2.7274151436031331</v>
      </c>
      <c r="J44" s="29">
        <f t="shared" si="8"/>
        <v>4.4820522193211492</v>
      </c>
      <c r="K44" s="29">
        <f t="shared" si="8"/>
        <v>6.2548720626631855</v>
      </c>
      <c r="L44" s="29">
        <f t="shared" si="8"/>
        <v>5.7912114882506538</v>
      </c>
      <c r="M44" s="29">
        <f t="shared" si="8"/>
        <v>5.6366579634464751</v>
      </c>
      <c r="N44" s="29">
        <f t="shared" si="8"/>
        <v>4.3365900783289817</v>
      </c>
      <c r="O44" s="29">
        <f t="shared" si="8"/>
        <v>2.9183342036553523</v>
      </c>
      <c r="P44" s="29">
        <f t="shared" si="8"/>
        <v>0.85459007832898171</v>
      </c>
      <c r="Q44" s="29">
        <f t="shared" si="8"/>
        <v>0.52730026109660577</v>
      </c>
      <c r="R44" s="29">
        <f>SUM(F44:Q44)</f>
        <v>34.82</v>
      </c>
      <c r="U44" s="29"/>
      <c r="V44"/>
      <c r="W44"/>
      <c r="X44"/>
      <c r="Y44"/>
      <c r="Z44" s="31"/>
      <c r="AA44"/>
      <c r="AB44" s="29"/>
      <c r="AC44" s="29"/>
      <c r="AD44" s="29"/>
      <c r="AE44" s="29"/>
      <c r="AF44" s="32"/>
      <c r="AG44" s="29"/>
      <c r="AH44" s="29"/>
    </row>
    <row r="45" spans="1:39" ht="15.75" x14ac:dyDescent="0.25">
      <c r="A45" s="3" t="s">
        <v>6</v>
      </c>
      <c r="B45" s="3"/>
      <c r="C45" s="29"/>
      <c r="F45" s="29">
        <f t="shared" ref="F45:Q45" si="9">F44/12</f>
        <v>0</v>
      </c>
      <c r="G45" s="29">
        <f t="shared" si="9"/>
        <v>7.5761531766753703E-4</v>
      </c>
      <c r="H45" s="29">
        <f t="shared" si="9"/>
        <v>0.10682375979112273</v>
      </c>
      <c r="I45" s="29">
        <f t="shared" si="9"/>
        <v>0.2272845953002611</v>
      </c>
      <c r="J45" s="29">
        <f t="shared" si="9"/>
        <v>0.37350435161009576</v>
      </c>
      <c r="K45" s="29">
        <f t="shared" si="9"/>
        <v>0.5212393385552655</v>
      </c>
      <c r="L45" s="29">
        <f t="shared" si="9"/>
        <v>0.48260095735422115</v>
      </c>
      <c r="M45" s="29">
        <f t="shared" si="9"/>
        <v>0.46972149695387294</v>
      </c>
      <c r="N45" s="29">
        <f t="shared" si="9"/>
        <v>0.36138250652741516</v>
      </c>
      <c r="O45" s="29">
        <f t="shared" si="9"/>
        <v>0.24319451697127936</v>
      </c>
      <c r="P45" s="29">
        <f t="shared" si="9"/>
        <v>7.1215839860748475E-2</v>
      </c>
      <c r="Q45" s="29">
        <f t="shared" si="9"/>
        <v>4.394168842471715E-2</v>
      </c>
      <c r="R45" s="29">
        <f>SUM(F45:Q45)</f>
        <v>2.9016666666666664</v>
      </c>
      <c r="U45"/>
      <c r="V45"/>
      <c r="W45"/>
      <c r="X45"/>
      <c r="Y45"/>
      <c r="Z45"/>
      <c r="AA45"/>
      <c r="AB45" s="29"/>
      <c r="AC45" s="29"/>
      <c r="AD45" s="29"/>
      <c r="AE45" s="29"/>
      <c r="AF45" s="32"/>
      <c r="AG45" s="29"/>
      <c r="AH45" s="29"/>
    </row>
    <row r="46" spans="1:39" x14ac:dyDescent="0.2">
      <c r="U46"/>
      <c r="V46"/>
      <c r="W46"/>
      <c r="X46"/>
      <c r="Y46"/>
      <c r="Z46"/>
      <c r="AA46"/>
      <c r="AB46" s="29"/>
      <c r="AC46" s="29"/>
      <c r="AD46" s="29"/>
      <c r="AE46" s="29"/>
      <c r="AF46" s="32"/>
      <c r="AG46" s="29"/>
      <c r="AH46" s="29"/>
    </row>
    <row r="47" spans="1:39" x14ac:dyDescent="0.2">
      <c r="U47"/>
      <c r="V47"/>
      <c r="W47"/>
      <c r="X47"/>
      <c r="Y47"/>
      <c r="Z47"/>
      <c r="AA47"/>
      <c r="AB47" s="29"/>
      <c r="AC47" s="29"/>
      <c r="AD47" s="29"/>
      <c r="AE47" s="29"/>
      <c r="AF47" s="32"/>
      <c r="AG47" s="29"/>
      <c r="AH47" s="29"/>
    </row>
    <row r="48" spans="1:39" x14ac:dyDescent="0.2">
      <c r="C48" s="246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W48" s="29"/>
      <c r="X48" s="29"/>
      <c r="Y48" s="29"/>
      <c r="Z48" s="32"/>
      <c r="AA48" s="29"/>
      <c r="AB48" s="29"/>
      <c r="AC48" s="29"/>
      <c r="AD48" s="29"/>
      <c r="AE48" s="29"/>
      <c r="AF48" s="32"/>
      <c r="AG48" s="29"/>
      <c r="AH48" s="29"/>
    </row>
    <row r="49" spans="1:34" ht="15.75" customHeight="1" x14ac:dyDescent="0.2">
      <c r="V49"/>
      <c r="W49"/>
      <c r="X49"/>
      <c r="Y49"/>
      <c r="Z49"/>
      <c r="AA49"/>
      <c r="AB49" s="29"/>
      <c r="AC49" s="29"/>
      <c r="AD49" s="29"/>
      <c r="AE49" s="29"/>
      <c r="AF49" s="32"/>
      <c r="AG49" s="29"/>
      <c r="AH49" s="29"/>
    </row>
    <row r="50" spans="1:34" x14ac:dyDescent="0.2">
      <c r="U50"/>
      <c r="V50"/>
      <c r="W50"/>
      <c r="X50"/>
      <c r="Y50"/>
      <c r="Z50"/>
      <c r="AA50"/>
      <c r="AB50" s="29"/>
      <c r="AC50" s="29"/>
      <c r="AD50" s="29"/>
      <c r="AE50" s="29"/>
      <c r="AF50" s="32"/>
      <c r="AG50" s="29"/>
      <c r="AH50" s="29"/>
    </row>
    <row r="51" spans="1:34" x14ac:dyDescent="0.2">
      <c r="B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S51" s="32"/>
      <c r="T51" s="32"/>
      <c r="U51" s="29"/>
      <c r="W51" s="29"/>
      <c r="X51" s="29"/>
      <c r="Y51" s="29"/>
      <c r="Z51" s="32"/>
      <c r="AA51" s="29"/>
      <c r="AB51" s="29"/>
      <c r="AC51" s="29"/>
      <c r="AD51" s="29"/>
      <c r="AE51" s="29"/>
      <c r="AF51" s="32"/>
      <c r="AG51" s="29"/>
      <c r="AH51" s="29"/>
    </row>
    <row r="52" spans="1:34" s="29" customFormat="1" ht="15.75" x14ac:dyDescent="0.25">
      <c r="A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AB52" s="3"/>
      <c r="AC52" s="3"/>
      <c r="AD52" s="3"/>
      <c r="AE52" s="3"/>
      <c r="AF52" s="27"/>
      <c r="AG52" s="3"/>
      <c r="AH52" s="3"/>
    </row>
    <row r="53" spans="1:34" x14ac:dyDescent="0.2">
      <c r="B53" s="29"/>
      <c r="AB53" s="29"/>
      <c r="AC53" s="29"/>
      <c r="AD53" s="29"/>
      <c r="AE53" s="29"/>
      <c r="AF53" s="32"/>
      <c r="AG53" s="29"/>
      <c r="AH53" s="29"/>
    </row>
    <row r="54" spans="1:34" x14ac:dyDescent="0.2">
      <c r="B54" s="29"/>
      <c r="W54" s="29"/>
      <c r="X54" s="29"/>
      <c r="Y54" s="29"/>
      <c r="Z54" s="32"/>
      <c r="AA54" s="29"/>
      <c r="AB54" s="29"/>
      <c r="AC54" s="29"/>
      <c r="AD54" s="29"/>
      <c r="AE54" s="29"/>
      <c r="AF54" s="32"/>
      <c r="AG54" s="29"/>
      <c r="AH54" s="29"/>
    </row>
    <row r="55" spans="1:34" x14ac:dyDescent="0.2">
      <c r="B55" s="29"/>
      <c r="W55" s="29"/>
      <c r="X55" s="29"/>
      <c r="Z55" s="32"/>
      <c r="AA55" s="29"/>
      <c r="AB55" s="29"/>
      <c r="AC55" s="29"/>
      <c r="AD55" s="29"/>
      <c r="AE55" s="29"/>
      <c r="AF55" s="32"/>
      <c r="AG55" s="29"/>
      <c r="AH55" s="29"/>
    </row>
    <row r="56" spans="1:34" x14ac:dyDescent="0.2">
      <c r="B56" s="29"/>
      <c r="V56" s="29"/>
      <c r="W56" s="29"/>
      <c r="X56" s="29"/>
      <c r="Y56" s="29"/>
      <c r="Z56" s="32"/>
      <c r="AA56" s="29"/>
      <c r="AB56" s="29"/>
      <c r="AC56" s="29"/>
      <c r="AD56" s="29"/>
      <c r="AE56" s="29"/>
      <c r="AF56" s="32"/>
      <c r="AG56" s="29"/>
      <c r="AH56" s="29"/>
    </row>
    <row r="57" spans="1:34" x14ac:dyDescent="0.2">
      <c r="B57" s="29"/>
    </row>
    <row r="58" spans="1:34" x14ac:dyDescent="0.2">
      <c r="B58" s="29"/>
    </row>
    <row r="59" spans="1:34" x14ac:dyDescent="0.2">
      <c r="B59" s="29"/>
    </row>
    <row r="60" spans="1:34" x14ac:dyDescent="0.2">
      <c r="B60" s="29"/>
    </row>
    <row r="61" spans="1:34" x14ac:dyDescent="0.2">
      <c r="B61" s="29"/>
    </row>
    <row r="62" spans="1:34" x14ac:dyDescent="0.2">
      <c r="B62" s="29"/>
    </row>
  </sheetData>
  <sheetProtection algorithmName="SHA-512" hashValue="58w059a7h8XDeKfPxk2FMWng99iFEgZJW+pPgkdAj/kp72RxDj9+o4M0MBB/WSQpp1LlpTIBrfcIokTlhFngdg==" saltValue="jNyc7Gnd0beQF493PSodww==" spinCount="100000" sheet="1" formatColumns="0"/>
  <mergeCells count="12">
    <mergeCell ref="AK6:AO6"/>
    <mergeCell ref="F26:K26"/>
    <mergeCell ref="AQ6:AU6"/>
    <mergeCell ref="AE6:AI6"/>
    <mergeCell ref="L26:P26"/>
    <mergeCell ref="Q26:R26"/>
    <mergeCell ref="V26:AA26"/>
    <mergeCell ref="A3:C3"/>
    <mergeCell ref="E6:J6"/>
    <mergeCell ref="L6:P6"/>
    <mergeCell ref="R6:W6"/>
    <mergeCell ref="L33:AA34"/>
  </mergeCells>
  <phoneticPr fontId="0" type="noConversion"/>
  <printOptions horizontalCentered="1" gridLines="1"/>
  <pageMargins left="0.75" right="0.25" top="0.75" bottom="0.75" header="0.5" footer="0.5"/>
  <pageSetup paperSize="17" scale="67" orientation="landscape" r:id="rId1"/>
  <headerFooter alignWithMargins="0">
    <oddHeader>&amp;L&amp;D</oddHeader>
    <oddFooter>&amp;L&amp;F&amp;R&amp;A</oddFooter>
  </headerFooter>
  <colBreaks count="1" manualBreakCount="1">
    <brk id="47" max="1048575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Z62"/>
  <sheetViews>
    <sheetView zoomScaleNormal="100" zoomScaleSheetLayoutView="75" workbookViewId="0">
      <selection activeCell="H28" sqref="H28"/>
    </sheetView>
  </sheetViews>
  <sheetFormatPr defaultColWidth="9.140625" defaultRowHeight="15" x14ac:dyDescent="0.2"/>
  <cols>
    <col min="1" max="1" width="28.28515625" style="28" customWidth="1"/>
    <col min="2" max="24" width="10.7109375" style="28" customWidth="1"/>
    <col min="25" max="25" width="8.7109375" style="28" customWidth="1"/>
    <col min="26" max="27" width="10" style="28" bestFit="1" customWidth="1"/>
    <col min="28" max="28" width="9.7109375" style="28" bestFit="1" customWidth="1"/>
    <col min="29" max="30" width="10" style="28" bestFit="1" customWidth="1"/>
    <col min="31" max="31" width="9.85546875" style="28" customWidth="1"/>
    <col min="32" max="33" width="10" style="28" bestFit="1" customWidth="1"/>
    <col min="34" max="34" width="7.28515625" style="28" customWidth="1"/>
    <col min="35" max="35" width="15.7109375" style="28" customWidth="1"/>
    <col min="36" max="36" width="7.28515625" style="28" bestFit="1" customWidth="1"/>
    <col min="37" max="37" width="8.7109375" style="28" customWidth="1"/>
    <col min="38" max="38" width="8.85546875" style="28" bestFit="1" customWidth="1"/>
    <col min="39" max="39" width="8.7109375" style="28" bestFit="1" customWidth="1"/>
    <col min="40" max="40" width="7" style="28" bestFit="1" customWidth="1"/>
    <col min="41" max="207" width="9.7109375" style="28" customWidth="1"/>
    <col min="208" max="16384" width="9.140625" style="28"/>
  </cols>
  <sheetData>
    <row r="1" spans="1:48" ht="18" x14ac:dyDescent="0.25">
      <c r="A1" s="39" t="s">
        <v>84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8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236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</row>
    <row r="3" spans="1:48" s="29" customFormat="1" ht="15.75" x14ac:dyDescent="0.25">
      <c r="A3" s="298" t="s">
        <v>164</v>
      </c>
      <c r="B3" s="298"/>
      <c r="C3" s="298"/>
      <c r="D3" s="3">
        <v>0.55000000000000004</v>
      </c>
      <c r="E3" s="29" t="s">
        <v>181</v>
      </c>
      <c r="F3"/>
      <c r="G3"/>
      <c r="H3"/>
      <c r="I3"/>
      <c r="J3"/>
      <c r="K3"/>
      <c r="L3"/>
      <c r="M3"/>
      <c r="P3" s="32"/>
      <c r="R3" s="235"/>
      <c r="T3" s="32"/>
      <c r="Y3" s="32"/>
      <c r="AB3" s="3"/>
      <c r="AD3" s="35"/>
    </row>
    <row r="4" spans="1:48" s="29" customFormat="1" ht="18" x14ac:dyDescent="0.25">
      <c r="A4" s="91" t="s">
        <v>188</v>
      </c>
      <c r="B4" s="91"/>
      <c r="C4" s="81"/>
      <c r="D4" s="81"/>
      <c r="E4" s="205"/>
      <c r="F4" s="205"/>
      <c r="G4" s="205"/>
      <c r="H4" s="205"/>
      <c r="I4" s="205"/>
      <c r="J4" s="205"/>
      <c r="K4" s="205"/>
      <c r="L4" s="205"/>
      <c r="M4" s="205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84"/>
      <c r="AH4" s="81"/>
      <c r="AI4" s="81"/>
      <c r="AJ4" s="81"/>
      <c r="AK4" s="81"/>
      <c r="AL4" s="81"/>
      <c r="AM4" s="81"/>
      <c r="AN4" s="81"/>
      <c r="AO4" s="81"/>
    </row>
    <row r="5" spans="1:48" s="29" customFormat="1" ht="15.75" customHeight="1" x14ac:dyDescent="0.25">
      <c r="A5" s="27"/>
      <c r="B5" s="27"/>
      <c r="D5" s="27"/>
      <c r="E5" s="303"/>
      <c r="F5" s="304"/>
      <c r="G5" s="304"/>
      <c r="H5" s="304"/>
      <c r="I5" s="304"/>
      <c r="J5" s="304"/>
      <c r="K5" s="6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</row>
    <row r="6" spans="1:48" s="29" customFormat="1" x14ac:dyDescent="0.2">
      <c r="F6" s="249">
        <v>0</v>
      </c>
      <c r="G6" s="82" t="s">
        <v>185</v>
      </c>
      <c r="H6" s="82"/>
      <c r="I6" s="82"/>
      <c r="L6" s="35"/>
      <c r="M6" s="82"/>
      <c r="N6" s="82"/>
      <c r="O6" s="82"/>
      <c r="R6" s="35"/>
      <c r="S6" s="82"/>
      <c r="T6" s="82"/>
      <c r="U6" s="82"/>
      <c r="X6" s="35"/>
      <c r="Y6" s="82"/>
      <c r="Z6" s="82"/>
      <c r="AA6" s="82"/>
      <c r="AD6" s="35"/>
      <c r="AE6" s="82"/>
      <c r="AF6" s="82"/>
      <c r="AG6" s="82"/>
      <c r="AJ6" s="35"/>
      <c r="AK6" s="82"/>
      <c r="AL6" s="82"/>
      <c r="AM6" s="82"/>
      <c r="AP6" s="35"/>
      <c r="AQ6" s="82"/>
      <c r="AR6" s="82"/>
      <c r="AS6" s="82"/>
      <c r="AV6" s="82"/>
    </row>
    <row r="7" spans="1:48" s="29" customFormat="1" x14ac:dyDescent="0.2">
      <c r="F7" s="35">
        <v>0</v>
      </c>
      <c r="G7" s="82" t="s">
        <v>205</v>
      </c>
      <c r="H7" s="82"/>
      <c r="I7" s="82"/>
      <c r="L7" s="35"/>
      <c r="M7" s="82"/>
      <c r="N7" s="82"/>
      <c r="O7" s="82"/>
      <c r="R7" s="35"/>
      <c r="S7" s="82"/>
      <c r="T7" s="82"/>
      <c r="U7" s="82"/>
      <c r="X7" s="35"/>
      <c r="Y7" s="82"/>
      <c r="Z7" s="82"/>
      <c r="AA7" s="82"/>
      <c r="AD7" s="35"/>
      <c r="AE7" s="82"/>
      <c r="AF7" s="82"/>
      <c r="AG7" s="82"/>
      <c r="AJ7" s="35"/>
      <c r="AK7" s="82"/>
      <c r="AL7" s="82"/>
      <c r="AM7" s="82"/>
      <c r="AP7" s="35"/>
      <c r="AQ7" s="82"/>
      <c r="AR7" s="82"/>
      <c r="AS7" s="82"/>
    </row>
    <row r="8" spans="1:48" s="29" customFormat="1" x14ac:dyDescent="0.2">
      <c r="C8" s="32"/>
      <c r="F8" s="226">
        <v>0</v>
      </c>
      <c r="G8" s="29" t="s">
        <v>193</v>
      </c>
      <c r="L8" s="35"/>
      <c r="R8" s="35"/>
      <c r="X8" s="35"/>
    </row>
    <row r="9" spans="1:48" s="29" customFormat="1" x14ac:dyDescent="0.2">
      <c r="C9" s="32"/>
      <c r="F9" s="35">
        <f>SUM(F6:F8)</f>
        <v>0</v>
      </c>
      <c r="G9" s="29" t="s">
        <v>194</v>
      </c>
      <c r="L9" s="35"/>
      <c r="R9" s="35"/>
      <c r="X9" s="35"/>
      <c r="AD9" s="35"/>
      <c r="AJ9" s="35"/>
      <c r="AP9" s="35"/>
    </row>
    <row r="10" spans="1:48" s="59" customFormat="1" ht="93.75" customHeight="1" x14ac:dyDescent="0.25">
      <c r="A10" s="87" t="s">
        <v>86</v>
      </c>
      <c r="B10" s="27" t="s">
        <v>256</v>
      </c>
      <c r="C10" s="86" t="s">
        <v>199</v>
      </c>
      <c r="D10" s="86" t="s">
        <v>190</v>
      </c>
      <c r="E10" s="87" t="s">
        <v>19</v>
      </c>
      <c r="F10" s="86" t="s">
        <v>347</v>
      </c>
      <c r="G10" s="86" t="s">
        <v>210</v>
      </c>
      <c r="H10" s="86" t="s">
        <v>186</v>
      </c>
      <c r="I10" s="86" t="s">
        <v>189</v>
      </c>
      <c r="J10" s="86" t="s">
        <v>187</v>
      </c>
      <c r="K10" s="87"/>
      <c r="L10" s="86"/>
      <c r="M10" s="86"/>
      <c r="N10" s="86"/>
      <c r="O10" s="86"/>
      <c r="P10" s="86"/>
      <c r="Q10" s="87"/>
      <c r="R10" s="86"/>
      <c r="S10" s="86"/>
      <c r="T10" s="86"/>
      <c r="U10" s="86"/>
      <c r="V10" s="86"/>
      <c r="W10" s="87"/>
      <c r="X10" s="86"/>
      <c r="Y10" s="86"/>
      <c r="Z10" s="86"/>
      <c r="AA10" s="86"/>
      <c r="AB10" s="86"/>
      <c r="AC10" s="87"/>
      <c r="AD10" s="86"/>
      <c r="AE10" s="86"/>
      <c r="AF10" s="86"/>
      <c r="AG10" s="86"/>
      <c r="AH10" s="86"/>
      <c r="AI10" s="87"/>
      <c r="AJ10" s="86"/>
      <c r="AK10" s="86"/>
      <c r="AL10" s="86"/>
      <c r="AM10" s="86"/>
      <c r="AN10" s="86"/>
      <c r="AO10" s="87"/>
      <c r="AP10" s="86"/>
      <c r="AQ10" s="86"/>
      <c r="AR10" s="86"/>
      <c r="AS10" s="86"/>
      <c r="AT10" s="86"/>
    </row>
    <row r="11" spans="1:48" s="59" customFormat="1" ht="15.75" customHeight="1" x14ac:dyDescent="0.25">
      <c r="A11" s="36" t="s">
        <v>175</v>
      </c>
      <c r="B11" s="35">
        <f>F45/$D$3</f>
        <v>0</v>
      </c>
      <c r="C11" s="123">
        <f>2.21/12</f>
        <v>0.18416666666666667</v>
      </c>
      <c r="D11" s="226">
        <v>0.11666666666666665</v>
      </c>
      <c r="E11" s="86"/>
      <c r="F11" s="35">
        <f>$F$6*(IF($C11-$D11&lt;0,0,ABS($C11-$D11)))</f>
        <v>0</v>
      </c>
      <c r="G11" s="35">
        <f t="shared" ref="G11:G22" si="0">F11/$D$3</f>
        <v>0</v>
      </c>
      <c r="H11" s="29">
        <f>F$8*$B11</f>
        <v>0</v>
      </c>
      <c r="I11" s="35">
        <f>G11+H11</f>
        <v>0</v>
      </c>
      <c r="J11" s="35">
        <f>IF(E11-I11&gt;0,0,ABS(E11-I11))</f>
        <v>0</v>
      </c>
      <c r="K11" s="27"/>
      <c r="L11" s="276"/>
      <c r="M11" s="35"/>
      <c r="N11" s="29"/>
      <c r="O11" s="35"/>
      <c r="P11" s="35"/>
      <c r="Q11" s="27"/>
      <c r="R11" s="35"/>
      <c r="S11" s="35"/>
      <c r="T11" s="29"/>
      <c r="U11" s="35"/>
      <c r="V11" s="35"/>
      <c r="W11" s="27"/>
      <c r="X11" s="35"/>
      <c r="Y11" s="35"/>
      <c r="Z11" s="29"/>
      <c r="AA11" s="35"/>
      <c r="AB11" s="35"/>
      <c r="AC11" s="27"/>
      <c r="AD11" s="35"/>
      <c r="AE11" s="35"/>
      <c r="AF11" s="29"/>
      <c r="AG11" s="35"/>
      <c r="AH11" s="35"/>
      <c r="AI11" s="27"/>
      <c r="AJ11" s="86"/>
      <c r="AK11" s="86"/>
      <c r="AL11" s="86"/>
      <c r="AM11" s="86"/>
      <c r="AN11" s="86"/>
      <c r="AO11" s="27"/>
      <c r="AP11" s="86"/>
      <c r="AQ11" s="86"/>
      <c r="AR11" s="86"/>
      <c r="AS11" s="86"/>
      <c r="AT11" s="86"/>
    </row>
    <row r="12" spans="1:48" s="29" customFormat="1" ht="15.75" x14ac:dyDescent="0.25">
      <c r="A12" s="36" t="s">
        <v>21</v>
      </c>
      <c r="B12" s="35">
        <f>G45/$D$3</f>
        <v>4.0512796027501905E-3</v>
      </c>
      <c r="C12" s="35">
        <f>2.92/12</f>
        <v>0.24333333333333332</v>
      </c>
      <c r="D12" s="226">
        <v>0.13999999999999999</v>
      </c>
      <c r="E12" s="35"/>
      <c r="F12" s="35">
        <f>$F$6*(IF($C12-$D12&lt;0,0,ABS($C12-$D12)))</f>
        <v>0</v>
      </c>
      <c r="G12" s="35">
        <f t="shared" si="0"/>
        <v>0</v>
      </c>
      <c r="H12" s="29">
        <f>F$8*$B12</f>
        <v>0</v>
      </c>
      <c r="I12" s="35">
        <f t="shared" ref="I12:I21" si="1">G12+H12</f>
        <v>0</v>
      </c>
      <c r="J12" s="35">
        <f>IF(E12-I12&gt;0,0,ABS(E12-I12))</f>
        <v>0</v>
      </c>
      <c r="L12" s="276"/>
      <c r="M12" s="35"/>
      <c r="O12" s="35"/>
      <c r="P12" s="35"/>
      <c r="R12" s="35"/>
      <c r="S12" s="35"/>
      <c r="U12" s="35"/>
      <c r="V12" s="35"/>
      <c r="X12" s="35"/>
      <c r="Y12" s="35"/>
      <c r="AA12" s="35"/>
      <c r="AB12" s="35"/>
      <c r="AD12" s="35"/>
      <c r="AE12" s="35"/>
      <c r="AG12" s="35"/>
      <c r="AH12" s="35"/>
      <c r="AI12" s="35"/>
      <c r="AJ12" s="35"/>
      <c r="AK12" s="35"/>
      <c r="AM12" s="35"/>
      <c r="AN12" s="35"/>
      <c r="AO12" s="90"/>
      <c r="AP12" s="35"/>
      <c r="AQ12" s="35"/>
      <c r="AS12" s="35"/>
      <c r="AT12" s="35"/>
    </row>
    <row r="13" spans="1:48" s="29" customFormat="1" ht="15.75" x14ac:dyDescent="0.25">
      <c r="A13" s="36" t="s">
        <v>20</v>
      </c>
      <c r="B13" s="35">
        <f>H45/$D$3</f>
        <v>0.12018796154825566</v>
      </c>
      <c r="C13" s="35">
        <f>6.12/12</f>
        <v>0.51</v>
      </c>
      <c r="D13" s="226">
        <v>0.06</v>
      </c>
      <c r="E13" s="29">
        <v>0</v>
      </c>
      <c r="F13" s="35">
        <f t="shared" ref="F13:F21" si="2">$F$6*(IF($C13-$D13&lt;0,0,ABS($C13-$D13)))</f>
        <v>0</v>
      </c>
      <c r="G13" s="35">
        <f t="shared" si="0"/>
        <v>0</v>
      </c>
      <c r="H13" s="29">
        <f>F$8*$B13</f>
        <v>0</v>
      </c>
      <c r="I13" s="35">
        <f t="shared" si="1"/>
        <v>0</v>
      </c>
      <c r="J13" s="35">
        <f>IF(E13-I13&gt;0,0,ABS(E13-I13))</f>
        <v>0</v>
      </c>
      <c r="L13" s="276"/>
      <c r="M13" s="35"/>
      <c r="AA13" s="35"/>
      <c r="AB13" s="35"/>
      <c r="AC13" s="35"/>
      <c r="AD13" s="35"/>
      <c r="AE13" s="35"/>
      <c r="AG13" s="35"/>
      <c r="AH13" s="35"/>
      <c r="AI13" s="35"/>
      <c r="AJ13" s="35"/>
      <c r="AK13" s="35"/>
      <c r="AM13" s="35"/>
      <c r="AN13" s="35"/>
      <c r="AO13" s="90"/>
      <c r="AP13" s="35"/>
      <c r="AQ13" s="35"/>
      <c r="AS13" s="35"/>
      <c r="AT13" s="35"/>
    </row>
    <row r="14" spans="1:48" s="29" customFormat="1" ht="15.75" x14ac:dyDescent="0.25">
      <c r="A14" s="36" t="s">
        <v>22</v>
      </c>
      <c r="B14" s="35">
        <f>I45/$D$3</f>
        <v>0.297093837535014</v>
      </c>
      <c r="C14" s="35">
        <f>7.97/12</f>
        <v>0.66416666666666668</v>
      </c>
      <c r="D14" s="226">
        <v>1.6666666666666666E-2</v>
      </c>
      <c r="E14" s="29">
        <v>0</v>
      </c>
      <c r="F14" s="35">
        <f t="shared" si="2"/>
        <v>0</v>
      </c>
      <c r="G14" s="35">
        <f t="shared" si="0"/>
        <v>0</v>
      </c>
      <c r="H14" s="29">
        <f t="shared" ref="H14:H21" si="3">F$8*$B14</f>
        <v>0</v>
      </c>
      <c r="I14" s="35">
        <f t="shared" si="1"/>
        <v>0</v>
      </c>
      <c r="J14" s="35">
        <f t="shared" ref="J14:J21" si="4">IF(E14-I14&gt;0,0,ABS(E14-I14))</f>
        <v>0</v>
      </c>
      <c r="L14" s="276"/>
      <c r="M14" s="35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AA14" s="35"/>
      <c r="AB14" s="35"/>
      <c r="AC14" s="35"/>
      <c r="AD14" s="35"/>
      <c r="AE14" s="35"/>
      <c r="AG14" s="35"/>
      <c r="AH14" s="35"/>
      <c r="AI14" s="35"/>
      <c r="AJ14" s="35"/>
      <c r="AK14" s="35"/>
      <c r="AM14" s="35"/>
      <c r="AN14" s="35"/>
      <c r="AO14" s="90"/>
      <c r="AP14" s="35"/>
      <c r="AQ14" s="35"/>
      <c r="AS14" s="35"/>
      <c r="AT14" s="35"/>
    </row>
    <row r="15" spans="1:48" s="29" customFormat="1" ht="15.75" x14ac:dyDescent="0.25">
      <c r="A15" s="36" t="s">
        <v>23</v>
      </c>
      <c r="B15" s="35">
        <f>J45/$D$3</f>
        <v>0.5806834097275273</v>
      </c>
      <c r="C15" s="35">
        <f>9.18/12</f>
        <v>0.76500000000000001</v>
      </c>
      <c r="D15" s="226">
        <v>0</v>
      </c>
      <c r="E15" s="29">
        <v>0</v>
      </c>
      <c r="F15" s="35">
        <f t="shared" si="2"/>
        <v>0</v>
      </c>
      <c r="G15" s="35">
        <f t="shared" si="0"/>
        <v>0</v>
      </c>
      <c r="H15" s="29">
        <f t="shared" si="3"/>
        <v>0</v>
      </c>
      <c r="I15" s="35">
        <f t="shared" si="1"/>
        <v>0</v>
      </c>
      <c r="J15" s="35">
        <f t="shared" si="4"/>
        <v>0</v>
      </c>
      <c r="L15" s="276"/>
      <c r="M15" s="35"/>
      <c r="O15" s="35"/>
      <c r="P15" s="35"/>
      <c r="R15" s="35"/>
      <c r="S15" s="35"/>
      <c r="U15" s="35"/>
      <c r="V15" s="35"/>
      <c r="W15" s="35"/>
      <c r="X15" s="35"/>
      <c r="Y15" s="35"/>
      <c r="AA15" s="35"/>
      <c r="AB15" s="35"/>
      <c r="AC15" s="35"/>
      <c r="AD15" s="35"/>
      <c r="AE15" s="35"/>
      <c r="AG15" s="35"/>
      <c r="AH15" s="35"/>
      <c r="AI15" s="35"/>
      <c r="AJ15" s="35"/>
      <c r="AK15" s="35"/>
      <c r="AM15" s="35"/>
      <c r="AN15" s="35"/>
      <c r="AO15" s="90"/>
      <c r="AP15" s="35"/>
      <c r="AQ15" s="35"/>
      <c r="AS15" s="35"/>
      <c r="AT15" s="35"/>
    </row>
    <row r="16" spans="1:48" s="29" customFormat="1" ht="15.75" x14ac:dyDescent="0.25">
      <c r="A16" s="36" t="s">
        <v>24</v>
      </c>
      <c r="B16" s="35">
        <f>K45/$D$3</f>
        <v>0.89263193913929206</v>
      </c>
      <c r="C16" s="35">
        <f>10.96/12</f>
        <v>0.91333333333333344</v>
      </c>
      <c r="D16" s="226">
        <v>0.04</v>
      </c>
      <c r="E16" s="29">
        <v>0</v>
      </c>
      <c r="F16" s="35">
        <f t="shared" si="2"/>
        <v>0</v>
      </c>
      <c r="G16" s="35">
        <f t="shared" si="0"/>
        <v>0</v>
      </c>
      <c r="H16" s="29">
        <f t="shared" si="3"/>
        <v>0</v>
      </c>
      <c r="I16" s="35">
        <f t="shared" si="1"/>
        <v>0</v>
      </c>
      <c r="J16" s="35">
        <f t="shared" si="4"/>
        <v>0</v>
      </c>
      <c r="L16" s="276"/>
      <c r="M16" s="35"/>
      <c r="O16" s="35"/>
      <c r="P16" s="35"/>
      <c r="R16" s="35"/>
      <c r="S16" s="35"/>
      <c r="U16" s="35"/>
      <c r="V16" s="35"/>
      <c r="W16" s="35"/>
      <c r="X16" s="35"/>
      <c r="Y16" s="35"/>
      <c r="AA16" s="35"/>
      <c r="AB16" s="35"/>
      <c r="AC16" s="35"/>
      <c r="AD16" s="35"/>
      <c r="AE16" s="35"/>
      <c r="AG16" s="35"/>
      <c r="AH16" s="35"/>
      <c r="AI16" s="35"/>
      <c r="AJ16" s="35"/>
      <c r="AK16" s="35"/>
      <c r="AM16" s="35"/>
      <c r="AN16" s="35"/>
      <c r="AO16" s="90"/>
      <c r="AP16" s="35"/>
      <c r="AQ16" s="35"/>
      <c r="AS16" s="35"/>
      <c r="AT16" s="35"/>
    </row>
    <row r="17" spans="1:52" s="29" customFormat="1" ht="15.75" x14ac:dyDescent="0.25">
      <c r="A17" s="36" t="s">
        <v>25</v>
      </c>
      <c r="B17" s="35">
        <f>L45/$D$3</f>
        <v>1.0344267252355488</v>
      </c>
      <c r="C17" s="35">
        <f>8.4/12</f>
        <v>0.70000000000000007</v>
      </c>
      <c r="D17" s="226">
        <v>8.7500000000000008E-2</v>
      </c>
      <c r="E17" s="29">
        <v>0</v>
      </c>
      <c r="F17" s="35">
        <f t="shared" si="2"/>
        <v>0</v>
      </c>
      <c r="G17" s="35">
        <f t="shared" si="0"/>
        <v>0</v>
      </c>
      <c r="H17" s="29">
        <f t="shared" si="3"/>
        <v>0</v>
      </c>
      <c r="I17" s="35">
        <f t="shared" si="1"/>
        <v>0</v>
      </c>
      <c r="J17" s="35">
        <f t="shared" si="4"/>
        <v>0</v>
      </c>
      <c r="L17" s="276"/>
      <c r="M17" s="35"/>
      <c r="O17" s="35"/>
      <c r="P17" s="35"/>
      <c r="R17" s="35"/>
      <c r="S17" s="35"/>
      <c r="U17" s="35"/>
      <c r="V17" s="35"/>
      <c r="W17" s="35"/>
      <c r="X17" s="35"/>
      <c r="Y17" s="35"/>
      <c r="AA17" s="35"/>
      <c r="AB17" s="35"/>
      <c r="AC17" s="35"/>
      <c r="AD17" s="35"/>
      <c r="AE17" s="35"/>
      <c r="AG17" s="35"/>
      <c r="AH17" s="35"/>
      <c r="AI17" s="35"/>
      <c r="AJ17" s="35"/>
      <c r="AK17" s="35"/>
      <c r="AM17" s="35"/>
      <c r="AN17" s="35"/>
      <c r="AO17" s="90"/>
      <c r="AP17" s="35"/>
      <c r="AQ17" s="35"/>
      <c r="AS17" s="35"/>
      <c r="AT17" s="35"/>
    </row>
    <row r="18" spans="1:52" s="29" customFormat="1" ht="15.75" x14ac:dyDescent="0.25">
      <c r="A18" s="36" t="s">
        <v>26</v>
      </c>
      <c r="B18" s="35">
        <f>M45/$D$3</f>
        <v>0.96555497198879559</v>
      </c>
      <c r="C18" s="35">
        <f>6.98/12</f>
        <v>0.58166666666666667</v>
      </c>
      <c r="D18" s="226">
        <v>9.3333333333333338E-2</v>
      </c>
      <c r="E18" s="29">
        <v>0</v>
      </c>
      <c r="F18" s="35">
        <f t="shared" si="2"/>
        <v>0</v>
      </c>
      <c r="G18" s="35">
        <f t="shared" si="0"/>
        <v>0</v>
      </c>
      <c r="H18" s="29">
        <f t="shared" si="3"/>
        <v>0</v>
      </c>
      <c r="I18" s="35">
        <f t="shared" si="1"/>
        <v>0</v>
      </c>
      <c r="J18" s="35">
        <f t="shared" si="4"/>
        <v>0</v>
      </c>
      <c r="L18" s="276"/>
      <c r="M18" s="35"/>
      <c r="O18" s="35"/>
      <c r="P18" s="35"/>
      <c r="R18" s="35"/>
      <c r="S18" s="35"/>
      <c r="U18" s="35"/>
      <c r="V18" s="35"/>
      <c r="W18" s="35"/>
      <c r="X18" s="35"/>
      <c r="Y18" s="35"/>
      <c r="AA18" s="35"/>
      <c r="AB18" s="35"/>
      <c r="AC18" s="35"/>
      <c r="AD18" s="35"/>
      <c r="AE18" s="35"/>
      <c r="AG18" s="35"/>
      <c r="AH18" s="35"/>
      <c r="AI18" s="35"/>
      <c r="AJ18" s="35"/>
      <c r="AK18" s="35"/>
      <c r="AM18" s="35"/>
      <c r="AN18" s="35"/>
      <c r="AO18" s="90"/>
      <c r="AP18" s="35"/>
      <c r="AQ18" s="35"/>
      <c r="AS18" s="35"/>
      <c r="AT18" s="35"/>
    </row>
    <row r="19" spans="1:52" s="29" customFormat="1" ht="15.75" x14ac:dyDescent="0.25">
      <c r="A19" s="36" t="s">
        <v>27</v>
      </c>
      <c r="B19" s="35">
        <f>N45/$D$3</f>
        <v>0.69006795900178253</v>
      </c>
      <c r="C19" s="35">
        <f>6.19/12</f>
        <v>0.51583333333333337</v>
      </c>
      <c r="D19" s="226">
        <v>1.3333333333333334E-2</v>
      </c>
      <c r="E19" s="29">
        <v>0</v>
      </c>
      <c r="F19" s="35">
        <f t="shared" si="2"/>
        <v>0</v>
      </c>
      <c r="G19" s="35">
        <f t="shared" si="0"/>
        <v>0</v>
      </c>
      <c r="H19" s="29">
        <f t="shared" si="3"/>
        <v>0</v>
      </c>
      <c r="I19" s="35">
        <f t="shared" si="1"/>
        <v>0</v>
      </c>
      <c r="J19" s="35">
        <f t="shared" si="4"/>
        <v>0</v>
      </c>
      <c r="L19" s="276"/>
      <c r="M19" s="35"/>
      <c r="O19" s="35"/>
      <c r="P19" s="35"/>
      <c r="R19" s="35"/>
      <c r="S19" s="35"/>
      <c r="U19" s="35"/>
      <c r="V19" s="35"/>
      <c r="W19" s="35"/>
      <c r="X19" s="35"/>
      <c r="Y19" s="35"/>
      <c r="AA19" s="35"/>
      <c r="AB19" s="35"/>
      <c r="AC19" s="35"/>
      <c r="AD19" s="35"/>
      <c r="AE19" s="35"/>
      <c r="AG19" s="35"/>
      <c r="AH19" s="35"/>
      <c r="AI19" s="35"/>
      <c r="AJ19" s="35"/>
      <c r="AK19" s="35"/>
      <c r="AM19" s="35"/>
      <c r="AN19" s="35"/>
      <c r="AO19" s="90"/>
      <c r="AP19" s="35"/>
      <c r="AQ19" s="35"/>
      <c r="AS19" s="35"/>
      <c r="AT19" s="35"/>
    </row>
    <row r="20" spans="1:52" s="29" customFormat="1" ht="15.75" x14ac:dyDescent="0.25">
      <c r="A20" s="36" t="s">
        <v>28</v>
      </c>
      <c r="B20" s="35">
        <f>O45/$D$3</f>
        <v>0.41323051948051942</v>
      </c>
      <c r="C20" s="35">
        <f>5.2/12</f>
        <v>0.43333333333333335</v>
      </c>
      <c r="D20" s="226">
        <v>8.3333333333333339E-4</v>
      </c>
      <c r="E20" s="29">
        <v>0</v>
      </c>
      <c r="F20" s="35">
        <f t="shared" si="2"/>
        <v>0</v>
      </c>
      <c r="G20" s="35">
        <f t="shared" si="0"/>
        <v>0</v>
      </c>
      <c r="H20" s="29">
        <f t="shared" si="3"/>
        <v>0</v>
      </c>
      <c r="I20" s="35">
        <f t="shared" si="1"/>
        <v>0</v>
      </c>
      <c r="J20" s="35">
        <f t="shared" si="4"/>
        <v>0</v>
      </c>
      <c r="L20" s="276"/>
      <c r="M20" s="35"/>
      <c r="O20" s="35"/>
      <c r="P20" s="35"/>
      <c r="R20" s="35"/>
      <c r="S20" s="35"/>
      <c r="U20" s="35"/>
      <c r="V20" s="35"/>
      <c r="W20" s="35"/>
      <c r="X20" s="35"/>
      <c r="Y20" s="35"/>
      <c r="AA20" s="35"/>
      <c r="AB20" s="35"/>
      <c r="AC20" s="35"/>
      <c r="AD20" s="35"/>
      <c r="AE20" s="35"/>
      <c r="AG20" s="35"/>
      <c r="AH20" s="35"/>
      <c r="AI20" s="35"/>
      <c r="AJ20" s="35"/>
      <c r="AK20" s="35"/>
      <c r="AM20" s="35"/>
      <c r="AN20" s="35"/>
      <c r="AO20" s="90"/>
      <c r="AP20" s="35"/>
      <c r="AQ20" s="35"/>
      <c r="AS20" s="35"/>
      <c r="AT20" s="35"/>
    </row>
    <row r="21" spans="1:52" s="29" customFormat="1" ht="15.75" x14ac:dyDescent="0.25">
      <c r="A21" s="36" t="s">
        <v>29</v>
      </c>
      <c r="B21" s="35">
        <f>P45/$D$3</f>
        <v>8.9128151260504204E-2</v>
      </c>
      <c r="C21" s="35">
        <f>2.71/12</f>
        <v>0.22583333333333333</v>
      </c>
      <c r="D21" s="226">
        <v>1.8333333333333333E-2</v>
      </c>
      <c r="E21" s="29">
        <v>0</v>
      </c>
      <c r="F21" s="35">
        <f t="shared" si="2"/>
        <v>0</v>
      </c>
      <c r="G21" s="35">
        <f t="shared" si="0"/>
        <v>0</v>
      </c>
      <c r="H21" s="29">
        <f t="shared" si="3"/>
        <v>0</v>
      </c>
      <c r="I21" s="35">
        <f t="shared" si="1"/>
        <v>0</v>
      </c>
      <c r="J21" s="35">
        <f t="shared" si="4"/>
        <v>0</v>
      </c>
      <c r="L21" s="276"/>
      <c r="M21" s="35"/>
      <c r="O21" s="35"/>
      <c r="P21" s="35"/>
      <c r="R21" s="35"/>
      <c r="S21" s="35"/>
      <c r="U21" s="35"/>
      <c r="V21" s="35"/>
      <c r="W21" s="35"/>
      <c r="X21" s="35"/>
      <c r="Y21" s="35"/>
      <c r="AA21" s="35"/>
      <c r="AB21" s="35"/>
      <c r="AC21" s="35"/>
      <c r="AD21" s="35"/>
      <c r="AE21" s="35"/>
      <c r="AG21" s="35"/>
      <c r="AH21" s="35"/>
      <c r="AI21" s="35"/>
      <c r="AJ21" s="35"/>
      <c r="AK21" s="35"/>
      <c r="AM21" s="35"/>
      <c r="AN21" s="35"/>
      <c r="AO21" s="90"/>
      <c r="AP21" s="35"/>
      <c r="AQ21" s="35"/>
      <c r="AS21" s="35"/>
      <c r="AT21" s="35"/>
    </row>
    <row r="22" spans="1:52" s="29" customFormat="1" ht="15.75" x14ac:dyDescent="0.25">
      <c r="A22" s="36" t="s">
        <v>204</v>
      </c>
      <c r="B22" s="35">
        <f>Q45/$D$3</f>
        <v>5.5367487904252596E-2</v>
      </c>
      <c r="C22" s="123">
        <f>2.21/12</f>
        <v>0.18416666666666667</v>
      </c>
      <c r="D22" s="226">
        <v>0</v>
      </c>
      <c r="E22" s="35"/>
      <c r="F22" s="35">
        <f>$F$6*(IF($C22-$D22&lt;0,0,ABS($C22-$D22)))</f>
        <v>0</v>
      </c>
      <c r="G22" s="35">
        <f t="shared" si="0"/>
        <v>0</v>
      </c>
      <c r="H22" s="29">
        <f>F$8*$B22</f>
        <v>0</v>
      </c>
      <c r="I22" s="35">
        <f>G22+H22</f>
        <v>0</v>
      </c>
      <c r="J22" s="35">
        <f>IF(E22-I22&gt;0,0,ABS(E22-I22))</f>
        <v>0</v>
      </c>
      <c r="L22" s="276"/>
      <c r="M22" s="35"/>
      <c r="O22" s="35"/>
      <c r="P22" s="35"/>
      <c r="R22" s="35"/>
      <c r="S22" s="35"/>
      <c r="U22" s="35"/>
      <c r="V22" s="35"/>
      <c r="X22" s="35"/>
      <c r="Y22" s="35"/>
      <c r="AA22" s="35"/>
      <c r="AB22" s="35"/>
      <c r="AD22" s="35"/>
      <c r="AE22" s="35"/>
      <c r="AG22" s="35"/>
      <c r="AH22" s="35"/>
      <c r="AJ22" s="35"/>
      <c r="AK22" s="35"/>
      <c r="AL22" s="35"/>
      <c r="AM22" s="35"/>
      <c r="AN22" s="35"/>
      <c r="AP22" s="35"/>
      <c r="AQ22" s="35"/>
      <c r="AR22" s="35"/>
      <c r="AS22" s="35"/>
      <c r="AT22" s="35"/>
    </row>
    <row r="23" spans="1:52" s="33" customFormat="1" ht="15.75" x14ac:dyDescent="0.25">
      <c r="A23" s="33" t="s">
        <v>34</v>
      </c>
      <c r="B23" s="33">
        <f t="shared" ref="B23:J23" si="5">SUM(B11:B22)</f>
        <v>5.1424242424242426</v>
      </c>
      <c r="C23" s="33">
        <f t="shared" si="5"/>
        <v>5.9208333333333343</v>
      </c>
      <c r="D23" s="33">
        <f t="shared" si="5"/>
        <v>0.58666666666666667</v>
      </c>
      <c r="E23" s="33">
        <f t="shared" si="5"/>
        <v>0</v>
      </c>
      <c r="F23" s="33">
        <f t="shared" si="5"/>
        <v>0</v>
      </c>
      <c r="G23" s="33">
        <f t="shared" si="5"/>
        <v>0</v>
      </c>
      <c r="H23" s="33">
        <f t="shared" si="5"/>
        <v>0</v>
      </c>
      <c r="I23" s="33">
        <f t="shared" si="5"/>
        <v>0</v>
      </c>
      <c r="J23" s="33">
        <f t="shared" si="5"/>
        <v>0</v>
      </c>
    </row>
    <row r="24" spans="1:52" s="33" customFormat="1" ht="15.75" x14ac:dyDescent="0.25"/>
    <row r="25" spans="1:52" s="29" customFormat="1" x14ac:dyDescent="0.2">
      <c r="D25" s="32"/>
      <c r="E25" s="32"/>
    </row>
    <row r="26" spans="1:52" s="104" customFormat="1" ht="18" x14ac:dyDescent="0.25">
      <c r="A26" s="98" t="s">
        <v>35</v>
      </c>
      <c r="B26" s="99"/>
      <c r="C26" s="102"/>
      <c r="D26" s="103"/>
      <c r="E26" s="103"/>
      <c r="F26" s="305" t="s">
        <v>117</v>
      </c>
      <c r="G26" s="306"/>
      <c r="H26" s="306"/>
      <c r="I26" s="306"/>
      <c r="J26" s="306"/>
      <c r="K26" s="306"/>
      <c r="L26" s="307" t="s">
        <v>118</v>
      </c>
      <c r="M26" s="306"/>
      <c r="N26" s="306"/>
      <c r="O26" s="306"/>
      <c r="P26" s="306"/>
      <c r="Q26" s="306"/>
      <c r="R26" s="137"/>
      <c r="S26" s="308" t="s">
        <v>71</v>
      </c>
      <c r="T26" s="309"/>
      <c r="U26" s="309"/>
      <c r="V26" s="309"/>
      <c r="W26" s="309"/>
      <c r="X26" s="309"/>
      <c r="Y26" s="162"/>
      <c r="Z26" s="164"/>
      <c r="AA26" s="48"/>
      <c r="AB26" s="48"/>
      <c r="AC26" s="48"/>
      <c r="AD26" s="48"/>
      <c r="AE26" s="48"/>
      <c r="AF26" s="48"/>
      <c r="AG26" s="162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165"/>
      <c r="AV26" s="165"/>
      <c r="AW26" s="165"/>
      <c r="AX26" s="165"/>
      <c r="AY26" s="165"/>
      <c r="AZ26" s="165"/>
    </row>
    <row r="27" spans="1:52" s="2" customFormat="1" ht="72.75" customHeight="1" x14ac:dyDescent="0.2">
      <c r="A27" s="89"/>
      <c r="B27" s="89"/>
      <c r="C27" s="105" t="s">
        <v>8</v>
      </c>
      <c r="D27" s="105" t="s">
        <v>9</v>
      </c>
      <c r="E27" s="105"/>
      <c r="F27" s="83" t="s">
        <v>200</v>
      </c>
      <c r="G27" s="86" t="s">
        <v>0</v>
      </c>
      <c r="H27" s="83" t="s">
        <v>2</v>
      </c>
      <c r="I27" s="83" t="s">
        <v>3</v>
      </c>
      <c r="J27" s="83" t="s">
        <v>288</v>
      </c>
      <c r="K27" s="83" t="s">
        <v>289</v>
      </c>
      <c r="L27" s="89"/>
      <c r="M27" s="83" t="s">
        <v>202</v>
      </c>
      <c r="N27" s="86" t="s">
        <v>0</v>
      </c>
      <c r="O27" s="83" t="s">
        <v>289</v>
      </c>
      <c r="P27" s="83" t="s">
        <v>201</v>
      </c>
      <c r="Q27" s="86" t="s">
        <v>0</v>
      </c>
      <c r="S27" s="86" t="s">
        <v>119</v>
      </c>
      <c r="T27" s="83" t="s">
        <v>1</v>
      </c>
      <c r="U27" s="83" t="s">
        <v>4</v>
      </c>
      <c r="V27" s="86" t="s">
        <v>290</v>
      </c>
      <c r="W27" s="86" t="s">
        <v>120</v>
      </c>
      <c r="X27" s="86" t="s">
        <v>291</v>
      </c>
      <c r="Y27" s="83"/>
      <c r="Z27" s="86"/>
      <c r="AA27" s="83"/>
      <c r="AB27" s="83"/>
      <c r="AC27" s="86"/>
      <c r="AD27" s="86"/>
      <c r="AE27" s="86"/>
      <c r="AG27" s="59"/>
      <c r="AK27" s="32"/>
      <c r="AL27" s="29"/>
    </row>
    <row r="28" spans="1:52" ht="15.75" x14ac:dyDescent="0.25">
      <c r="A28" s="28" t="s">
        <v>235</v>
      </c>
      <c r="B28" s="29"/>
      <c r="C28" s="35">
        <f>B23*D3</f>
        <v>2.8283333333333336</v>
      </c>
      <c r="E28" s="35"/>
      <c r="F28" s="35">
        <f>($F8+$L8+$R8+$X8+$AD8+$AJ8)-F29</f>
        <v>0</v>
      </c>
      <c r="G28" s="35">
        <f>F28*$C28</f>
        <v>0</v>
      </c>
      <c r="H28" s="29">
        <f>H23+N23+T23+Z23+AF23+AL23</f>
        <v>0</v>
      </c>
      <c r="I28" s="29"/>
      <c r="J28" s="29"/>
      <c r="K28" s="29">
        <f>G28*J31</f>
        <v>0</v>
      </c>
      <c r="L28" s="29"/>
      <c r="M28" s="249">
        <v>35.54</v>
      </c>
      <c r="N28" s="35">
        <f>M28*$C28</f>
        <v>100.51896666666667</v>
      </c>
      <c r="O28" s="29">
        <f>J31*N28</f>
        <v>0</v>
      </c>
      <c r="P28" s="226">
        <v>24.16</v>
      </c>
      <c r="Q28" s="35">
        <f>P28*$C28</f>
        <v>68.332533333333345</v>
      </c>
      <c r="S28" s="29">
        <f>F28+M28+P28</f>
        <v>59.7</v>
      </c>
      <c r="T28" s="29">
        <f>G28+N28+Q28</f>
        <v>168.85150000000002</v>
      </c>
      <c r="U28" s="29">
        <f>O28+K28</f>
        <v>0</v>
      </c>
      <c r="V28" s="29">
        <f>T28-U28</f>
        <v>168.85150000000002</v>
      </c>
      <c r="W28" s="29"/>
      <c r="X28" s="29"/>
      <c r="Y28" s="29"/>
      <c r="Z28" s="29"/>
      <c r="AA28" s="3"/>
      <c r="AB28" s="29"/>
      <c r="AC28" s="29"/>
      <c r="AD28" s="29"/>
      <c r="AE28" s="29"/>
      <c r="AG28" s="29"/>
      <c r="AK28" s="27"/>
      <c r="AL28" s="29"/>
      <c r="AM28" s="29"/>
    </row>
    <row r="29" spans="1:52" ht="15.75" x14ac:dyDescent="0.25">
      <c r="A29" s="29" t="s">
        <v>236</v>
      </c>
      <c r="B29" s="29"/>
      <c r="C29" s="29"/>
      <c r="D29" s="35"/>
      <c r="E29" s="35"/>
      <c r="F29" s="35"/>
      <c r="G29" s="35"/>
      <c r="H29" s="29"/>
      <c r="I29" s="29"/>
      <c r="J29" s="29"/>
      <c r="K29" s="29"/>
      <c r="L29" s="29"/>
      <c r="M29" s="35">
        <v>0</v>
      </c>
      <c r="N29" s="35"/>
      <c r="O29" s="29"/>
      <c r="P29" s="29">
        <v>0</v>
      </c>
      <c r="Q29" s="35"/>
      <c r="S29" s="29"/>
      <c r="T29" s="29"/>
      <c r="U29" s="29"/>
      <c r="V29" s="29"/>
      <c r="W29" s="29"/>
      <c r="X29" s="29"/>
      <c r="Y29" s="29"/>
      <c r="Z29" s="29"/>
      <c r="AA29" s="3"/>
      <c r="AB29" s="29"/>
      <c r="AC29" s="29"/>
      <c r="AD29" s="29"/>
      <c r="AE29" s="29"/>
      <c r="AG29" s="29"/>
      <c r="AK29" s="29"/>
      <c r="AL29" s="29"/>
      <c r="AM29" s="29"/>
    </row>
    <row r="30" spans="1:52" s="29" customFormat="1" ht="15.75" x14ac:dyDescent="0.25">
      <c r="A30" s="29" t="s">
        <v>48</v>
      </c>
      <c r="E30" s="35"/>
      <c r="F30" s="35">
        <f>F6+L6+R6+X6+AD6+AJ6</f>
        <v>0</v>
      </c>
      <c r="G30" s="35">
        <f>F30*($C23-$D23)</f>
        <v>0</v>
      </c>
      <c r="H30" s="29">
        <f>G23+M23+S23+Y23+AE23+AK23</f>
        <v>0</v>
      </c>
      <c r="K30" s="29">
        <f>G30*J31</f>
        <v>0</v>
      </c>
      <c r="M30" s="249">
        <v>0</v>
      </c>
      <c r="N30" s="35">
        <f>M30*($C23-$D23)</f>
        <v>0</v>
      </c>
      <c r="O30" s="35">
        <f>J31*N30</f>
        <v>0</v>
      </c>
      <c r="P30" s="226">
        <v>0</v>
      </c>
      <c r="Q30" s="35">
        <f>P30*($C23-$D23)</f>
        <v>0</v>
      </c>
      <c r="R30" s="35"/>
      <c r="S30" s="29">
        <f>F30+M30+P30</f>
        <v>0</v>
      </c>
      <c r="T30" s="29">
        <f>G30+N30+Q30</f>
        <v>0</v>
      </c>
      <c r="U30" s="29">
        <f>O30+K30</f>
        <v>0</v>
      </c>
      <c r="V30" s="29">
        <f>T30-U30</f>
        <v>0</v>
      </c>
      <c r="W30" s="32"/>
      <c r="AA30" s="3"/>
      <c r="AD30" s="32"/>
    </row>
    <row r="31" spans="1:52" ht="15.75" x14ac:dyDescent="0.25">
      <c r="A31" s="3" t="s">
        <v>71</v>
      </c>
      <c r="B31" s="29"/>
      <c r="D31" s="35"/>
      <c r="E31" s="35"/>
      <c r="F31" s="35">
        <f>SUM(F28:F30)</f>
        <v>0</v>
      </c>
      <c r="G31" s="35">
        <f>SUM(G28:G30)</f>
        <v>0</v>
      </c>
      <c r="H31" s="35">
        <f>SUM(H28:H30)</f>
        <v>0</v>
      </c>
      <c r="I31" s="29">
        <f>J23+AB23</f>
        <v>0</v>
      </c>
      <c r="J31" s="33"/>
      <c r="K31" s="35">
        <f>J31*G31</f>
        <v>0</v>
      </c>
      <c r="L31" s="29"/>
      <c r="M31" s="35">
        <f>SUM(M28:M30)</f>
        <v>35.54</v>
      </c>
      <c r="N31" s="35">
        <f>SUM(N28:N30)</f>
        <v>100.51896666666667</v>
      </c>
      <c r="O31" s="35">
        <f>SUM(O28:O30)</f>
        <v>0</v>
      </c>
      <c r="P31" s="35">
        <f>SUM(P28:P30)</f>
        <v>24.16</v>
      </c>
      <c r="Q31" s="35">
        <f>SUM(Q28:Q30)</f>
        <v>68.332533333333345</v>
      </c>
      <c r="S31" s="29">
        <f>SUM(S28:S30)</f>
        <v>59.7</v>
      </c>
      <c r="T31" s="29">
        <f>SUM(T28:T30)</f>
        <v>168.85150000000002</v>
      </c>
      <c r="U31" s="29">
        <f>SUM(U28:U30)</f>
        <v>0</v>
      </c>
      <c r="V31" s="29">
        <f>SUM(V28:V30)</f>
        <v>168.85150000000002</v>
      </c>
      <c r="W31" s="35">
        <f>(V31-Q31)*0.1+(Q31*0.02)</f>
        <v>11.418547333333334</v>
      </c>
      <c r="X31" s="29">
        <f>W31+V31</f>
        <v>180.27004733333334</v>
      </c>
      <c r="Y31" s="29"/>
      <c r="Z31" s="3"/>
      <c r="AA31" s="3"/>
      <c r="AB31" s="3"/>
      <c r="AC31" s="3"/>
      <c r="AD31" s="27"/>
      <c r="AE31" s="3"/>
      <c r="AG31" s="29"/>
      <c r="AK31" s="29"/>
      <c r="AL31" s="29"/>
      <c r="AM31" s="29"/>
    </row>
    <row r="32" spans="1:52" ht="15.75" x14ac:dyDescent="0.25">
      <c r="A32" s="29"/>
      <c r="B32" s="29"/>
      <c r="C32" s="29"/>
      <c r="D32" s="35"/>
      <c r="E32" s="35"/>
      <c r="F32" s="35"/>
      <c r="G32" s="35"/>
      <c r="H32" s="29"/>
      <c r="I32" s="29"/>
      <c r="J32" s="35"/>
      <c r="K32" s="35"/>
      <c r="L32" s="29"/>
      <c r="M32" s="35"/>
      <c r="N32" s="35"/>
      <c r="O32" s="29"/>
      <c r="P32" s="35"/>
      <c r="Q32" s="35"/>
      <c r="R32" s="35"/>
      <c r="S32" s="29"/>
      <c r="T32" s="29"/>
      <c r="U32" s="29"/>
      <c r="V32" s="29"/>
      <c r="W32" s="29"/>
      <c r="X32" s="3"/>
      <c r="Y32" s="29"/>
      <c r="Z32" s="29"/>
      <c r="AA32" s="29"/>
      <c r="AF32" s="29"/>
      <c r="AG32" s="29"/>
      <c r="AK32" s="29"/>
      <c r="AL32" s="29"/>
    </row>
    <row r="33" spans="1:38" ht="15.75" x14ac:dyDescent="0.25">
      <c r="A33" s="29" t="s">
        <v>121</v>
      </c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G33" s="29"/>
      <c r="AK33" s="29"/>
      <c r="AL33" s="2"/>
    </row>
    <row r="34" spans="1:38" ht="15.75" x14ac:dyDescent="0.25">
      <c r="A34" s="29" t="s">
        <v>344</v>
      </c>
      <c r="C34" s="35"/>
      <c r="D34" s="35"/>
      <c r="E34" s="35"/>
      <c r="F34" s="29"/>
      <c r="G34" s="29"/>
      <c r="H34" s="35"/>
      <c r="I34" s="29"/>
      <c r="J34" s="35"/>
      <c r="K34" s="35"/>
      <c r="L34" s="29"/>
      <c r="M34" s="35"/>
      <c r="N34" s="35"/>
      <c r="O34" s="29"/>
      <c r="P34" s="29"/>
      <c r="Q34" s="29"/>
      <c r="R34" s="29"/>
      <c r="S34" s="3"/>
      <c r="T34" s="32"/>
      <c r="U34" s="29"/>
      <c r="V34" s="29"/>
      <c r="W34" s="29"/>
      <c r="X34" s="3"/>
      <c r="Y34" s="32"/>
      <c r="Z34" s="29"/>
      <c r="AA34" s="29"/>
    </row>
    <row r="35" spans="1:38" s="97" customFormat="1" ht="15.75" x14ac:dyDescent="0.25">
      <c r="A35" s="100" t="s">
        <v>192</v>
      </c>
      <c r="B35" s="100"/>
      <c r="D35" s="94"/>
      <c r="E35" s="94"/>
      <c r="F35" s="94"/>
      <c r="G35" s="101"/>
      <c r="H35" s="94"/>
      <c r="I35" s="94"/>
      <c r="J35" s="94"/>
      <c r="K35" s="94"/>
      <c r="L35" s="94"/>
      <c r="M35" s="101"/>
      <c r="N35" s="94"/>
      <c r="O35" s="94"/>
      <c r="P35" s="94"/>
      <c r="Q35" s="94"/>
      <c r="R35" s="94"/>
      <c r="S35" s="101"/>
      <c r="T35" s="94"/>
      <c r="U35" s="94"/>
      <c r="V35" s="95"/>
      <c r="W35" s="95"/>
      <c r="X35" s="95"/>
      <c r="Y35" s="96"/>
      <c r="Z35" s="95"/>
      <c r="AA35" s="95"/>
      <c r="AF35" s="95"/>
      <c r="AG35" s="95"/>
    </row>
    <row r="36" spans="1:38" ht="15.75" x14ac:dyDescent="0.25">
      <c r="A36" s="3"/>
      <c r="B36" s="3"/>
      <c r="C36" s="3"/>
      <c r="F36" s="33" t="s">
        <v>87</v>
      </c>
      <c r="G36" s="33" t="s">
        <v>88</v>
      </c>
      <c r="H36" s="33" t="s">
        <v>89</v>
      </c>
      <c r="I36" s="33" t="s">
        <v>90</v>
      </c>
      <c r="J36" s="33" t="s">
        <v>23</v>
      </c>
      <c r="K36" s="33" t="s">
        <v>91</v>
      </c>
      <c r="L36" s="33" t="s">
        <v>92</v>
      </c>
      <c r="M36" s="33" t="s">
        <v>93</v>
      </c>
      <c r="N36" s="33" t="s">
        <v>94</v>
      </c>
      <c r="O36" s="33" t="s">
        <v>95</v>
      </c>
      <c r="P36" s="33" t="s">
        <v>96</v>
      </c>
      <c r="Q36" s="33" t="s">
        <v>97</v>
      </c>
      <c r="R36" s="33" t="s">
        <v>71</v>
      </c>
      <c r="T36" s="3" t="s">
        <v>354</v>
      </c>
      <c r="U36" s="29"/>
      <c r="V36" s="3"/>
      <c r="Y36" s="32"/>
      <c r="AF36" s="29"/>
      <c r="AG36" s="29"/>
    </row>
    <row r="37" spans="1:38" ht="15.75" x14ac:dyDescent="0.25">
      <c r="B37" s="3"/>
      <c r="C37" s="3"/>
      <c r="F37" s="33"/>
      <c r="G37" s="27"/>
      <c r="H37" s="27"/>
      <c r="I37" s="33"/>
      <c r="J37" s="27"/>
      <c r="K37" s="27"/>
      <c r="L37" s="27"/>
      <c r="M37" s="27"/>
      <c r="N37" s="33"/>
      <c r="O37" s="27"/>
      <c r="P37" s="33"/>
      <c r="Q37" s="27"/>
      <c r="R37" s="33"/>
      <c r="T37" s="3" t="s">
        <v>79</v>
      </c>
      <c r="U37" s="2"/>
      <c r="V37" s="29"/>
      <c r="Y37" s="32"/>
      <c r="AF37" s="29"/>
      <c r="AG37" s="29"/>
    </row>
    <row r="38" spans="1:38" ht="15.75" x14ac:dyDescent="0.25">
      <c r="A38" s="3" t="s">
        <v>329</v>
      </c>
      <c r="B38" s="3"/>
      <c r="C38" s="106"/>
      <c r="F38" s="226">
        <v>0</v>
      </c>
      <c r="G38" s="226">
        <v>0.03</v>
      </c>
      <c r="H38" s="226">
        <v>0.89</v>
      </c>
      <c r="I38" s="226">
        <v>2.2000000000000002</v>
      </c>
      <c r="J38" s="226">
        <v>4.3</v>
      </c>
      <c r="K38" s="226">
        <v>6.61</v>
      </c>
      <c r="L38" s="226">
        <v>7.66</v>
      </c>
      <c r="M38" s="226">
        <v>7.15</v>
      </c>
      <c r="N38" s="226">
        <v>5.1100000000000003</v>
      </c>
      <c r="O38" s="226">
        <v>3.06</v>
      </c>
      <c r="P38" s="226">
        <v>0.66</v>
      </c>
      <c r="Q38" s="226">
        <v>0.41</v>
      </c>
      <c r="R38" s="29">
        <f>SUM(F38:Q38)</f>
        <v>38.08</v>
      </c>
      <c r="T38" s="29" t="s">
        <v>350</v>
      </c>
      <c r="U38" s="29"/>
      <c r="V38" s="249">
        <v>1.31</v>
      </c>
      <c r="W38" s="29"/>
      <c r="X38" s="29"/>
      <c r="Y38" s="32"/>
      <c r="AE38" s="32"/>
      <c r="AF38" s="29"/>
      <c r="AG38" s="29"/>
    </row>
    <row r="39" spans="1:38" ht="15.75" x14ac:dyDescent="0.25">
      <c r="A39" s="3" t="s">
        <v>98</v>
      </c>
      <c r="B39" s="3"/>
      <c r="C39" s="29"/>
      <c r="F39" s="29">
        <f>F38/$R38</f>
        <v>0</v>
      </c>
      <c r="G39" s="29">
        <f t="shared" ref="G39:Q39" si="6">G38/$R38</f>
        <v>7.8781512605042019E-4</v>
      </c>
      <c r="H39" s="29">
        <f t="shared" si="6"/>
        <v>2.3371848739495799E-2</v>
      </c>
      <c r="I39" s="29">
        <f t="shared" si="6"/>
        <v>5.7773109243697489E-2</v>
      </c>
      <c r="J39" s="29">
        <f t="shared" si="6"/>
        <v>0.11292016806722689</v>
      </c>
      <c r="K39" s="29">
        <f t="shared" si="6"/>
        <v>0.17358193277310927</v>
      </c>
      <c r="L39" s="29">
        <f t="shared" si="6"/>
        <v>0.20115546218487396</v>
      </c>
      <c r="M39" s="29">
        <f t="shared" si="6"/>
        <v>0.18776260504201683</v>
      </c>
      <c r="N39" s="29">
        <f t="shared" si="6"/>
        <v>0.13419117647058826</v>
      </c>
      <c r="O39" s="29">
        <f t="shared" si="6"/>
        <v>8.0357142857142863E-2</v>
      </c>
      <c r="P39" s="29">
        <f t="shared" si="6"/>
        <v>1.7331932773109245E-2</v>
      </c>
      <c r="Q39" s="29">
        <f t="shared" si="6"/>
        <v>1.0766806722689076E-2</v>
      </c>
      <c r="R39" s="29">
        <f>SUM(F39:Q39)</f>
        <v>1.0000000000000002</v>
      </c>
      <c r="T39" s="29" t="s">
        <v>351</v>
      </c>
      <c r="U39" s="3"/>
      <c r="V39" s="249">
        <v>0</v>
      </c>
      <c r="W39" s="29"/>
      <c r="X39" s="29"/>
      <c r="Y39" s="32"/>
      <c r="AE39" s="32"/>
      <c r="AF39" s="29"/>
      <c r="AG39" s="29"/>
    </row>
    <row r="40" spans="1:38" ht="16.5" thickBot="1" x14ac:dyDescent="0.3">
      <c r="A40" s="3"/>
      <c r="B40" s="3"/>
      <c r="C40" s="29"/>
      <c r="F40" s="29"/>
      <c r="G40" s="32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T40" s="29" t="s">
        <v>352</v>
      </c>
      <c r="U40" s="3"/>
      <c r="V40" s="249">
        <v>0</v>
      </c>
      <c r="W40" s="29"/>
      <c r="X40" s="29"/>
      <c r="Y40" s="32"/>
      <c r="AE40" s="32"/>
      <c r="AF40" s="29"/>
      <c r="AG40" s="29"/>
    </row>
    <row r="41" spans="1:38" ht="16.5" thickBot="1" x14ac:dyDescent="0.3">
      <c r="A41" s="94" t="s">
        <v>191</v>
      </c>
      <c r="B41" s="94"/>
      <c r="C41" s="95"/>
      <c r="D41" s="95"/>
      <c r="E41" s="95"/>
      <c r="F41" s="282">
        <v>33.94</v>
      </c>
      <c r="G41" s="94" t="s">
        <v>10</v>
      </c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T41" s="29"/>
      <c r="U41" s="2"/>
      <c r="V41" s="223"/>
      <c r="W41" s="29"/>
      <c r="X41" s="29"/>
      <c r="Y41" s="32"/>
      <c r="AE41" s="32"/>
      <c r="AF41" s="29"/>
      <c r="AG41" s="29"/>
    </row>
    <row r="42" spans="1:38" ht="15.75" x14ac:dyDescent="0.25">
      <c r="A42" s="3"/>
      <c r="B42" s="3"/>
      <c r="C42" s="29"/>
      <c r="F42" s="33" t="s">
        <v>87</v>
      </c>
      <c r="G42" s="33" t="s">
        <v>88</v>
      </c>
      <c r="H42" s="33" t="s">
        <v>89</v>
      </c>
      <c r="I42" s="33" t="s">
        <v>90</v>
      </c>
      <c r="J42" s="33" t="s">
        <v>23</v>
      </c>
      <c r="K42" s="33" t="s">
        <v>91</v>
      </c>
      <c r="L42" s="33" t="s">
        <v>92</v>
      </c>
      <c r="M42" s="33" t="s">
        <v>93</v>
      </c>
      <c r="N42" s="33" t="s">
        <v>94</v>
      </c>
      <c r="O42" s="33" t="s">
        <v>95</v>
      </c>
      <c r="P42" s="33" t="s">
        <v>96</v>
      </c>
      <c r="Q42" s="33" t="s">
        <v>97</v>
      </c>
      <c r="R42" s="33" t="s">
        <v>71</v>
      </c>
      <c r="T42" s="3" t="s">
        <v>15</v>
      </c>
      <c r="U42" s="29"/>
      <c r="V42" s="3">
        <f>SUM(V38:V41)</f>
        <v>1.31</v>
      </c>
      <c r="W42" s="29"/>
      <c r="X42" s="29"/>
      <c r="Y42" s="32"/>
      <c r="AE42" s="32"/>
      <c r="AF42" s="29"/>
      <c r="AG42" s="29"/>
    </row>
    <row r="43" spans="1:38" ht="15.75" x14ac:dyDescent="0.25">
      <c r="A43" s="3"/>
      <c r="B43" s="3"/>
      <c r="C43" s="29"/>
      <c r="F43" s="33"/>
      <c r="G43" s="27"/>
      <c r="H43" s="27"/>
      <c r="I43" s="33"/>
      <c r="J43" s="27"/>
      <c r="K43" s="27"/>
      <c r="L43" s="27"/>
      <c r="M43" s="27"/>
      <c r="N43" s="33"/>
      <c r="O43" s="27"/>
      <c r="P43" s="33"/>
      <c r="Q43" s="27"/>
      <c r="R43" s="33"/>
      <c r="T43" s="224"/>
      <c r="U43" s="224"/>
      <c r="V43" s="224"/>
      <c r="W43" s="224"/>
      <c r="X43" s="29"/>
      <c r="Y43" s="32"/>
      <c r="Z43" s="29"/>
      <c r="AA43" s="29"/>
      <c r="AB43" s="29"/>
      <c r="AC43" s="29"/>
      <c r="AD43" s="29"/>
      <c r="AE43" s="32"/>
      <c r="AF43" s="29"/>
      <c r="AG43" s="29"/>
    </row>
    <row r="44" spans="1:38" ht="15.75" customHeight="1" x14ac:dyDescent="0.25">
      <c r="A44" s="3" t="s">
        <v>7</v>
      </c>
      <c r="B44" s="3"/>
      <c r="C44" s="29"/>
      <c r="F44" s="29">
        <f>F39*$F41</f>
        <v>0</v>
      </c>
      <c r="G44" s="29">
        <f t="shared" ref="G44:Q44" si="7">G39*$F41</f>
        <v>2.673844537815126E-2</v>
      </c>
      <c r="H44" s="29">
        <f t="shared" si="7"/>
        <v>0.79324054621848739</v>
      </c>
      <c r="I44" s="29">
        <f t="shared" si="7"/>
        <v>1.9608193277310926</v>
      </c>
      <c r="J44" s="29">
        <f t="shared" si="7"/>
        <v>3.8325105042016805</v>
      </c>
      <c r="K44" s="29">
        <f t="shared" si="7"/>
        <v>5.8913707983193282</v>
      </c>
      <c r="L44" s="29">
        <f t="shared" si="7"/>
        <v>6.827216386554622</v>
      </c>
      <c r="M44" s="29">
        <f t="shared" si="7"/>
        <v>6.3726628151260512</v>
      </c>
      <c r="N44" s="29">
        <f t="shared" si="7"/>
        <v>4.5544485294117649</v>
      </c>
      <c r="O44" s="29">
        <f t="shared" si="7"/>
        <v>2.7273214285714285</v>
      </c>
      <c r="P44" s="29">
        <f t="shared" si="7"/>
        <v>0.58824579831932777</v>
      </c>
      <c r="Q44" s="29">
        <f t="shared" si="7"/>
        <v>0.36542542016806717</v>
      </c>
      <c r="R44" s="29">
        <f>SUM(F44:Q44)</f>
        <v>33.94</v>
      </c>
      <c r="T44" s="224"/>
      <c r="U44" s="224"/>
      <c r="V44" s="224"/>
      <c r="W44" s="224"/>
      <c r="X44" s="29"/>
      <c r="Y44" s="32"/>
      <c r="Z44" s="29"/>
      <c r="AA44" s="29"/>
      <c r="AB44" s="29"/>
      <c r="AC44" s="29"/>
      <c r="AD44" s="29"/>
      <c r="AE44" s="32"/>
      <c r="AF44" s="29"/>
      <c r="AG44" s="29"/>
    </row>
    <row r="45" spans="1:38" ht="15.75" x14ac:dyDescent="0.25">
      <c r="A45" s="3" t="s">
        <v>6</v>
      </c>
      <c r="B45" s="3"/>
      <c r="C45" s="29"/>
      <c r="F45" s="29">
        <f t="shared" ref="F45:Q45" si="8">F44/12</f>
        <v>0</v>
      </c>
      <c r="G45" s="29">
        <f t="shared" si="8"/>
        <v>2.2282037815126048E-3</v>
      </c>
      <c r="H45" s="29">
        <f t="shared" si="8"/>
        <v>6.610337885154062E-2</v>
      </c>
      <c r="I45" s="29">
        <f t="shared" si="8"/>
        <v>0.16340161064425771</v>
      </c>
      <c r="J45" s="29">
        <f t="shared" si="8"/>
        <v>0.31937587535014006</v>
      </c>
      <c r="K45" s="29">
        <f t="shared" si="8"/>
        <v>0.4909475665266107</v>
      </c>
      <c r="L45" s="29">
        <f t="shared" si="8"/>
        <v>0.56893469887955184</v>
      </c>
      <c r="M45" s="29">
        <f t="shared" si="8"/>
        <v>0.53105523459383763</v>
      </c>
      <c r="N45" s="29">
        <f t="shared" si="8"/>
        <v>0.37953737745098043</v>
      </c>
      <c r="O45" s="29">
        <f t="shared" si="8"/>
        <v>0.2272767857142857</v>
      </c>
      <c r="P45" s="29">
        <f t="shared" si="8"/>
        <v>4.9020483193277314E-2</v>
      </c>
      <c r="Q45" s="29">
        <f t="shared" si="8"/>
        <v>3.0452118347338932E-2</v>
      </c>
      <c r="R45" s="29">
        <f>SUM(F45:Q45)</f>
        <v>2.8283333333333336</v>
      </c>
      <c r="T45" s="224"/>
      <c r="U45" s="224"/>
      <c r="V45" s="224"/>
      <c r="W45" s="224"/>
      <c r="X45" s="29"/>
      <c r="Y45" s="32"/>
      <c r="Z45" s="29"/>
      <c r="AA45" s="29"/>
      <c r="AB45" s="29"/>
      <c r="AC45" s="29"/>
      <c r="AD45" s="29"/>
      <c r="AE45" s="32"/>
      <c r="AF45" s="29"/>
      <c r="AG45" s="29"/>
    </row>
    <row r="46" spans="1:38" x14ac:dyDescent="0.2">
      <c r="V46" s="29"/>
      <c r="W46" s="29"/>
      <c r="X46" s="29"/>
      <c r="Y46" s="32"/>
      <c r="Z46" s="29"/>
      <c r="AA46" s="29"/>
      <c r="AB46" s="29"/>
      <c r="AC46" s="29"/>
      <c r="AD46" s="29"/>
      <c r="AE46" s="32"/>
      <c r="AF46" s="29"/>
      <c r="AG46" s="29"/>
    </row>
    <row r="47" spans="1:38" x14ac:dyDescent="0.2">
      <c r="D47" s="246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V47" s="29"/>
      <c r="W47" s="29"/>
      <c r="X47" s="29"/>
      <c r="Y47" s="32"/>
      <c r="Z47" s="29"/>
      <c r="AA47" s="29"/>
      <c r="AB47" s="29"/>
      <c r="AC47" s="29"/>
      <c r="AD47" s="29"/>
      <c r="AE47" s="32"/>
      <c r="AF47" s="29"/>
      <c r="AG47" s="29"/>
    </row>
    <row r="48" spans="1:38" x14ac:dyDescent="0.2">
      <c r="V48" s="29"/>
      <c r="W48" s="29"/>
      <c r="X48" s="29"/>
      <c r="Y48" s="32"/>
      <c r="Z48" s="29"/>
      <c r="AA48" s="29"/>
      <c r="AB48" s="29"/>
      <c r="AC48" s="29"/>
      <c r="AD48" s="29"/>
      <c r="AE48" s="32"/>
      <c r="AF48" s="29"/>
      <c r="AG48" s="29"/>
    </row>
    <row r="49" spans="1:33" x14ac:dyDescent="0.2">
      <c r="V49" s="29"/>
      <c r="W49" s="29"/>
      <c r="X49" s="29"/>
      <c r="Y49" s="32"/>
      <c r="Z49" s="29"/>
      <c r="AA49" s="29"/>
      <c r="AB49" s="29"/>
      <c r="AC49" s="29"/>
      <c r="AD49" s="29"/>
      <c r="AE49" s="32"/>
      <c r="AF49" s="29"/>
      <c r="AG49" s="29"/>
    </row>
    <row r="50" spans="1:33" x14ac:dyDescent="0.2">
      <c r="V50" s="29"/>
      <c r="W50" s="29"/>
      <c r="X50" s="29"/>
      <c r="Y50" s="32"/>
      <c r="Z50" s="29"/>
      <c r="AA50" s="29"/>
      <c r="AB50" s="29"/>
      <c r="AC50" s="29"/>
      <c r="AD50" s="29"/>
      <c r="AE50" s="32"/>
      <c r="AF50" s="29"/>
      <c r="AG50" s="29"/>
    </row>
    <row r="51" spans="1:33" x14ac:dyDescent="0.2">
      <c r="B51" s="29"/>
      <c r="S51" s="32"/>
      <c r="T51" s="29"/>
      <c r="V51" s="29"/>
      <c r="W51" s="29"/>
      <c r="X51" s="29"/>
      <c r="Y51" s="32"/>
      <c r="Z51" s="29"/>
      <c r="AA51" s="29"/>
      <c r="AB51" s="29"/>
      <c r="AC51" s="29"/>
      <c r="AD51" s="29"/>
      <c r="AE51" s="32"/>
      <c r="AF51" s="29"/>
      <c r="AG51" s="29"/>
    </row>
    <row r="52" spans="1:33" s="29" customFormat="1" ht="15.75" x14ac:dyDescent="0.25">
      <c r="A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Z52" s="3"/>
      <c r="AA52" s="3"/>
      <c r="AB52" s="3"/>
      <c r="AC52" s="3"/>
      <c r="AD52" s="3"/>
      <c r="AE52" s="27"/>
      <c r="AF52" s="3"/>
      <c r="AG52" s="3"/>
    </row>
    <row r="53" spans="1:33" x14ac:dyDescent="0.2">
      <c r="B53" s="29"/>
      <c r="V53" s="29"/>
      <c r="W53" s="29"/>
      <c r="X53" s="29"/>
      <c r="Y53" s="32"/>
      <c r="Z53" s="29"/>
      <c r="AA53" s="29"/>
      <c r="AB53" s="29"/>
      <c r="AC53" s="29"/>
      <c r="AD53" s="29"/>
      <c r="AE53" s="32"/>
      <c r="AF53" s="29"/>
      <c r="AG53" s="29"/>
    </row>
    <row r="54" spans="1:33" x14ac:dyDescent="0.2">
      <c r="B54" s="29"/>
      <c r="V54" s="29"/>
      <c r="W54" s="29"/>
      <c r="X54" s="29"/>
      <c r="Y54" s="32"/>
      <c r="Z54" s="29"/>
      <c r="AA54" s="29"/>
      <c r="AB54" s="29"/>
      <c r="AC54" s="29"/>
      <c r="AD54" s="29"/>
      <c r="AE54" s="32"/>
      <c r="AF54" s="29"/>
      <c r="AG54" s="29"/>
    </row>
    <row r="55" spans="1:33" x14ac:dyDescent="0.2">
      <c r="B55" s="29"/>
      <c r="V55" s="29"/>
      <c r="W55" s="29"/>
      <c r="Y55" s="32"/>
      <c r="Z55" s="29"/>
      <c r="AA55" s="29"/>
      <c r="AB55" s="29"/>
      <c r="AC55" s="29"/>
      <c r="AD55" s="29"/>
      <c r="AE55" s="32"/>
      <c r="AF55" s="29"/>
      <c r="AG55" s="29"/>
    </row>
    <row r="56" spans="1:33" x14ac:dyDescent="0.2">
      <c r="B56" s="29"/>
      <c r="U56" s="29"/>
      <c r="V56" s="29"/>
      <c r="W56" s="29"/>
      <c r="X56" s="29"/>
      <c r="Y56" s="32"/>
      <c r="Z56" s="29"/>
      <c r="AA56" s="29"/>
      <c r="AB56" s="29"/>
      <c r="AC56" s="29"/>
      <c r="AD56" s="29"/>
      <c r="AE56" s="32"/>
      <c r="AF56" s="29"/>
      <c r="AG56" s="29"/>
    </row>
    <row r="57" spans="1:33" x14ac:dyDescent="0.2">
      <c r="B57" s="29"/>
    </row>
    <row r="58" spans="1:33" x14ac:dyDescent="0.2">
      <c r="B58" s="29"/>
    </row>
    <row r="59" spans="1:33" x14ac:dyDescent="0.2">
      <c r="B59" s="29"/>
    </row>
    <row r="60" spans="1:33" x14ac:dyDescent="0.2">
      <c r="B60" s="29"/>
    </row>
    <row r="61" spans="1:33" x14ac:dyDescent="0.2">
      <c r="B61" s="29"/>
    </row>
    <row r="62" spans="1:33" x14ac:dyDescent="0.2">
      <c r="B62" s="29"/>
    </row>
  </sheetData>
  <sheetProtection formatColumns="0"/>
  <mergeCells count="5">
    <mergeCell ref="S26:X26"/>
    <mergeCell ref="F26:K26"/>
    <mergeCell ref="L26:Q26"/>
    <mergeCell ref="A3:C3"/>
    <mergeCell ref="E5:J5"/>
  </mergeCells>
  <phoneticPr fontId="0" type="noConversion"/>
  <printOptions horizontalCentered="1" gridLines="1"/>
  <pageMargins left="0.75" right="0.25" top="0.75" bottom="0.75" header="0.5" footer="0.5"/>
  <pageSetup paperSize="17" scale="74" orientation="landscape" r:id="rId1"/>
  <headerFooter alignWithMargins="0">
    <oddHeader>&amp;L&amp;D</oddHeader>
    <oddFooter>&amp;L&amp;F&amp;R&amp;A</oddFooter>
  </headerFooter>
  <colBreaks count="1" manualBreakCount="1">
    <brk id="46" max="1048575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Z69"/>
  <sheetViews>
    <sheetView topLeftCell="B4" zoomScale="85" zoomScaleNormal="85" zoomScaleSheetLayoutView="50" workbookViewId="0">
      <selection activeCell="S28" sqref="S28"/>
    </sheetView>
  </sheetViews>
  <sheetFormatPr defaultColWidth="9.140625" defaultRowHeight="15" x14ac:dyDescent="0.2"/>
  <cols>
    <col min="1" max="1" width="28.28515625" style="28" customWidth="1"/>
    <col min="2" max="21" width="10.7109375" style="28" customWidth="1"/>
    <col min="22" max="22" width="16.140625" style="28" customWidth="1"/>
    <col min="23" max="24" width="10.7109375" style="28" customWidth="1"/>
    <col min="25" max="25" width="8.7109375" style="28" customWidth="1"/>
    <col min="26" max="27" width="9.85546875" style="28" bestFit="1" customWidth="1"/>
    <col min="28" max="28" width="8.85546875" style="28" bestFit="1" customWidth="1"/>
    <col min="29" max="30" width="9.85546875" style="28" bestFit="1" customWidth="1"/>
    <col min="31" max="31" width="10.7109375" style="28" customWidth="1"/>
    <col min="32" max="33" width="9.85546875" style="28" bestFit="1" customWidth="1"/>
    <col min="34" max="34" width="7.28515625" style="28" customWidth="1"/>
    <col min="35" max="35" width="11.7109375" style="28" customWidth="1"/>
    <col min="36" max="36" width="7.140625" style="28" bestFit="1" customWidth="1"/>
    <col min="37" max="37" width="8.7109375" style="28" customWidth="1"/>
    <col min="38" max="39" width="8.7109375" style="28" bestFit="1" customWidth="1"/>
    <col min="40" max="40" width="6.7109375" style="28" bestFit="1" customWidth="1"/>
    <col min="41" max="207" width="9.7109375" style="28" customWidth="1"/>
    <col min="208" max="16384" width="9.140625" style="28"/>
  </cols>
  <sheetData>
    <row r="1" spans="1:48" ht="18" x14ac:dyDescent="0.25">
      <c r="A1" s="39" t="s">
        <v>85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8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236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</row>
    <row r="3" spans="1:48" s="29" customFormat="1" ht="15.75" x14ac:dyDescent="0.25">
      <c r="A3" s="298" t="s">
        <v>164</v>
      </c>
      <c r="B3" s="298"/>
      <c r="C3" s="298"/>
      <c r="D3" s="3">
        <v>0.55000000000000004</v>
      </c>
      <c r="E3" s="29" t="s">
        <v>181</v>
      </c>
      <c r="F3"/>
      <c r="G3"/>
      <c r="H3"/>
      <c r="I3"/>
      <c r="J3"/>
      <c r="K3"/>
      <c r="L3"/>
      <c r="M3"/>
      <c r="P3" s="32"/>
      <c r="R3" s="235"/>
      <c r="T3" s="32"/>
      <c r="Y3" s="32"/>
      <c r="AB3" s="3"/>
      <c r="AD3" s="35"/>
    </row>
    <row r="4" spans="1:48" s="168" customFormat="1" ht="18" x14ac:dyDescent="0.25">
      <c r="A4" s="167" t="s">
        <v>188</v>
      </c>
      <c r="B4" s="167"/>
      <c r="E4" s="169"/>
      <c r="F4" s="169"/>
      <c r="G4" s="169"/>
      <c r="H4" s="169"/>
      <c r="I4" s="169"/>
      <c r="J4" s="169"/>
      <c r="K4" s="169"/>
      <c r="L4" s="169"/>
      <c r="M4" s="169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1"/>
    </row>
    <row r="5" spans="1:48" s="29" customFormat="1" ht="15.75" customHeight="1" x14ac:dyDescent="0.25">
      <c r="A5" s="27"/>
      <c r="B5" s="27"/>
      <c r="D5" s="27"/>
      <c r="E5" s="303"/>
      <c r="F5" s="304"/>
      <c r="G5" s="304"/>
      <c r="H5" s="304"/>
      <c r="I5" s="304"/>
      <c r="J5" s="304"/>
      <c r="K5" s="6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</row>
    <row r="6" spans="1:48" s="29" customFormat="1" x14ac:dyDescent="0.2">
      <c r="F6" s="249">
        <v>0</v>
      </c>
      <c r="G6" s="82" t="s">
        <v>185</v>
      </c>
      <c r="H6" s="82"/>
      <c r="I6" s="82"/>
      <c r="L6" s="35"/>
      <c r="M6" s="82"/>
      <c r="N6" s="82"/>
      <c r="O6" s="82"/>
      <c r="R6" s="35"/>
      <c r="S6" s="82"/>
      <c r="T6" s="82"/>
      <c r="U6" s="82"/>
      <c r="X6" s="35"/>
      <c r="Y6" s="82"/>
      <c r="Z6" s="82"/>
      <c r="AA6" s="82"/>
      <c r="AD6" s="35"/>
      <c r="AE6" s="82"/>
      <c r="AF6" s="82"/>
      <c r="AG6" s="82"/>
      <c r="AJ6" s="35"/>
      <c r="AK6" s="82"/>
      <c r="AL6" s="82"/>
      <c r="AM6" s="82"/>
      <c r="AP6" s="35"/>
      <c r="AQ6" s="82"/>
      <c r="AR6" s="82"/>
      <c r="AS6" s="82"/>
      <c r="AV6" s="82"/>
    </row>
    <row r="7" spans="1:48" s="29" customFormat="1" x14ac:dyDescent="0.2">
      <c r="F7" s="35">
        <v>0</v>
      </c>
      <c r="G7" s="82" t="s">
        <v>205</v>
      </c>
      <c r="H7" s="82"/>
      <c r="I7" s="82"/>
      <c r="L7" s="35"/>
      <c r="M7" s="82"/>
      <c r="N7" s="82"/>
      <c r="O7" s="82"/>
      <c r="R7" s="35"/>
      <c r="S7" s="82"/>
      <c r="T7" s="82"/>
      <c r="U7" s="82"/>
      <c r="X7" s="35"/>
      <c r="Y7" s="82"/>
      <c r="Z7" s="82"/>
      <c r="AA7" s="82"/>
      <c r="AD7" s="35"/>
      <c r="AE7" s="82"/>
      <c r="AF7" s="82"/>
      <c r="AG7" s="82"/>
      <c r="AJ7" s="35"/>
      <c r="AK7" s="82"/>
      <c r="AL7" s="82"/>
      <c r="AM7" s="82"/>
      <c r="AP7" s="35"/>
      <c r="AQ7" s="82"/>
      <c r="AR7" s="82"/>
      <c r="AS7" s="82"/>
    </row>
    <row r="8" spans="1:48" s="29" customFormat="1" x14ac:dyDescent="0.2">
      <c r="C8" s="32"/>
      <c r="F8" s="226">
        <v>0</v>
      </c>
      <c r="G8" s="29" t="s">
        <v>193</v>
      </c>
      <c r="L8" s="35"/>
      <c r="R8" s="35"/>
      <c r="X8" s="35"/>
    </row>
    <row r="9" spans="1:48" s="29" customFormat="1" x14ac:dyDescent="0.2">
      <c r="C9" s="32"/>
      <c r="F9" s="35">
        <f>SUM(F6:F8)</f>
        <v>0</v>
      </c>
      <c r="G9" s="29" t="s">
        <v>194</v>
      </c>
      <c r="L9" s="35"/>
      <c r="R9" s="35"/>
      <c r="X9" s="35"/>
      <c r="AD9" s="35"/>
      <c r="AJ9" s="35"/>
      <c r="AP9" s="35"/>
    </row>
    <row r="10" spans="1:48" s="59" customFormat="1" ht="93.75" customHeight="1" x14ac:dyDescent="0.25">
      <c r="A10" s="87" t="s">
        <v>86</v>
      </c>
      <c r="B10" s="27" t="s">
        <v>256</v>
      </c>
      <c r="C10" s="86" t="s">
        <v>199</v>
      </c>
      <c r="D10" s="86" t="s">
        <v>190</v>
      </c>
      <c r="E10" s="87" t="s">
        <v>19</v>
      </c>
      <c r="F10" s="86" t="s">
        <v>347</v>
      </c>
      <c r="G10" s="86" t="s">
        <v>210</v>
      </c>
      <c r="H10" s="86" t="s">
        <v>186</v>
      </c>
      <c r="I10" s="86" t="s">
        <v>189</v>
      </c>
      <c r="J10" s="86" t="s">
        <v>187</v>
      </c>
      <c r="K10" s="87"/>
      <c r="L10" s="86"/>
      <c r="M10" s="86"/>
      <c r="N10" s="86"/>
      <c r="O10" s="86"/>
      <c r="P10" s="86"/>
      <c r="Q10" s="87"/>
      <c r="R10" s="86"/>
      <c r="S10" s="86"/>
      <c r="T10" s="86"/>
      <c r="U10" s="86"/>
      <c r="V10" s="86"/>
      <c r="W10" s="87"/>
      <c r="X10" s="86"/>
      <c r="Y10" s="86"/>
      <c r="Z10" s="86"/>
      <c r="AA10" s="86"/>
      <c r="AB10" s="86"/>
      <c r="AC10" s="87"/>
      <c r="AD10" s="86"/>
      <c r="AE10" s="86"/>
      <c r="AF10" s="86"/>
      <c r="AG10" s="86"/>
      <c r="AH10" s="86"/>
      <c r="AI10" s="87"/>
      <c r="AJ10" s="86"/>
      <c r="AK10" s="86"/>
      <c r="AL10" s="86"/>
      <c r="AM10" s="86"/>
      <c r="AN10" s="86"/>
      <c r="AO10" s="87"/>
      <c r="AP10" s="86"/>
      <c r="AQ10" s="86"/>
      <c r="AR10" s="86"/>
      <c r="AS10" s="86"/>
      <c r="AT10" s="86"/>
    </row>
    <row r="11" spans="1:48" s="59" customFormat="1" ht="15.75" customHeight="1" x14ac:dyDescent="0.25">
      <c r="A11" s="36" t="s">
        <v>175</v>
      </c>
      <c r="B11" s="35">
        <f>F45/$D$3</f>
        <v>3.9881941780675959E-3</v>
      </c>
      <c r="C11" s="123">
        <f>2.48/12</f>
        <v>0.20666666666666667</v>
      </c>
      <c r="D11" s="249">
        <v>0.10249999999999999</v>
      </c>
      <c r="E11" s="86"/>
      <c r="F11" s="35">
        <f>$F$6*(IF($C11-$D11&lt;0,0,ABS($C11-$D11)))</f>
        <v>0</v>
      </c>
      <c r="G11" s="35">
        <f t="shared" ref="G11:G22" si="0">F11/$D$3</f>
        <v>0</v>
      </c>
      <c r="H11" s="29">
        <f>F$8*$B11</f>
        <v>0</v>
      </c>
      <c r="I11" s="35">
        <f>G11+H11</f>
        <v>0</v>
      </c>
      <c r="J11" s="35">
        <f>IF(E11-I11&gt;0,0,ABS(E11-I11))</f>
        <v>0</v>
      </c>
      <c r="K11" s="27"/>
      <c r="L11" s="276"/>
      <c r="M11" s="35"/>
      <c r="N11" s="29"/>
      <c r="O11" s="35"/>
      <c r="P11" s="35"/>
      <c r="Q11" s="27"/>
      <c r="R11" s="35"/>
      <c r="S11" s="35"/>
      <c r="T11" s="29"/>
      <c r="U11" s="35"/>
      <c r="V11" s="35"/>
      <c r="W11" s="27"/>
      <c r="X11" s="35"/>
      <c r="Y11" s="35"/>
      <c r="Z11" s="29"/>
      <c r="AA11" s="35"/>
      <c r="AB11" s="35"/>
      <c r="AC11" s="27"/>
      <c r="AD11" s="35"/>
      <c r="AE11" s="35"/>
      <c r="AF11" s="29"/>
      <c r="AG11" s="35"/>
      <c r="AH11" s="35"/>
      <c r="AI11" s="27"/>
      <c r="AJ11" s="86"/>
      <c r="AK11" s="86"/>
      <c r="AL11" s="86"/>
      <c r="AM11" s="86"/>
      <c r="AN11" s="86"/>
      <c r="AO11" s="27"/>
      <c r="AP11" s="86"/>
      <c r="AQ11" s="86"/>
      <c r="AR11" s="86"/>
      <c r="AS11" s="86"/>
      <c r="AT11" s="86"/>
    </row>
    <row r="12" spans="1:48" s="29" customFormat="1" ht="15.75" x14ac:dyDescent="0.25">
      <c r="A12" s="36" t="s">
        <v>21</v>
      </c>
      <c r="B12" s="35">
        <f>G45/$D$3</f>
        <v>3.7223145661964233E-2</v>
      </c>
      <c r="C12" s="35">
        <f>3.28/12</f>
        <v>0.27333333333333332</v>
      </c>
      <c r="D12" s="249">
        <v>0.11166666666666668</v>
      </c>
      <c r="E12" s="35"/>
      <c r="F12" s="35">
        <f>$F$6*(IF($C12-$D12&lt;0,0,ABS($C12-$D12)))</f>
        <v>0</v>
      </c>
      <c r="G12" s="35">
        <f t="shared" si="0"/>
        <v>0</v>
      </c>
      <c r="H12" s="29">
        <f>F$8*$B12</f>
        <v>0</v>
      </c>
      <c r="I12" s="35">
        <f t="shared" ref="I12:I21" si="1">G12+H12</f>
        <v>0</v>
      </c>
      <c r="J12" s="35">
        <f>IF(E12-I12&gt;0,0,ABS(E12-I12))</f>
        <v>0</v>
      </c>
      <c r="L12" s="276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35"/>
      <c r="AA12" s="35"/>
      <c r="AB12" s="35"/>
      <c r="AD12" s="35"/>
      <c r="AE12" s="35"/>
      <c r="AG12" s="35"/>
      <c r="AH12" s="35"/>
      <c r="AI12" s="35"/>
      <c r="AJ12" s="35"/>
      <c r="AK12" s="35"/>
      <c r="AM12" s="35"/>
      <c r="AN12" s="35"/>
      <c r="AO12" s="90"/>
      <c r="AP12" s="35"/>
      <c r="AQ12" s="35"/>
      <c r="AS12" s="35"/>
      <c r="AT12" s="35"/>
    </row>
    <row r="13" spans="1:48" s="29" customFormat="1" ht="15.75" x14ac:dyDescent="0.25">
      <c r="A13" s="36" t="s">
        <v>20</v>
      </c>
      <c r="B13" s="35">
        <f>H45/$D$3</f>
        <v>0.18877452442853285</v>
      </c>
      <c r="C13" s="35">
        <f>6.88/12</f>
        <v>0.57333333333333336</v>
      </c>
      <c r="D13" s="249">
        <v>7.2499999999999995E-2</v>
      </c>
      <c r="E13" s="29">
        <v>0</v>
      </c>
      <c r="F13" s="35">
        <f t="shared" ref="F13:F21" si="2">$F$6*(IF($C13-$D13&lt;0,0,ABS($C13-$D13)))</f>
        <v>0</v>
      </c>
      <c r="G13" s="35">
        <f t="shared" si="0"/>
        <v>0</v>
      </c>
      <c r="H13" s="29">
        <f>F$8*$B13</f>
        <v>0</v>
      </c>
      <c r="I13" s="35">
        <f t="shared" si="1"/>
        <v>0</v>
      </c>
      <c r="J13" s="35">
        <f>IF(E13-I13&gt;0,0,ABS(E13-I13))</f>
        <v>0</v>
      </c>
      <c r="L13" s="276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AA13" s="35"/>
      <c r="AB13" s="35"/>
      <c r="AC13" s="35"/>
      <c r="AD13" s="35"/>
      <c r="AE13" s="35"/>
      <c r="AG13" s="35"/>
      <c r="AH13" s="35"/>
      <c r="AI13" s="35"/>
      <c r="AJ13" s="35"/>
      <c r="AK13" s="35"/>
      <c r="AM13" s="35"/>
      <c r="AN13" s="35"/>
      <c r="AO13" s="90"/>
      <c r="AP13" s="35"/>
      <c r="AQ13" s="35"/>
      <c r="AS13" s="35"/>
      <c r="AT13" s="35"/>
    </row>
    <row r="14" spans="1:48" s="29" customFormat="1" ht="15.75" x14ac:dyDescent="0.25">
      <c r="A14" s="36" t="s">
        <v>22</v>
      </c>
      <c r="B14" s="35">
        <f>I45/$D$3</f>
        <v>0.42008978675645336</v>
      </c>
      <c r="C14" s="35">
        <f>8.96/12</f>
        <v>0.7466666666666667</v>
      </c>
      <c r="D14" s="249">
        <v>1.8333333333333333E-2</v>
      </c>
      <c r="E14" s="29">
        <v>0</v>
      </c>
      <c r="F14" s="35">
        <f t="shared" si="2"/>
        <v>0</v>
      </c>
      <c r="G14" s="35">
        <f t="shared" si="0"/>
        <v>0</v>
      </c>
      <c r="H14" s="29">
        <f t="shared" ref="H14:H21" si="3">F$8*$B14</f>
        <v>0</v>
      </c>
      <c r="I14" s="35">
        <f t="shared" si="1"/>
        <v>0</v>
      </c>
      <c r="J14" s="35">
        <f t="shared" ref="J14:J21" si="4">IF(E14-I14&gt;0,0,ABS(E14-I14))</f>
        <v>0</v>
      </c>
      <c r="L14" s="276"/>
      <c r="M14" s="35"/>
      <c r="O14" s="35"/>
      <c r="P14" s="35"/>
      <c r="R14" s="35"/>
      <c r="S14" s="35"/>
      <c r="U14" s="35"/>
      <c r="V14" s="35"/>
      <c r="W14" s="35"/>
      <c r="X14" s="35"/>
      <c r="Y14" s="35"/>
      <c r="AA14" s="35"/>
      <c r="AB14" s="35"/>
      <c r="AC14" s="35"/>
      <c r="AD14" s="35"/>
      <c r="AE14" s="35"/>
      <c r="AG14" s="35"/>
      <c r="AH14" s="35"/>
      <c r="AI14" s="35"/>
      <c r="AJ14" s="35"/>
      <c r="AK14" s="35"/>
      <c r="AM14" s="35"/>
      <c r="AN14" s="35"/>
      <c r="AO14" s="90"/>
      <c r="AP14" s="35"/>
      <c r="AQ14" s="35"/>
      <c r="AS14" s="35"/>
      <c r="AT14" s="35"/>
    </row>
    <row r="15" spans="1:48" s="29" customFormat="1" ht="15.75" x14ac:dyDescent="0.25">
      <c r="A15" s="36" t="s">
        <v>23</v>
      </c>
      <c r="B15" s="35">
        <f>J45/$D$3</f>
        <v>0.70325157339925271</v>
      </c>
      <c r="C15" s="35">
        <f>10.32/12</f>
        <v>0.86</v>
      </c>
      <c r="D15" s="249">
        <v>0</v>
      </c>
      <c r="E15" s="29">
        <v>0</v>
      </c>
      <c r="F15" s="35">
        <f t="shared" si="2"/>
        <v>0</v>
      </c>
      <c r="G15" s="35">
        <f t="shared" si="0"/>
        <v>0</v>
      </c>
      <c r="H15" s="29">
        <f t="shared" si="3"/>
        <v>0</v>
      </c>
      <c r="I15" s="35">
        <f t="shared" si="1"/>
        <v>0</v>
      </c>
      <c r="J15" s="35">
        <f t="shared" si="4"/>
        <v>0</v>
      </c>
      <c r="L15" s="276"/>
      <c r="M15" s="35"/>
      <c r="O15" s="35"/>
      <c r="P15" s="35"/>
      <c r="R15" s="35"/>
      <c r="S15" s="35"/>
      <c r="U15" s="35"/>
      <c r="V15" s="35"/>
      <c r="W15" s="35"/>
      <c r="X15" s="35"/>
      <c r="Y15" s="35"/>
      <c r="AA15" s="35"/>
      <c r="AB15" s="35"/>
      <c r="AC15" s="35"/>
      <c r="AD15" s="35"/>
      <c r="AE15" s="35"/>
      <c r="AG15" s="35"/>
      <c r="AH15" s="35"/>
      <c r="AI15" s="35"/>
      <c r="AJ15" s="35"/>
      <c r="AK15" s="35"/>
      <c r="AM15" s="35"/>
      <c r="AN15" s="35"/>
      <c r="AO15" s="90"/>
      <c r="AP15" s="35"/>
      <c r="AQ15" s="35"/>
      <c r="AS15" s="35"/>
      <c r="AT15" s="35"/>
    </row>
    <row r="16" spans="1:48" s="29" customFormat="1" ht="15.75" x14ac:dyDescent="0.25">
      <c r="A16" s="36" t="s">
        <v>24</v>
      </c>
      <c r="B16" s="35">
        <f>K45/$D$3</f>
        <v>0.99438974839818739</v>
      </c>
      <c r="C16" s="35">
        <f>12.32/12</f>
        <v>1.0266666666666666</v>
      </c>
      <c r="D16" s="249">
        <v>6.4166666666666664E-2</v>
      </c>
      <c r="E16" s="29">
        <v>0</v>
      </c>
      <c r="F16" s="35">
        <f t="shared" si="2"/>
        <v>0</v>
      </c>
      <c r="G16" s="35">
        <f t="shared" si="0"/>
        <v>0</v>
      </c>
      <c r="H16" s="29">
        <f t="shared" si="3"/>
        <v>0</v>
      </c>
      <c r="I16" s="35">
        <f t="shared" si="1"/>
        <v>0</v>
      </c>
      <c r="J16" s="35">
        <f t="shared" si="4"/>
        <v>0</v>
      </c>
      <c r="L16" s="276"/>
      <c r="M16" s="35"/>
      <c r="O16" s="35"/>
      <c r="P16" s="35"/>
      <c r="R16" s="35"/>
      <c r="S16" s="35"/>
      <c r="U16" s="35"/>
      <c r="V16" s="35"/>
      <c r="W16" s="35"/>
      <c r="X16" s="35"/>
      <c r="Y16" s="35"/>
      <c r="AA16" s="35"/>
      <c r="AB16" s="35"/>
      <c r="AC16" s="35"/>
      <c r="AD16" s="35"/>
      <c r="AE16" s="35"/>
      <c r="AG16" s="35"/>
      <c r="AH16" s="35"/>
      <c r="AI16" s="35"/>
      <c r="AJ16" s="35"/>
      <c r="AK16" s="35"/>
      <c r="AM16" s="35"/>
      <c r="AN16" s="35"/>
      <c r="AO16" s="90"/>
      <c r="AP16" s="35"/>
      <c r="AQ16" s="35"/>
      <c r="AS16" s="35"/>
      <c r="AT16" s="35"/>
    </row>
    <row r="17" spans="1:52" s="29" customFormat="1" ht="15.75" x14ac:dyDescent="0.25">
      <c r="A17" s="36" t="s">
        <v>25</v>
      </c>
      <c r="B17" s="35">
        <f>L45/$D$3</f>
        <v>1.024965903763372</v>
      </c>
      <c r="C17" s="35">
        <f>9.44/12</f>
        <v>0.78666666666666663</v>
      </c>
      <c r="D17" s="249">
        <v>9.3333333333333338E-2</v>
      </c>
      <c r="E17" s="29">
        <v>0</v>
      </c>
      <c r="F17" s="35">
        <f t="shared" si="2"/>
        <v>0</v>
      </c>
      <c r="G17" s="35">
        <f t="shared" si="0"/>
        <v>0</v>
      </c>
      <c r="H17" s="29">
        <f t="shared" si="3"/>
        <v>0</v>
      </c>
      <c r="I17" s="35">
        <f t="shared" si="1"/>
        <v>0</v>
      </c>
      <c r="J17" s="35">
        <f t="shared" si="4"/>
        <v>0</v>
      </c>
      <c r="L17" s="276"/>
      <c r="M17" s="35"/>
      <c r="O17" s="35"/>
      <c r="P17" s="35"/>
      <c r="R17" s="35"/>
      <c r="S17" s="35"/>
      <c r="U17" s="35"/>
      <c r="V17" s="35"/>
      <c r="W17" s="35"/>
      <c r="X17" s="35"/>
      <c r="Y17" s="35"/>
      <c r="AA17" s="35"/>
      <c r="AB17" s="35"/>
      <c r="AC17" s="35"/>
      <c r="AD17" s="35"/>
      <c r="AE17" s="35"/>
      <c r="AG17" s="35"/>
      <c r="AH17" s="35"/>
      <c r="AI17" s="35"/>
      <c r="AJ17" s="35"/>
      <c r="AK17" s="35"/>
      <c r="AM17" s="35"/>
      <c r="AN17" s="35"/>
      <c r="AO17" s="90"/>
      <c r="AP17" s="35"/>
      <c r="AQ17" s="35"/>
      <c r="AS17" s="35"/>
      <c r="AT17" s="35"/>
    </row>
    <row r="18" spans="1:52" s="29" customFormat="1" ht="15.75" x14ac:dyDescent="0.25">
      <c r="A18" s="36" t="s">
        <v>26</v>
      </c>
      <c r="B18" s="35">
        <f>M45/$D$3</f>
        <v>0.91595526289619122</v>
      </c>
      <c r="C18" s="35">
        <f>7.84/12</f>
        <v>0.65333333333333332</v>
      </c>
      <c r="D18" s="249">
        <v>0.10249999999999999</v>
      </c>
      <c r="E18" s="29">
        <v>0</v>
      </c>
      <c r="F18" s="35">
        <f t="shared" si="2"/>
        <v>0</v>
      </c>
      <c r="G18" s="35">
        <f t="shared" si="0"/>
        <v>0</v>
      </c>
      <c r="H18" s="29">
        <f t="shared" si="3"/>
        <v>0</v>
      </c>
      <c r="I18" s="35">
        <f t="shared" si="1"/>
        <v>0</v>
      </c>
      <c r="J18" s="35">
        <f t="shared" si="4"/>
        <v>0</v>
      </c>
      <c r="L18" s="276"/>
      <c r="M18" s="35"/>
      <c r="O18" s="35"/>
      <c r="P18" s="35"/>
      <c r="R18" s="35"/>
      <c r="S18" s="35"/>
      <c r="U18" s="35"/>
      <c r="V18" s="35"/>
      <c r="W18" s="35"/>
      <c r="X18" s="35"/>
      <c r="Y18" s="35"/>
      <c r="AA18" s="35"/>
      <c r="AB18" s="35"/>
      <c r="AC18" s="35"/>
      <c r="AD18" s="35"/>
      <c r="AE18" s="35"/>
      <c r="AG18" s="35"/>
      <c r="AH18" s="35"/>
      <c r="AI18" s="35"/>
      <c r="AJ18" s="35"/>
      <c r="AK18" s="35"/>
      <c r="AM18" s="35"/>
      <c r="AN18" s="35"/>
      <c r="AO18" s="90"/>
      <c r="AP18" s="35"/>
      <c r="AQ18" s="35"/>
      <c r="AS18" s="35"/>
      <c r="AT18" s="35"/>
    </row>
    <row r="19" spans="1:52" s="29" customFormat="1" ht="15.75" x14ac:dyDescent="0.25">
      <c r="A19" s="36" t="s">
        <v>27</v>
      </c>
      <c r="B19" s="35">
        <f>N45/$D$3</f>
        <v>0.67932240833084712</v>
      </c>
      <c r="C19" s="35">
        <f>6.96/12</f>
        <v>0.57999999999999996</v>
      </c>
      <c r="D19" s="249">
        <v>1.7499999999999998E-2</v>
      </c>
      <c r="E19" s="29">
        <v>0</v>
      </c>
      <c r="F19" s="35">
        <f t="shared" si="2"/>
        <v>0</v>
      </c>
      <c r="G19" s="35">
        <f t="shared" si="0"/>
        <v>0</v>
      </c>
      <c r="H19" s="29">
        <f t="shared" si="3"/>
        <v>0</v>
      </c>
      <c r="I19" s="35">
        <f t="shared" si="1"/>
        <v>0</v>
      </c>
      <c r="J19" s="35">
        <f t="shared" si="4"/>
        <v>0</v>
      </c>
      <c r="L19" s="276"/>
      <c r="M19" s="35"/>
      <c r="O19" s="35"/>
      <c r="P19" s="35"/>
      <c r="R19" s="35"/>
      <c r="S19" s="35"/>
      <c r="U19" s="35"/>
      <c r="V19" s="35"/>
      <c r="W19" s="35"/>
      <c r="X19" s="35"/>
      <c r="Y19" s="35"/>
      <c r="AA19" s="35"/>
      <c r="AB19" s="35"/>
      <c r="AC19" s="35"/>
      <c r="AD19" s="35"/>
      <c r="AE19" s="35"/>
      <c r="AG19" s="35"/>
      <c r="AH19" s="35"/>
      <c r="AI19" s="35"/>
      <c r="AJ19" s="35"/>
      <c r="AK19" s="35"/>
      <c r="AM19" s="35"/>
      <c r="AN19" s="35"/>
      <c r="AO19" s="90"/>
      <c r="AP19" s="35"/>
      <c r="AQ19" s="35"/>
      <c r="AS19" s="35"/>
      <c r="AT19" s="35"/>
    </row>
    <row r="20" spans="1:52" s="29" customFormat="1" ht="15.75" x14ac:dyDescent="0.25">
      <c r="A20" s="36" t="s">
        <v>28</v>
      </c>
      <c r="B20" s="35">
        <f>O45/$D$3</f>
        <v>0.47326570913068805</v>
      </c>
      <c r="C20" s="35">
        <f>5.84/12</f>
        <v>0.48666666666666664</v>
      </c>
      <c r="D20" s="249">
        <v>0</v>
      </c>
      <c r="E20" s="29">
        <v>0</v>
      </c>
      <c r="F20" s="35">
        <f t="shared" si="2"/>
        <v>0</v>
      </c>
      <c r="G20" s="35">
        <f t="shared" si="0"/>
        <v>0</v>
      </c>
      <c r="H20" s="29">
        <f t="shared" si="3"/>
        <v>0</v>
      </c>
      <c r="I20" s="35">
        <f t="shared" si="1"/>
        <v>0</v>
      </c>
      <c r="J20" s="35">
        <f t="shared" si="4"/>
        <v>0</v>
      </c>
      <c r="L20" s="276"/>
      <c r="M20" s="35"/>
      <c r="O20" s="35"/>
      <c r="P20" s="35"/>
      <c r="R20" s="35"/>
      <c r="S20" s="35"/>
      <c r="U20" s="35"/>
      <c r="V20" s="35"/>
      <c r="W20" s="35"/>
      <c r="X20" s="35"/>
      <c r="Y20" s="35"/>
      <c r="AA20" s="35"/>
      <c r="AB20" s="35"/>
      <c r="AC20" s="35"/>
      <c r="AD20" s="35"/>
      <c r="AE20" s="35"/>
      <c r="AG20" s="35"/>
      <c r="AH20" s="35"/>
      <c r="AI20" s="35"/>
      <c r="AJ20" s="35"/>
      <c r="AK20" s="35"/>
      <c r="AM20" s="35"/>
      <c r="AN20" s="35"/>
      <c r="AO20" s="90"/>
      <c r="AP20" s="35"/>
      <c r="AQ20" s="35"/>
      <c r="AS20" s="35"/>
      <c r="AT20" s="35"/>
    </row>
    <row r="21" spans="1:52" s="29" customFormat="1" ht="15.75" x14ac:dyDescent="0.25">
      <c r="A21" s="36" t="s">
        <v>29</v>
      </c>
      <c r="B21" s="35">
        <f>P45/$D$3</f>
        <v>0.13426920399494241</v>
      </c>
      <c r="C21" s="35">
        <f>3.04/12</f>
        <v>0.25333333333333335</v>
      </c>
      <c r="D21" s="249">
        <v>2.75E-2</v>
      </c>
      <c r="E21" s="29">
        <v>0</v>
      </c>
      <c r="F21" s="35">
        <f t="shared" si="2"/>
        <v>0</v>
      </c>
      <c r="G21" s="35">
        <f t="shared" si="0"/>
        <v>0</v>
      </c>
      <c r="H21" s="29">
        <f t="shared" si="3"/>
        <v>0</v>
      </c>
      <c r="I21" s="35">
        <f t="shared" si="1"/>
        <v>0</v>
      </c>
      <c r="J21" s="35">
        <f t="shared" si="4"/>
        <v>0</v>
      </c>
      <c r="L21" s="276"/>
      <c r="M21" s="35"/>
      <c r="O21" s="35"/>
      <c r="P21" s="35"/>
      <c r="R21" s="35"/>
      <c r="S21" s="35"/>
      <c r="U21" s="35"/>
      <c r="V21" s="35"/>
      <c r="W21" s="35"/>
      <c r="X21" s="35"/>
      <c r="Y21" s="35"/>
      <c r="AA21" s="35"/>
      <c r="AB21" s="35"/>
      <c r="AC21" s="35"/>
      <c r="AD21" s="35"/>
      <c r="AE21" s="35"/>
      <c r="AG21" s="35"/>
      <c r="AH21" s="35"/>
      <c r="AI21" s="35"/>
      <c r="AJ21" s="35"/>
      <c r="AK21" s="35"/>
      <c r="AM21" s="35"/>
      <c r="AN21" s="35"/>
      <c r="AO21" s="90"/>
      <c r="AP21" s="35"/>
      <c r="AQ21" s="35"/>
      <c r="AS21" s="35"/>
      <c r="AT21" s="35"/>
    </row>
    <row r="22" spans="1:52" s="29" customFormat="1" ht="15.75" x14ac:dyDescent="0.25">
      <c r="A22" s="36" t="s">
        <v>204</v>
      </c>
      <c r="B22" s="35">
        <f>Q45/$D$3</f>
        <v>9.57166602736223E-2</v>
      </c>
      <c r="C22" s="123">
        <f>2.48/12</f>
        <v>0.20666666666666667</v>
      </c>
      <c r="D22" s="249">
        <v>0</v>
      </c>
      <c r="E22" s="35"/>
      <c r="F22" s="35">
        <f>$F$6*(IF($C22-$D22&lt;0,0,ABS($C22-$D22)))</f>
        <v>0</v>
      </c>
      <c r="G22" s="35">
        <f t="shared" si="0"/>
        <v>0</v>
      </c>
      <c r="H22" s="29">
        <f>F$8*$B22</f>
        <v>0</v>
      </c>
      <c r="I22" s="35">
        <f>G22+H22</f>
        <v>0</v>
      </c>
      <c r="J22" s="35">
        <f>IF(E22-I22&gt;0,0,ABS(E22-I22))</f>
        <v>0</v>
      </c>
      <c r="L22" s="276"/>
      <c r="M22" s="35"/>
      <c r="O22" s="35"/>
      <c r="P22" s="35"/>
      <c r="R22" s="35"/>
      <c r="S22" s="35"/>
      <c r="U22" s="35"/>
      <c r="V22" s="35"/>
      <c r="X22" s="35"/>
      <c r="Y22" s="35"/>
      <c r="AA22" s="35"/>
      <c r="AB22" s="35"/>
      <c r="AD22" s="35"/>
      <c r="AE22" s="35"/>
      <c r="AG22" s="35"/>
      <c r="AH22" s="35"/>
      <c r="AJ22" s="35"/>
      <c r="AK22" s="35"/>
      <c r="AL22" s="35"/>
      <c r="AM22" s="35"/>
      <c r="AN22" s="35"/>
      <c r="AP22" s="35"/>
      <c r="AQ22" s="35"/>
      <c r="AR22" s="35"/>
      <c r="AS22" s="35"/>
      <c r="AT22" s="35"/>
    </row>
    <row r="23" spans="1:52" s="33" customFormat="1" ht="15.75" x14ac:dyDescent="0.25">
      <c r="A23" s="33" t="s">
        <v>34</v>
      </c>
      <c r="B23" s="33">
        <f t="shared" ref="B23:J23" si="5">SUM(B11:B22)</f>
        <v>5.6712121212121209</v>
      </c>
      <c r="C23" s="33">
        <f t="shared" si="5"/>
        <v>6.6533333333333324</v>
      </c>
      <c r="D23" s="33">
        <f t="shared" si="5"/>
        <v>0.60999999999999988</v>
      </c>
      <c r="E23" s="33">
        <f t="shared" si="5"/>
        <v>0</v>
      </c>
      <c r="F23" s="33">
        <f t="shared" si="5"/>
        <v>0</v>
      </c>
      <c r="G23" s="33">
        <f t="shared" si="5"/>
        <v>0</v>
      </c>
      <c r="H23" s="33">
        <f t="shared" si="5"/>
        <v>0</v>
      </c>
      <c r="I23" s="33">
        <f t="shared" si="5"/>
        <v>0</v>
      </c>
      <c r="J23" s="33">
        <f t="shared" si="5"/>
        <v>0</v>
      </c>
    </row>
    <row r="24" spans="1:52" s="33" customFormat="1" ht="15.75" x14ac:dyDescent="0.25"/>
    <row r="25" spans="1:52" s="29" customFormat="1" x14ac:dyDescent="0.2">
      <c r="D25" s="32"/>
      <c r="E25" s="32"/>
    </row>
    <row r="26" spans="1:52" s="104" customFormat="1" ht="18" x14ac:dyDescent="0.25">
      <c r="A26" s="98" t="s">
        <v>35</v>
      </c>
      <c r="B26" s="99"/>
      <c r="C26" s="102"/>
      <c r="D26" s="103"/>
      <c r="E26" s="103"/>
      <c r="F26" s="305" t="s">
        <v>298</v>
      </c>
      <c r="G26" s="306"/>
      <c r="H26" s="306"/>
      <c r="I26" s="306"/>
      <c r="J26" s="306"/>
      <c r="K26" s="306"/>
      <c r="L26" s="307" t="s">
        <v>314</v>
      </c>
      <c r="M26" s="306"/>
      <c r="N26" s="306"/>
      <c r="O26" s="306"/>
      <c r="P26" s="306"/>
      <c r="Q26" s="306"/>
      <c r="R26" s="137"/>
      <c r="S26" s="308" t="s">
        <v>71</v>
      </c>
      <c r="T26" s="306"/>
      <c r="U26" s="306"/>
      <c r="V26" s="306"/>
      <c r="W26" s="306"/>
      <c r="X26" s="306"/>
      <c r="Y26" s="162"/>
      <c r="Z26" s="164"/>
      <c r="AA26" s="48"/>
      <c r="AB26" s="48"/>
      <c r="AC26" s="48"/>
      <c r="AD26" s="48"/>
      <c r="AE26" s="48"/>
      <c r="AF26" s="48"/>
      <c r="AG26" s="162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165"/>
      <c r="AV26" s="165"/>
      <c r="AW26" s="165"/>
      <c r="AX26" s="165"/>
      <c r="AY26" s="165"/>
      <c r="AZ26" s="165"/>
    </row>
    <row r="27" spans="1:52" s="2" customFormat="1" ht="72.75" customHeight="1" x14ac:dyDescent="0.25">
      <c r="A27" s="89"/>
      <c r="B27" s="89"/>
      <c r="C27" s="105" t="s">
        <v>8</v>
      </c>
      <c r="D27" s="105" t="s">
        <v>9</v>
      </c>
      <c r="E27" s="105"/>
      <c r="F27" s="83" t="s">
        <v>297</v>
      </c>
      <c r="G27" s="86" t="s">
        <v>299</v>
      </c>
      <c r="H27" s="86"/>
      <c r="I27" s="86" t="s">
        <v>300</v>
      </c>
      <c r="J27" s="83"/>
      <c r="K27" s="83"/>
      <c r="L27" s="83" t="s">
        <v>202</v>
      </c>
      <c r="M27" s="86" t="s">
        <v>0</v>
      </c>
      <c r="N27" s="83" t="s">
        <v>289</v>
      </c>
      <c r="O27" s="83" t="s">
        <v>315</v>
      </c>
      <c r="P27" s="86" t="s">
        <v>0</v>
      </c>
      <c r="S27" s="86" t="s">
        <v>119</v>
      </c>
      <c r="T27" s="83" t="s">
        <v>1</v>
      </c>
      <c r="U27" s="83" t="s">
        <v>4</v>
      </c>
      <c r="V27" s="86" t="s">
        <v>290</v>
      </c>
      <c r="W27" s="86"/>
      <c r="X27" s="86" t="s">
        <v>291</v>
      </c>
      <c r="Y27" s="83"/>
      <c r="Z27" s="86"/>
      <c r="AA27" s="83"/>
      <c r="AB27" s="83"/>
      <c r="AC27" s="86"/>
      <c r="AD27" s="86"/>
      <c r="AE27" s="86"/>
      <c r="AG27" s="59"/>
      <c r="AH27" s="3"/>
      <c r="AI27" s="29"/>
      <c r="AJ27" s="3"/>
      <c r="AK27" s="32"/>
      <c r="AL27" s="29"/>
    </row>
    <row r="28" spans="1:52" ht="15.75" x14ac:dyDescent="0.25">
      <c r="A28" s="28" t="s">
        <v>235</v>
      </c>
      <c r="B28" s="29"/>
      <c r="C28" s="35">
        <f>B23*D3</f>
        <v>3.1191666666666666</v>
      </c>
      <c r="E28" s="35"/>
      <c r="F28" s="35">
        <v>0</v>
      </c>
      <c r="G28" s="29">
        <v>0</v>
      </c>
      <c r="H28" s="29"/>
      <c r="I28" s="29">
        <f>G28-H28</f>
        <v>0</v>
      </c>
      <c r="J28" s="29"/>
      <c r="K28" s="29"/>
      <c r="L28" s="249">
        <v>128.59</v>
      </c>
      <c r="M28" s="35">
        <f>L28*$C28</f>
        <v>401.09364166666666</v>
      </c>
      <c r="N28" s="29">
        <f>J31*M28</f>
        <v>0</v>
      </c>
      <c r="O28" s="226">
        <v>625.57000000000005</v>
      </c>
      <c r="P28" s="35">
        <f>V56-P30</f>
        <v>530.58353333333332</v>
      </c>
      <c r="S28" s="29">
        <f>F28+L28+O28</f>
        <v>754.16000000000008</v>
      </c>
      <c r="T28" s="29">
        <f>I28+M28+P28</f>
        <v>931.67717500000003</v>
      </c>
      <c r="U28" s="29"/>
      <c r="V28" s="29">
        <f>T28-U28</f>
        <v>931.67717500000003</v>
      </c>
      <c r="W28" s="29"/>
      <c r="X28" s="29"/>
      <c r="Y28" s="29"/>
      <c r="Z28" s="29"/>
      <c r="AA28" s="3"/>
      <c r="AB28" s="29"/>
      <c r="AC28" s="29"/>
      <c r="AD28" s="29"/>
      <c r="AE28" s="29"/>
      <c r="AG28" s="29"/>
      <c r="AH28" s="3"/>
      <c r="AI28" s="2"/>
      <c r="AJ28" s="29"/>
      <c r="AK28" s="27"/>
      <c r="AL28" s="29"/>
      <c r="AM28" s="29"/>
    </row>
    <row r="29" spans="1:52" ht="15.75" x14ac:dyDescent="0.25">
      <c r="A29" s="29" t="s">
        <v>236</v>
      </c>
      <c r="B29" s="29"/>
      <c r="C29" s="29"/>
      <c r="D29" s="35"/>
      <c r="E29" s="35"/>
      <c r="F29" s="35"/>
      <c r="G29" s="29"/>
      <c r="I29" s="29"/>
      <c r="J29" s="29"/>
      <c r="K29" s="29"/>
      <c r="L29" s="35">
        <v>0</v>
      </c>
      <c r="M29" s="35"/>
      <c r="N29" s="29"/>
      <c r="O29" s="29">
        <v>0</v>
      </c>
      <c r="P29" s="35"/>
      <c r="S29" s="29"/>
      <c r="T29" s="29"/>
      <c r="U29" s="29"/>
      <c r="V29" s="29"/>
      <c r="W29" s="29"/>
      <c r="X29" s="29"/>
      <c r="Y29" s="29"/>
      <c r="Z29" s="29"/>
      <c r="AA29" s="3"/>
      <c r="AB29" s="29"/>
      <c r="AC29" s="29"/>
      <c r="AD29" s="29"/>
      <c r="AE29" s="29"/>
      <c r="AG29" s="29"/>
      <c r="AH29" s="29"/>
      <c r="AI29" s="29"/>
      <c r="AJ29" s="35"/>
      <c r="AK29" s="29"/>
      <c r="AL29" s="29"/>
      <c r="AM29" s="29"/>
    </row>
    <row r="30" spans="1:52" s="29" customFormat="1" ht="15.75" x14ac:dyDescent="0.25">
      <c r="A30" s="29" t="s">
        <v>48</v>
      </c>
      <c r="E30" s="35"/>
      <c r="F30" s="35">
        <f>F6+L6+R6+X6+AD6+AJ6</f>
        <v>0</v>
      </c>
      <c r="G30" s="29">
        <f>G23+M23+S23+Y23+AE23+AK23</f>
        <v>0</v>
      </c>
      <c r="L30" s="249">
        <v>0</v>
      </c>
      <c r="M30" s="35">
        <f>L30*($C23-$D23)</f>
        <v>0</v>
      </c>
      <c r="N30" s="35">
        <f>J31*M30</f>
        <v>0</v>
      </c>
      <c r="O30" s="249">
        <v>0.38</v>
      </c>
      <c r="P30" s="35">
        <f>O30*($C23-$D23)</f>
        <v>2.2964666666666664</v>
      </c>
      <c r="Q30" s="35"/>
      <c r="S30" s="29">
        <f>F30+L30+O30</f>
        <v>0.38</v>
      </c>
      <c r="T30" s="29">
        <f>G30+M30+P30</f>
        <v>2.2964666666666664</v>
      </c>
      <c r="V30" s="29">
        <f>T30-U30</f>
        <v>2.2964666666666664</v>
      </c>
      <c r="W30" s="32"/>
      <c r="AA30" s="3"/>
      <c r="AD30" s="32"/>
      <c r="AI30" s="3"/>
      <c r="AJ30" s="35"/>
    </row>
    <row r="31" spans="1:52" ht="15.75" x14ac:dyDescent="0.25">
      <c r="A31" s="3" t="s">
        <v>71</v>
      </c>
      <c r="B31" s="29"/>
      <c r="D31" s="35"/>
      <c r="E31" s="35"/>
      <c r="F31" s="35">
        <f>SUM(F28:F30)</f>
        <v>0</v>
      </c>
      <c r="G31" s="35">
        <f>SUM(G28:G30)</f>
        <v>0</v>
      </c>
      <c r="H31" s="35"/>
      <c r="I31" s="35">
        <f>SUM(I28:I30)</f>
        <v>0</v>
      </c>
      <c r="J31" s="33"/>
      <c r="K31" s="35"/>
      <c r="L31" s="35">
        <f>SUM(L28:L30)</f>
        <v>128.59</v>
      </c>
      <c r="M31" s="35">
        <f>SUM(M28:M30)</f>
        <v>401.09364166666666</v>
      </c>
      <c r="N31" s="35">
        <f>SUM(N28:N30)</f>
        <v>0</v>
      </c>
      <c r="O31" s="35">
        <f>SUM(O28:O30)</f>
        <v>625.95000000000005</v>
      </c>
      <c r="P31" s="35">
        <f>SUM(P28:P30)</f>
        <v>532.88</v>
      </c>
      <c r="S31" s="29">
        <f>SUM(S28:S30)</f>
        <v>754.54000000000008</v>
      </c>
      <c r="T31" s="29">
        <f>SUM(T28:T30)</f>
        <v>933.97364166666671</v>
      </c>
      <c r="U31" s="29"/>
      <c r="V31" s="29">
        <f>SUM(V28:V30)</f>
        <v>933.97364166666671</v>
      </c>
      <c r="W31" s="35"/>
      <c r="X31" s="29">
        <f>W31+V31</f>
        <v>933.97364166666671</v>
      </c>
      <c r="Y31" s="29"/>
      <c r="Z31" s="3"/>
      <c r="AA31" s="3"/>
      <c r="AB31" s="3"/>
      <c r="AC31" s="3"/>
      <c r="AD31" s="27"/>
      <c r="AE31" s="3"/>
      <c r="AG31" s="29"/>
      <c r="AH31" s="29"/>
      <c r="AI31" s="3"/>
      <c r="AJ31" s="35"/>
      <c r="AK31" s="29"/>
      <c r="AL31" s="29"/>
      <c r="AM31" s="29"/>
    </row>
    <row r="32" spans="1:52" ht="15.75" x14ac:dyDescent="0.25">
      <c r="A32" s="29"/>
      <c r="B32" s="29"/>
      <c r="C32" s="29"/>
      <c r="D32" s="35"/>
      <c r="E32" s="35"/>
      <c r="F32" s="35"/>
      <c r="G32" s="35"/>
      <c r="H32" s="29"/>
      <c r="I32" s="29"/>
      <c r="J32" s="35"/>
      <c r="K32" s="35"/>
      <c r="L32" s="29"/>
      <c r="M32" s="35"/>
      <c r="N32" s="35"/>
      <c r="O32" s="29"/>
      <c r="P32" s="35"/>
      <c r="Q32" s="35"/>
      <c r="R32" s="35"/>
      <c r="S32" s="29"/>
      <c r="T32" s="29"/>
      <c r="U32" s="29"/>
      <c r="V32" s="29"/>
      <c r="W32" s="29"/>
      <c r="X32" s="3"/>
      <c r="Y32" s="29"/>
      <c r="Z32" s="29"/>
      <c r="AA32" s="29"/>
      <c r="AF32" s="29"/>
      <c r="AG32" s="29"/>
      <c r="AH32" s="29"/>
      <c r="AI32" s="2"/>
      <c r="AK32" s="29"/>
      <c r="AL32" s="29"/>
    </row>
    <row r="33" spans="1:38" ht="15.75" x14ac:dyDescent="0.25">
      <c r="A33" s="29" t="s">
        <v>334</v>
      </c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G33" s="29"/>
      <c r="AH33" s="3"/>
      <c r="AI33" s="29"/>
      <c r="AJ33" s="3"/>
      <c r="AK33" s="29"/>
      <c r="AL33" s="2"/>
    </row>
    <row r="34" spans="1:38" ht="15.75" x14ac:dyDescent="0.25">
      <c r="A34" s="29" t="s">
        <v>316</v>
      </c>
      <c r="C34" s="35"/>
      <c r="D34" s="35"/>
      <c r="E34" s="35"/>
      <c r="F34" s="29"/>
      <c r="G34" s="29"/>
      <c r="H34" s="35"/>
      <c r="I34" s="29"/>
      <c r="J34" s="35"/>
      <c r="K34" s="35"/>
      <c r="L34" s="29"/>
      <c r="M34" s="35"/>
      <c r="N34" s="35"/>
      <c r="O34" s="29"/>
      <c r="P34" s="29"/>
      <c r="Q34" s="29"/>
      <c r="R34" s="29"/>
      <c r="S34" s="3"/>
      <c r="T34" s="32"/>
      <c r="U34" s="29"/>
      <c r="V34" s="29"/>
      <c r="W34" s="29"/>
      <c r="X34" s="3"/>
      <c r="Y34" s="32"/>
      <c r="Z34" s="29"/>
      <c r="AA34" s="29"/>
    </row>
    <row r="35" spans="1:38" s="97" customFormat="1" ht="15.75" x14ac:dyDescent="0.25">
      <c r="A35" s="100" t="s">
        <v>192</v>
      </c>
      <c r="B35" s="100"/>
      <c r="D35" s="94"/>
      <c r="E35" s="94"/>
      <c r="F35" s="94"/>
      <c r="G35" s="101"/>
      <c r="H35" s="94"/>
      <c r="I35" s="94"/>
      <c r="J35" s="94"/>
      <c r="K35" s="94"/>
      <c r="L35" s="94"/>
      <c r="M35" s="101"/>
      <c r="N35" s="94"/>
      <c r="O35" s="94"/>
      <c r="P35" s="94"/>
      <c r="Q35" s="94"/>
      <c r="R35" s="94"/>
      <c r="S35" s="101"/>
      <c r="T35" s="94"/>
      <c r="U35" s="94"/>
      <c r="V35" s="95"/>
      <c r="W35" s="95"/>
      <c r="X35" s="95"/>
      <c r="Y35" s="96"/>
      <c r="Z35" s="95"/>
      <c r="AA35" s="95"/>
      <c r="AF35" s="95"/>
      <c r="AG35" s="95"/>
    </row>
    <row r="36" spans="1:38" ht="15.75" x14ac:dyDescent="0.25">
      <c r="A36" s="3"/>
      <c r="B36" s="3"/>
      <c r="C36" s="3"/>
      <c r="F36" s="33" t="s">
        <v>87</v>
      </c>
      <c r="G36" s="33" t="s">
        <v>88</v>
      </c>
      <c r="H36" s="33" t="s">
        <v>89</v>
      </c>
      <c r="I36" s="33" t="s">
        <v>90</v>
      </c>
      <c r="J36" s="33" t="s">
        <v>23</v>
      </c>
      <c r="K36" s="33" t="s">
        <v>91</v>
      </c>
      <c r="L36" s="33" t="s">
        <v>92</v>
      </c>
      <c r="M36" s="33" t="s">
        <v>93</v>
      </c>
      <c r="N36" s="33" t="s">
        <v>94</v>
      </c>
      <c r="O36" s="33" t="s">
        <v>95</v>
      </c>
      <c r="P36" s="33" t="s">
        <v>96</v>
      </c>
      <c r="Q36" s="33" t="s">
        <v>97</v>
      </c>
      <c r="R36" s="33" t="s">
        <v>71</v>
      </c>
      <c r="T36" s="30" t="s">
        <v>223</v>
      </c>
      <c r="W36" s="29"/>
      <c r="X36" s="29"/>
      <c r="Y36" s="32"/>
      <c r="Z36" s="29"/>
      <c r="AA36" s="29"/>
      <c r="AF36" s="29"/>
      <c r="AG36" s="29"/>
    </row>
    <row r="37" spans="1:38" ht="15.75" customHeight="1" x14ac:dyDescent="0.25">
      <c r="B37" s="3"/>
      <c r="C37" s="3"/>
      <c r="F37" s="33"/>
      <c r="G37" s="27"/>
      <c r="H37" s="27"/>
      <c r="I37" s="33"/>
      <c r="J37" s="27"/>
      <c r="K37" s="27"/>
      <c r="L37" s="27"/>
      <c r="M37" s="27"/>
      <c r="N37" s="33"/>
      <c r="O37" s="27"/>
      <c r="P37" s="33"/>
      <c r="Q37" s="27"/>
      <c r="R37" s="33"/>
      <c r="T37" s="107" t="s">
        <v>173</v>
      </c>
      <c r="U37" s="124"/>
      <c r="V37" s="226">
        <v>16.64</v>
      </c>
      <c r="X37" s="216"/>
      <c r="Y37" s="233"/>
      <c r="Z37" s="216"/>
      <c r="AF37" s="29"/>
      <c r="AG37" s="29"/>
    </row>
    <row r="38" spans="1:38" ht="16.899999999999999" customHeight="1" x14ac:dyDescent="0.25">
      <c r="A38" s="3" t="s">
        <v>329</v>
      </c>
      <c r="B38" s="3"/>
      <c r="C38" s="29"/>
      <c r="F38" s="226">
        <v>0.03</v>
      </c>
      <c r="G38" s="226">
        <v>0.28000000000000003</v>
      </c>
      <c r="H38" s="226">
        <v>1.42</v>
      </c>
      <c r="I38" s="226">
        <v>3.16</v>
      </c>
      <c r="J38" s="226">
        <v>5.29</v>
      </c>
      <c r="K38" s="226">
        <v>7.48</v>
      </c>
      <c r="L38" s="226">
        <v>7.71</v>
      </c>
      <c r="M38" s="226">
        <v>6.89</v>
      </c>
      <c r="N38" s="226">
        <v>5.1100000000000003</v>
      </c>
      <c r="O38" s="226">
        <v>3.56</v>
      </c>
      <c r="P38" s="226">
        <v>1.01</v>
      </c>
      <c r="Q38" s="226">
        <v>0.72</v>
      </c>
      <c r="R38" s="29">
        <f>SUM(F38:Q38)</f>
        <v>42.66</v>
      </c>
      <c r="T38" s="107" t="s">
        <v>381</v>
      </c>
      <c r="U38" s="124"/>
      <c r="V38" s="226">
        <v>0</v>
      </c>
      <c r="X38" s="216"/>
      <c r="Y38" s="233"/>
      <c r="Z38" s="216"/>
      <c r="AF38" s="29"/>
      <c r="AG38" s="29"/>
    </row>
    <row r="39" spans="1:38" ht="15.75" customHeight="1" x14ac:dyDescent="0.25">
      <c r="A39" s="3" t="s">
        <v>98</v>
      </c>
      <c r="B39" s="3"/>
      <c r="C39" s="29"/>
      <c r="F39" s="29">
        <f>F38/$R38</f>
        <v>7.0323488045007034E-4</v>
      </c>
      <c r="G39" s="29">
        <f t="shared" ref="G39:Q39" si="6">G38/$R38</f>
        <v>6.5635255508673246E-3</v>
      </c>
      <c r="H39" s="29">
        <f t="shared" si="6"/>
        <v>3.3286451007969994E-2</v>
      </c>
      <c r="I39" s="29">
        <f t="shared" si="6"/>
        <v>7.4074074074074084E-2</v>
      </c>
      <c r="J39" s="29">
        <f t="shared" si="6"/>
        <v>0.12400375058602908</v>
      </c>
      <c r="K39" s="29">
        <f t="shared" si="6"/>
        <v>0.17533989685888424</v>
      </c>
      <c r="L39" s="29">
        <f t="shared" si="6"/>
        <v>0.18073136427566808</v>
      </c>
      <c r="M39" s="29">
        <f t="shared" si="6"/>
        <v>0.16150961087669949</v>
      </c>
      <c r="N39" s="29">
        <f t="shared" si="6"/>
        <v>0.11978434130332866</v>
      </c>
      <c r="O39" s="29">
        <f t="shared" si="6"/>
        <v>8.3450539146741692E-2</v>
      </c>
      <c r="P39" s="29">
        <f t="shared" si="6"/>
        <v>2.3675574308485704E-2</v>
      </c>
      <c r="Q39" s="29">
        <f t="shared" si="6"/>
        <v>1.687763713080169E-2</v>
      </c>
      <c r="R39" s="29">
        <f>SUM(F39:Q39)</f>
        <v>1</v>
      </c>
      <c r="T39" s="107" t="s">
        <v>381</v>
      </c>
      <c r="U39" s="124"/>
      <c r="V39" s="226">
        <v>166.69</v>
      </c>
      <c r="X39" s="216"/>
      <c r="Y39" s="233"/>
      <c r="Z39" s="216"/>
      <c r="AC39" s="29"/>
      <c r="AD39" s="29"/>
      <c r="AE39" s="32"/>
      <c r="AF39" s="29"/>
      <c r="AG39" s="29"/>
    </row>
    <row r="40" spans="1:38" ht="15.75" customHeight="1" thickBot="1" x14ac:dyDescent="0.3">
      <c r="A40" s="3"/>
      <c r="B40" s="3"/>
      <c r="C40" s="29"/>
      <c r="F40" s="29"/>
      <c r="G40" s="32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32"/>
      <c r="T40" s="107" t="s">
        <v>382</v>
      </c>
      <c r="U40" s="252"/>
      <c r="V40" s="226">
        <v>133.80000000000001</v>
      </c>
      <c r="X40" s="216"/>
      <c r="Y40" s="233"/>
      <c r="Z40" s="216"/>
      <c r="AC40" s="29"/>
      <c r="AD40" s="29"/>
      <c r="AE40" s="32"/>
      <c r="AF40" s="29"/>
      <c r="AG40" s="29"/>
    </row>
    <row r="41" spans="1:38" ht="16.5" thickBot="1" x14ac:dyDescent="0.3">
      <c r="A41" s="94" t="s">
        <v>191</v>
      </c>
      <c r="B41" s="94"/>
      <c r="C41" s="95"/>
      <c r="D41" s="95"/>
      <c r="E41" s="95"/>
      <c r="F41" s="282">
        <v>37.43</v>
      </c>
      <c r="G41" s="94" t="s">
        <v>10</v>
      </c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28" t="s">
        <v>380</v>
      </c>
      <c r="V41" s="263">
        <v>3.52</v>
      </c>
      <c r="X41" s="216"/>
      <c r="Y41" s="233"/>
      <c r="Z41" s="216"/>
      <c r="AC41" s="29"/>
      <c r="AD41" s="29"/>
      <c r="AE41" s="32"/>
      <c r="AF41" s="29"/>
      <c r="AG41" s="29"/>
    </row>
    <row r="42" spans="1:38" ht="15.75" x14ac:dyDescent="0.25">
      <c r="A42" s="3"/>
      <c r="B42" s="3"/>
      <c r="C42" s="29"/>
      <c r="F42" s="33" t="s">
        <v>87</v>
      </c>
      <c r="G42" s="33" t="s">
        <v>88</v>
      </c>
      <c r="H42" s="33" t="s">
        <v>89</v>
      </c>
      <c r="I42" s="33" t="s">
        <v>90</v>
      </c>
      <c r="J42" s="33" t="s">
        <v>23</v>
      </c>
      <c r="K42" s="33" t="s">
        <v>91</v>
      </c>
      <c r="L42" s="33" t="s">
        <v>92</v>
      </c>
      <c r="M42" s="33" t="s">
        <v>93</v>
      </c>
      <c r="N42" s="33" t="s">
        <v>94</v>
      </c>
      <c r="O42" s="33" t="s">
        <v>95</v>
      </c>
      <c r="P42" s="33" t="s">
        <v>96</v>
      </c>
      <c r="Q42" s="33" t="s">
        <v>97</v>
      </c>
      <c r="R42" s="33" t="s">
        <v>71</v>
      </c>
      <c r="T42" s="28" t="s">
        <v>172</v>
      </c>
      <c r="V42" s="263">
        <v>212.23</v>
      </c>
      <c r="X42" s="216"/>
      <c r="Y42" s="233"/>
      <c r="Z42" s="216"/>
      <c r="AC42" s="29"/>
      <c r="AD42" s="29"/>
      <c r="AE42" s="32"/>
      <c r="AF42" s="29"/>
      <c r="AG42" s="29"/>
    </row>
    <row r="43" spans="1:38" ht="15.75" x14ac:dyDescent="0.25">
      <c r="A43" s="3"/>
      <c r="B43" s="3"/>
      <c r="C43" s="29"/>
      <c r="F43" s="33"/>
      <c r="G43" s="27"/>
      <c r="H43" s="27"/>
      <c r="I43" s="33"/>
      <c r="J43" s="27"/>
      <c r="K43" s="27"/>
      <c r="L43" s="27"/>
      <c r="M43" s="27"/>
      <c r="N43" s="33"/>
      <c r="O43" s="27"/>
      <c r="P43" s="33"/>
      <c r="Q43" s="27"/>
      <c r="R43" s="33"/>
      <c r="T43" s="29"/>
      <c r="U43" s="124"/>
      <c r="V43" s="250"/>
      <c r="W43" s="29"/>
      <c r="X43" s="216"/>
      <c r="Y43" s="233"/>
      <c r="Z43" s="216"/>
      <c r="AC43" s="29"/>
      <c r="AD43" s="29"/>
      <c r="AE43" s="32"/>
      <c r="AF43" s="29"/>
      <c r="AG43" s="29"/>
    </row>
    <row r="44" spans="1:38" ht="15.75" x14ac:dyDescent="0.25">
      <c r="A44" s="3" t="s">
        <v>7</v>
      </c>
      <c r="B44" s="3"/>
      <c r="C44" s="29"/>
      <c r="F44" s="29">
        <f>F39*$F41</f>
        <v>2.6322081575246133E-2</v>
      </c>
      <c r="G44" s="29">
        <f t="shared" ref="G44:Q44" si="7">G39*$F41</f>
        <v>0.24567276136896396</v>
      </c>
      <c r="H44" s="29">
        <f t="shared" si="7"/>
        <v>1.2459118612283169</v>
      </c>
      <c r="I44" s="29">
        <f t="shared" si="7"/>
        <v>2.7725925925925927</v>
      </c>
      <c r="J44" s="29">
        <f t="shared" si="7"/>
        <v>4.6414603844350681</v>
      </c>
      <c r="K44" s="29">
        <f t="shared" si="7"/>
        <v>6.562972339428037</v>
      </c>
      <c r="L44" s="29">
        <f t="shared" si="7"/>
        <v>6.7647749648382565</v>
      </c>
      <c r="M44" s="29">
        <f t="shared" si="7"/>
        <v>6.0453047351148621</v>
      </c>
      <c r="N44" s="29">
        <f t="shared" si="7"/>
        <v>4.4835278949835917</v>
      </c>
      <c r="O44" s="29">
        <f t="shared" si="7"/>
        <v>3.1235536802625417</v>
      </c>
      <c r="P44" s="29">
        <f t="shared" si="7"/>
        <v>0.88617674636661992</v>
      </c>
      <c r="Q44" s="29">
        <f t="shared" si="7"/>
        <v>0.63172995780590724</v>
      </c>
      <c r="R44" s="29">
        <f>SUM(F44:Q44)</f>
        <v>37.43</v>
      </c>
      <c r="T44" s="29"/>
      <c r="U44" s="124"/>
      <c r="V44" s="250"/>
      <c r="W44" s="29"/>
      <c r="X44" s="216"/>
      <c r="Y44" s="233"/>
      <c r="Z44" s="216"/>
      <c r="AC44" s="29"/>
      <c r="AD44" s="29"/>
      <c r="AE44" s="32"/>
      <c r="AF44" s="29"/>
      <c r="AG44" s="29"/>
    </row>
    <row r="45" spans="1:38" ht="15.75" x14ac:dyDescent="0.25">
      <c r="A45" s="3" t="s">
        <v>6</v>
      </c>
      <c r="B45" s="3"/>
      <c r="C45" s="29"/>
      <c r="F45" s="29">
        <f t="shared" ref="F45:Q45" si="8">F44/12</f>
        <v>2.1935067979371777E-3</v>
      </c>
      <c r="G45" s="29">
        <f t="shared" si="8"/>
        <v>2.047273011408033E-2</v>
      </c>
      <c r="H45" s="29">
        <f t="shared" si="8"/>
        <v>0.10382598843569307</v>
      </c>
      <c r="I45" s="29">
        <f t="shared" si="8"/>
        <v>0.23104938271604938</v>
      </c>
      <c r="J45" s="29">
        <f t="shared" si="8"/>
        <v>0.38678836536958899</v>
      </c>
      <c r="K45" s="29">
        <f t="shared" si="8"/>
        <v>0.54691436161900309</v>
      </c>
      <c r="L45" s="29">
        <f t="shared" si="8"/>
        <v>0.56373124706985467</v>
      </c>
      <c r="M45" s="29">
        <f t="shared" si="8"/>
        <v>0.50377539459290521</v>
      </c>
      <c r="N45" s="29">
        <f t="shared" si="8"/>
        <v>0.37362732458196596</v>
      </c>
      <c r="O45" s="29">
        <f t="shared" si="8"/>
        <v>0.26029614002187845</v>
      </c>
      <c r="P45" s="29">
        <f t="shared" si="8"/>
        <v>7.3848062197218331E-2</v>
      </c>
      <c r="Q45" s="29">
        <f t="shared" si="8"/>
        <v>5.2644163150492272E-2</v>
      </c>
      <c r="R45" s="29">
        <f>SUM(F45:Q45)</f>
        <v>3.1191666666666671</v>
      </c>
      <c r="T45" s="29"/>
      <c r="U45" s="124"/>
      <c r="V45" s="250"/>
      <c r="W45" s="29"/>
      <c r="X45" s="216"/>
      <c r="Y45" s="233"/>
      <c r="Z45" s="216"/>
      <c r="AC45" s="29"/>
      <c r="AD45" s="29"/>
      <c r="AE45" s="32"/>
      <c r="AF45" s="29"/>
      <c r="AG45" s="29"/>
    </row>
    <row r="46" spans="1:38" ht="15.75" x14ac:dyDescent="0.25">
      <c r="T46" s="29"/>
      <c r="U46" s="124"/>
      <c r="V46" s="216"/>
      <c r="W46" s="29"/>
      <c r="X46" s="216"/>
      <c r="Y46" s="233"/>
      <c r="Z46" s="216"/>
      <c r="AC46" s="29"/>
      <c r="AD46" s="29"/>
      <c r="AE46" s="32"/>
      <c r="AF46" s="29"/>
      <c r="AG46" s="29"/>
    </row>
    <row r="47" spans="1:38" x14ac:dyDescent="0.2">
      <c r="D47" s="246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46"/>
      <c r="X47" s="216"/>
      <c r="Y47" s="233"/>
      <c r="Z47" s="216"/>
      <c r="AC47" s="29"/>
      <c r="AD47" s="29"/>
      <c r="AE47" s="32"/>
      <c r="AF47" s="29"/>
      <c r="AG47" s="29"/>
    </row>
    <row r="48" spans="1:38" ht="15.75" x14ac:dyDescent="0.25">
      <c r="T48" s="29"/>
      <c r="U48" s="124"/>
      <c r="V48" s="251"/>
      <c r="W48" s="226"/>
      <c r="X48" s="226"/>
      <c r="Y48" s="233"/>
      <c r="Z48" s="216"/>
      <c r="AC48" s="29"/>
      <c r="AD48" s="29"/>
      <c r="AE48" s="32"/>
      <c r="AF48" s="29"/>
      <c r="AG48" s="29"/>
    </row>
    <row r="49" spans="1:33" ht="15.75" x14ac:dyDescent="0.25">
      <c r="T49" s="29"/>
      <c r="U49" s="124"/>
      <c r="V49" s="216"/>
      <c r="W49" s="226"/>
      <c r="X49" s="226"/>
      <c r="Y49" s="233"/>
      <c r="Z49" s="216"/>
      <c r="AC49" s="29"/>
      <c r="AD49" s="29"/>
      <c r="AE49" s="32"/>
      <c r="AF49" s="29"/>
      <c r="AG49" s="29"/>
    </row>
    <row r="50" spans="1:33" ht="15.75" x14ac:dyDescent="0.25">
      <c r="O50" s="29"/>
      <c r="T50" s="29"/>
      <c r="U50" s="124"/>
      <c r="V50" s="216"/>
      <c r="W50" s="226"/>
      <c r="X50" s="226"/>
      <c r="Y50" s="233"/>
      <c r="Z50" s="216"/>
      <c r="AC50" s="29"/>
      <c r="AD50" s="29"/>
      <c r="AE50" s="32"/>
      <c r="AF50" s="29"/>
      <c r="AG50" s="29"/>
    </row>
    <row r="51" spans="1:33" ht="15.75" x14ac:dyDescent="0.25">
      <c r="B51" s="29"/>
      <c r="T51" s="29"/>
      <c r="U51" s="124"/>
      <c r="V51" s="216"/>
      <c r="W51" s="226"/>
      <c r="X51" s="226"/>
      <c r="Y51" s="233"/>
      <c r="Z51" s="216"/>
      <c r="AC51" s="29"/>
      <c r="AD51" s="29"/>
      <c r="AE51" s="32"/>
      <c r="AF51" s="29"/>
      <c r="AG51" s="29"/>
    </row>
    <row r="52" spans="1:33" x14ac:dyDescent="0.2">
      <c r="B52" s="29"/>
      <c r="T52" s="29"/>
      <c r="U52" s="82"/>
      <c r="V52" s="216"/>
      <c r="X52" s="226"/>
      <c r="Y52" s="234"/>
      <c r="Z52" s="216"/>
      <c r="AC52" s="29"/>
      <c r="AD52" s="29"/>
      <c r="AE52" s="32"/>
      <c r="AF52" s="29"/>
      <c r="AG52" s="29"/>
    </row>
    <row r="53" spans="1:33" s="29" customFormat="1" ht="15.75" x14ac:dyDescent="0.25">
      <c r="A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P53" s="28"/>
      <c r="Q53" s="28"/>
      <c r="R53" s="28"/>
      <c r="S53" s="28"/>
      <c r="U53" s="82"/>
      <c r="V53" s="216"/>
      <c r="W53" s="226"/>
      <c r="X53" s="226"/>
      <c r="Y53" s="216"/>
      <c r="Z53" s="216"/>
      <c r="AC53" s="3"/>
      <c r="AD53" s="3"/>
      <c r="AE53" s="27"/>
      <c r="AF53" s="3"/>
      <c r="AG53" s="3"/>
    </row>
    <row r="54" spans="1:33" x14ac:dyDescent="0.2">
      <c r="B54" s="29"/>
      <c r="P54" s="29"/>
      <c r="T54" s="29"/>
      <c r="U54" s="82"/>
      <c r="V54" s="251"/>
      <c r="W54" s="226"/>
      <c r="X54" s="226"/>
      <c r="Y54" s="234"/>
      <c r="Z54" s="216"/>
      <c r="AC54" s="29"/>
      <c r="AD54" s="29"/>
      <c r="AE54" s="32"/>
      <c r="AF54" s="29"/>
      <c r="AG54" s="29"/>
    </row>
    <row r="55" spans="1:33" x14ac:dyDescent="0.2">
      <c r="B55" s="29"/>
      <c r="T55" s="29"/>
      <c r="U55" s="82"/>
      <c r="V55" s="251"/>
      <c r="W55" s="226"/>
      <c r="Y55" s="234"/>
      <c r="Z55" s="216"/>
      <c r="AC55" s="29"/>
      <c r="AD55" s="29"/>
      <c r="AE55" s="32"/>
      <c r="AF55" s="29"/>
      <c r="AG55" s="29"/>
    </row>
    <row r="56" spans="1:33" ht="21.75" customHeight="1" x14ac:dyDescent="0.25">
      <c r="B56" s="29"/>
      <c r="T56" s="138" t="s">
        <v>15</v>
      </c>
      <c r="U56" s="29"/>
      <c r="V56" s="3">
        <f>SUM(V37:V55)</f>
        <v>532.88</v>
      </c>
      <c r="W56" s="226"/>
      <c r="X56" s="226"/>
      <c r="Y56" s="234"/>
      <c r="Z56" s="216"/>
      <c r="AC56" s="29"/>
      <c r="AD56" s="29"/>
      <c r="AE56" s="32"/>
      <c r="AF56" s="29"/>
      <c r="AG56" s="29"/>
    </row>
    <row r="57" spans="1:33" x14ac:dyDescent="0.2">
      <c r="B57" s="29"/>
      <c r="W57" s="226"/>
      <c r="X57" s="226"/>
      <c r="Y57" s="32"/>
      <c r="AC57" s="29"/>
      <c r="AD57" s="29"/>
      <c r="AE57" s="32"/>
      <c r="AF57" s="29"/>
      <c r="AG57" s="29"/>
    </row>
    <row r="58" spans="1:33" x14ac:dyDescent="0.2">
      <c r="B58" s="29"/>
      <c r="F58" s="29"/>
      <c r="X58" s="263"/>
    </row>
    <row r="59" spans="1:33" x14ac:dyDescent="0.2">
      <c r="B59" s="29"/>
      <c r="F59" s="29"/>
      <c r="X59" s="263"/>
    </row>
    <row r="60" spans="1:33" x14ac:dyDescent="0.2">
      <c r="B60" s="29"/>
      <c r="F60" s="29"/>
      <c r="W60" s="263"/>
      <c r="X60" s="263"/>
    </row>
    <row r="61" spans="1:33" x14ac:dyDescent="0.2">
      <c r="B61" s="29"/>
      <c r="F61" s="29"/>
    </row>
    <row r="62" spans="1:33" x14ac:dyDescent="0.2">
      <c r="B62" s="29"/>
      <c r="F62" s="29"/>
    </row>
    <row r="63" spans="1:33" x14ac:dyDescent="0.2">
      <c r="F63" s="29"/>
    </row>
    <row r="64" spans="1:33" x14ac:dyDescent="0.2">
      <c r="F64" s="29"/>
    </row>
    <row r="65" spans="6:6" x14ac:dyDescent="0.2">
      <c r="F65" s="29"/>
    </row>
    <row r="66" spans="6:6" x14ac:dyDescent="0.2">
      <c r="F66" s="29"/>
    </row>
    <row r="67" spans="6:6" x14ac:dyDescent="0.2">
      <c r="F67" s="29"/>
    </row>
    <row r="68" spans="6:6" x14ac:dyDescent="0.2">
      <c r="F68" s="29"/>
    </row>
    <row r="69" spans="6:6" x14ac:dyDescent="0.2">
      <c r="F69" s="29"/>
    </row>
  </sheetData>
  <sheetProtection algorithmName="SHA-512" hashValue="v+Hb06BG5+VuLbKOn+UwW2DNW97bOZqMZajAcnmpBEi57qYsMvSRt1Kq4zt1sDMbkZfkpSUHvaJYQGEqyVaqmw==" saltValue="JqvDYiTrXS7ARkBvAqEWUw==" spinCount="100000" sheet="1" formatColumns="0"/>
  <mergeCells count="5">
    <mergeCell ref="A3:C3"/>
    <mergeCell ref="E5:J5"/>
    <mergeCell ref="S26:X26"/>
    <mergeCell ref="F26:K26"/>
    <mergeCell ref="L26:Q26"/>
  </mergeCells>
  <phoneticPr fontId="0" type="noConversion"/>
  <printOptions horizontalCentered="1" gridLines="1"/>
  <pageMargins left="0.75" right="0.25" top="0.75" bottom="0.75" header="0.5" footer="0.5"/>
  <pageSetup paperSize="17" scale="66" orientation="landscape" r:id="rId1"/>
  <headerFooter alignWithMargins="0">
    <oddHeader>&amp;L&amp;D</oddHeader>
    <oddFooter>&amp;L&amp;F&amp;R&amp;A</oddFooter>
  </headerFooter>
  <colBreaks count="1" manualBreakCount="1">
    <brk id="46" max="1048575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77"/>
  <sheetViews>
    <sheetView topLeftCell="A27" zoomScaleNormal="100" zoomScaleSheetLayoutView="100" workbookViewId="0">
      <selection activeCell="B75" sqref="B75"/>
    </sheetView>
  </sheetViews>
  <sheetFormatPr defaultColWidth="9.140625" defaultRowHeight="12.75" x14ac:dyDescent="0.2"/>
  <cols>
    <col min="1" max="1" width="27.28515625" style="42" customWidth="1"/>
    <col min="2" max="3" width="13.140625" style="42" customWidth="1"/>
    <col min="4" max="4" width="11.7109375" style="42" customWidth="1"/>
    <col min="5" max="5" width="10.7109375" style="42" customWidth="1"/>
    <col min="6" max="8" width="9.140625" style="42" customWidth="1"/>
    <col min="9" max="9" width="8.85546875" style="42" customWidth="1"/>
    <col min="10" max="10" width="12" style="42" customWidth="1"/>
    <col min="11" max="11" width="8.28515625" style="42" customWidth="1"/>
    <col min="12" max="13" width="9.140625" style="42"/>
    <col min="14" max="14" width="9.28515625" style="42" bestFit="1" customWidth="1"/>
    <col min="15" max="15" width="10.28515625" style="42" bestFit="1" customWidth="1"/>
    <col min="16" max="16" width="9.28515625" style="42" bestFit="1" customWidth="1"/>
    <col min="17" max="16384" width="9.140625" style="42"/>
  </cols>
  <sheetData>
    <row r="1" spans="1:12" ht="15.75" x14ac:dyDescent="0.25">
      <c r="A1" s="186" t="s">
        <v>392</v>
      </c>
      <c r="B1" s="187"/>
      <c r="C1" s="187"/>
      <c r="D1" s="187"/>
      <c r="E1" s="187"/>
      <c r="F1" s="188"/>
      <c r="G1" s="188"/>
      <c r="H1" s="188"/>
      <c r="I1" s="188"/>
      <c r="J1" s="188"/>
      <c r="K1" s="188"/>
      <c r="L1" s="188"/>
    </row>
    <row r="2" spans="1:12" s="75" customFormat="1" ht="50.25" customHeight="1" x14ac:dyDescent="0.2">
      <c r="A2" s="75" t="s">
        <v>78</v>
      </c>
      <c r="B2" s="75" t="s">
        <v>383</v>
      </c>
      <c r="C2" s="75" t="s">
        <v>180</v>
      </c>
    </row>
    <row r="3" spans="1:12" x14ac:dyDescent="0.2">
      <c r="A3" s="42" t="s">
        <v>100</v>
      </c>
      <c r="J3" s="235"/>
    </row>
    <row r="4" spans="1:12" x14ac:dyDescent="0.2">
      <c r="A4" s="42" t="s">
        <v>101</v>
      </c>
      <c r="B4" s="57">
        <v>225</v>
      </c>
      <c r="C4" s="57">
        <f>luna!S32</f>
        <v>207.81</v>
      </c>
      <c r="D4" s="57"/>
      <c r="E4" s="57"/>
      <c r="G4" s="236"/>
      <c r="J4" s="236"/>
    </row>
    <row r="5" spans="1:12" x14ac:dyDescent="0.2">
      <c r="A5" s="42" t="s">
        <v>102</v>
      </c>
      <c r="B5" s="57">
        <v>316</v>
      </c>
      <c r="C5" s="57">
        <f>apachearagon!S31</f>
        <v>162.07</v>
      </c>
      <c r="D5" s="57"/>
      <c r="E5" s="57"/>
      <c r="G5" s="235"/>
    </row>
    <row r="6" spans="1:12" x14ac:dyDescent="0.2">
      <c r="A6" s="42" t="s">
        <v>103</v>
      </c>
      <c r="B6" s="57">
        <v>725</v>
      </c>
      <c r="C6" s="57">
        <f>reserve!S32</f>
        <v>350.24000000000007</v>
      </c>
      <c r="D6" s="57"/>
      <c r="E6" s="57"/>
    </row>
    <row r="7" spans="1:12" x14ac:dyDescent="0.2">
      <c r="A7" s="42" t="s">
        <v>250</v>
      </c>
      <c r="B7" s="57">
        <v>1003</v>
      </c>
      <c r="C7" s="57">
        <f>glenwood!S32</f>
        <v>731.35</v>
      </c>
      <c r="D7" s="57"/>
      <c r="E7" s="57"/>
    </row>
    <row r="8" spans="1:12" x14ac:dyDescent="0.2">
      <c r="A8" s="42" t="s">
        <v>105</v>
      </c>
      <c r="B8" s="57">
        <f>SUM(B4:B7)</f>
        <v>2269</v>
      </c>
      <c r="C8" s="57">
        <f>SUM(C4:C7)</f>
        <v>1451.4700000000003</v>
      </c>
      <c r="D8" s="57"/>
      <c r="E8" s="225"/>
    </row>
    <row r="9" spans="1:12" x14ac:dyDescent="0.2">
      <c r="B9" s="57"/>
      <c r="C9" s="57"/>
      <c r="D9" s="57"/>
      <c r="E9" s="57"/>
    </row>
    <row r="10" spans="1:12" x14ac:dyDescent="0.2">
      <c r="A10" s="42" t="s">
        <v>106</v>
      </c>
      <c r="B10" s="57"/>
      <c r="C10" s="57"/>
      <c r="D10" s="57"/>
      <c r="E10" s="57"/>
    </row>
    <row r="11" spans="1:12" x14ac:dyDescent="0.2">
      <c r="A11" s="42" t="s">
        <v>107</v>
      </c>
      <c r="B11" s="57"/>
      <c r="C11" s="57"/>
      <c r="D11" s="57"/>
      <c r="E11" s="57"/>
    </row>
    <row r="12" spans="1:12" x14ac:dyDescent="0.2">
      <c r="A12" s="42" t="s">
        <v>108</v>
      </c>
      <c r="B12" s="57">
        <v>287</v>
      </c>
      <c r="C12" s="57">
        <f>uppergila!S31</f>
        <v>84.54</v>
      </c>
      <c r="D12" s="57"/>
      <c r="E12" s="57"/>
    </row>
    <row r="13" spans="1:12" x14ac:dyDescent="0.2">
      <c r="A13" s="42" t="s">
        <v>109</v>
      </c>
      <c r="B13" s="57">
        <v>5314</v>
      </c>
      <c r="C13" s="57">
        <f>cliffgila!S32</f>
        <v>2130.2700000000004</v>
      </c>
      <c r="D13" s="57"/>
      <c r="E13" s="57"/>
    </row>
    <row r="14" spans="1:12" x14ac:dyDescent="0.2">
      <c r="A14" s="42" t="s">
        <v>110</v>
      </c>
      <c r="B14" s="57">
        <v>1456</v>
      </c>
      <c r="C14" s="57">
        <f>redrock!V31</f>
        <v>116.2</v>
      </c>
      <c r="D14" s="57"/>
      <c r="E14" s="57"/>
    </row>
    <row r="15" spans="1:12" x14ac:dyDescent="0.2">
      <c r="A15" s="42" t="s">
        <v>105</v>
      </c>
      <c r="B15" s="57">
        <f>SUM(B12:B14)</f>
        <v>7057</v>
      </c>
      <c r="C15" s="57">
        <f>SUM(C12:C14)</f>
        <v>2331.0100000000002</v>
      </c>
      <c r="D15" s="57"/>
      <c r="E15" s="57"/>
    </row>
    <row r="16" spans="1:12" x14ac:dyDescent="0.2">
      <c r="B16" s="57"/>
      <c r="C16" s="57"/>
      <c r="D16" s="57"/>
      <c r="E16" s="57"/>
    </row>
    <row r="17" spans="1:13" x14ac:dyDescent="0.2">
      <c r="A17" s="42" t="s">
        <v>111</v>
      </c>
      <c r="B17" s="57"/>
      <c r="C17" s="57"/>
      <c r="D17" s="57"/>
      <c r="E17" s="57"/>
    </row>
    <row r="18" spans="1:13" x14ac:dyDescent="0.2">
      <c r="A18" s="42" t="s">
        <v>112</v>
      </c>
      <c r="B18" s="57">
        <v>381</v>
      </c>
      <c r="C18" s="57">
        <f>virden!S31</f>
        <v>59.7</v>
      </c>
      <c r="D18" s="57"/>
      <c r="E18" s="57"/>
    </row>
    <row r="19" spans="1:13" x14ac:dyDescent="0.2">
      <c r="B19" s="57"/>
      <c r="C19" s="57"/>
      <c r="D19" s="57"/>
      <c r="E19" s="57"/>
    </row>
    <row r="20" spans="1:13" x14ac:dyDescent="0.2">
      <c r="A20" s="42" t="s">
        <v>85</v>
      </c>
      <c r="B20" s="57"/>
      <c r="C20" s="57"/>
      <c r="D20" s="57"/>
      <c r="E20" s="57"/>
    </row>
    <row r="21" spans="1:13" x14ac:dyDescent="0.2">
      <c r="A21" s="42" t="s">
        <v>113</v>
      </c>
      <c r="B21" s="57">
        <v>2900</v>
      </c>
      <c r="C21" s="57">
        <f>sansimon!S31</f>
        <v>754.54000000000008</v>
      </c>
      <c r="D21" s="57"/>
      <c r="E21" s="57"/>
    </row>
    <row r="22" spans="1:13" x14ac:dyDescent="0.2">
      <c r="I22" s="271"/>
    </row>
    <row r="25" spans="1:13" ht="15.75" x14ac:dyDescent="0.25">
      <c r="A25" s="189" t="s">
        <v>393</v>
      </c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/>
    </row>
    <row r="26" spans="1:13" x14ac:dyDescent="0.2">
      <c r="A26" s="158"/>
      <c r="B26" s="337" t="s">
        <v>326</v>
      </c>
      <c r="C26" s="338"/>
      <c r="D26" s="338"/>
      <c r="H26" s="2"/>
      <c r="I26" s="2"/>
      <c r="J26" s="2"/>
      <c r="K26" s="2"/>
      <c r="L26" s="2"/>
      <c r="M26" s="2"/>
    </row>
    <row r="27" spans="1:13" ht="38.25" x14ac:dyDescent="0.2">
      <c r="A27" s="74" t="s">
        <v>78</v>
      </c>
      <c r="B27" s="74" t="s">
        <v>141</v>
      </c>
      <c r="C27" s="74" t="s">
        <v>122</v>
      </c>
      <c r="D27" s="74" t="s">
        <v>153</v>
      </c>
      <c r="E27" s="74" t="s">
        <v>328</v>
      </c>
      <c r="F27" s="74" t="s">
        <v>123</v>
      </c>
      <c r="G27" s="74" t="s">
        <v>124</v>
      </c>
      <c r="H27" s="342" t="s">
        <v>114</v>
      </c>
      <c r="I27" s="74" t="s">
        <v>125</v>
      </c>
      <c r="J27" s="74" t="s">
        <v>248</v>
      </c>
      <c r="K27" s="74" t="s">
        <v>321</v>
      </c>
      <c r="L27" s="74" t="s">
        <v>322</v>
      </c>
      <c r="M27" s="341" t="s">
        <v>325</v>
      </c>
    </row>
    <row r="28" spans="1:13" x14ac:dyDescent="0.2">
      <c r="A28" s="42" t="s">
        <v>100</v>
      </c>
      <c r="M28" s="341"/>
    </row>
    <row r="29" spans="1:13" x14ac:dyDescent="0.2">
      <c r="A29" s="42" t="s">
        <v>101</v>
      </c>
      <c r="B29" s="42">
        <f>G29-H29+I29</f>
        <v>267.6486458756076</v>
      </c>
      <c r="F29" s="42">
        <f>luna!S32</f>
        <v>207.81</v>
      </c>
      <c r="G29" s="42">
        <f>luna!T32</f>
        <v>322.34222500000004</v>
      </c>
      <c r="H29" s="42">
        <f>luna!U32</f>
        <v>76.388383294902212</v>
      </c>
      <c r="I29" s="42">
        <f>luna!W32</f>
        <v>21.694804170509787</v>
      </c>
      <c r="M29" s="341"/>
    </row>
    <row r="30" spans="1:13" x14ac:dyDescent="0.2">
      <c r="A30" s="42" t="s">
        <v>102</v>
      </c>
      <c r="B30" s="42">
        <f>G30-H30+I30</f>
        <v>22.874741000000011</v>
      </c>
      <c r="F30" s="42">
        <f>apachearagon!S31</f>
        <v>162.07</v>
      </c>
      <c r="G30" s="42">
        <f>apachearagon!T31</f>
        <v>253.71972500000004</v>
      </c>
      <c r="H30" s="42">
        <f>apachearagon!U31</f>
        <v>231.29350833333336</v>
      </c>
      <c r="I30" s="42">
        <f>apachearagon!W31</f>
        <v>0.44852433333333408</v>
      </c>
      <c r="M30" s="341"/>
    </row>
    <row r="31" spans="1:13" x14ac:dyDescent="0.2">
      <c r="A31" s="42" t="s">
        <v>103</v>
      </c>
      <c r="B31" s="42">
        <f>G31-H31+I31</f>
        <v>277.86027727020564</v>
      </c>
      <c r="F31" s="42">
        <f>reserve!S32</f>
        <v>350.24000000000007</v>
      </c>
      <c r="G31" s="42">
        <f>reserve!T32</f>
        <v>598.53273333333323</v>
      </c>
      <c r="H31" s="42">
        <f>reserve!U32</f>
        <v>342.29065339072207</v>
      </c>
      <c r="I31" s="42">
        <f>reserve!W32</f>
        <v>21.618197327594459</v>
      </c>
      <c r="M31" s="341"/>
    </row>
    <row r="32" spans="1:13" x14ac:dyDescent="0.2">
      <c r="A32" s="42" t="s">
        <v>250</v>
      </c>
      <c r="B32" s="42">
        <f>G32-H32+I32</f>
        <v>1332.8618971640285</v>
      </c>
      <c r="F32" s="42">
        <f>glenwood!S32</f>
        <v>731.35</v>
      </c>
      <c r="G32" s="42">
        <f>glenwood!T32</f>
        <v>1683.3426750000001</v>
      </c>
      <c r="H32" s="42">
        <f>glenwood!U32</f>
        <v>458.69335636603478</v>
      </c>
      <c r="I32" s="42">
        <f>glenwood!W32</f>
        <v>108.2125785300632</v>
      </c>
      <c r="M32" s="341"/>
    </row>
    <row r="33" spans="1:17" x14ac:dyDescent="0.2">
      <c r="A33" s="42" t="s">
        <v>105</v>
      </c>
      <c r="B33" s="42">
        <f>G33-H33+I33</f>
        <v>1901.2455613098421</v>
      </c>
      <c r="C33" s="57">
        <f>'stock-dom-com-ind-evap'!H120+'stock-dom-com-ind-evap'!H124</f>
        <v>423.43659500000001</v>
      </c>
      <c r="D33" s="57">
        <f>'stock-dom-com-ind-evap'!E52</f>
        <v>153.95279744423064</v>
      </c>
      <c r="E33" s="57">
        <f>'stock-dom-com-ind-evap'!D61</f>
        <v>65.3</v>
      </c>
      <c r="F33" s="57">
        <f>SUM(F29:F32)</f>
        <v>1451.4700000000003</v>
      </c>
      <c r="G33" s="57">
        <f>SUM(G29:G32)</f>
        <v>2857.9373583333336</v>
      </c>
      <c r="H33" s="57">
        <f>SUM(H29:H32)</f>
        <v>1108.6659013849924</v>
      </c>
      <c r="I33" s="57">
        <f>SUM(I29:I32)</f>
        <v>151.97410436150079</v>
      </c>
      <c r="J33" s="57">
        <v>0</v>
      </c>
      <c r="K33" s="57">
        <f>B33+C33+D33+E33+J33</f>
        <v>2543.9349537540729</v>
      </c>
      <c r="L33" s="57">
        <v>4112</v>
      </c>
      <c r="M33" s="341"/>
    </row>
    <row r="34" spans="1:17" x14ac:dyDescent="0.2"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341"/>
    </row>
    <row r="35" spans="1:17" x14ac:dyDescent="0.2">
      <c r="A35" s="42" t="s">
        <v>106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341"/>
    </row>
    <row r="36" spans="1:17" x14ac:dyDescent="0.2">
      <c r="A36" s="42" t="s">
        <v>161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341"/>
    </row>
    <row r="37" spans="1:17" x14ac:dyDescent="0.2">
      <c r="A37" s="42" t="s">
        <v>108</v>
      </c>
      <c r="B37" s="42">
        <f>G37-H37+I37</f>
        <v>169.44650600000003</v>
      </c>
      <c r="C37" s="57"/>
      <c r="D37" s="57"/>
      <c r="E37" s="57"/>
      <c r="F37" s="57">
        <f>uppergila!S31</f>
        <v>84.54</v>
      </c>
      <c r="G37" s="57">
        <f>uppergila!T31</f>
        <v>158.52030000000002</v>
      </c>
      <c r="H37" s="57">
        <f>uppergila!U31</f>
        <v>0</v>
      </c>
      <c r="I37" s="57">
        <f>uppergila!W31</f>
        <v>10.926206000000002</v>
      </c>
      <c r="J37" s="57"/>
      <c r="K37" s="57"/>
      <c r="L37" s="57"/>
      <c r="M37" s="341"/>
      <c r="Q37" s="42" t="s">
        <v>255</v>
      </c>
    </row>
    <row r="38" spans="1:17" x14ac:dyDescent="0.2">
      <c r="A38" s="42" t="s">
        <v>109</v>
      </c>
      <c r="B38" s="42">
        <f>G38-H38+I38</f>
        <v>5511.0072396666683</v>
      </c>
      <c r="C38" s="57"/>
      <c r="D38" s="57"/>
      <c r="E38" s="57"/>
      <c r="F38" s="57">
        <f>cliffgila!S32</f>
        <v>2130.2700000000004</v>
      </c>
      <c r="G38" s="57">
        <f>cliffgila!T32</f>
        <v>5037.8991500000011</v>
      </c>
      <c r="H38" s="57">
        <f>cliffgila!U32</f>
        <v>0</v>
      </c>
      <c r="I38" s="57">
        <f>cliffgila!W32</f>
        <v>473.10808966666679</v>
      </c>
      <c r="J38" s="57"/>
      <c r="K38" s="57"/>
      <c r="L38" s="57"/>
      <c r="M38" s="341"/>
    </row>
    <row r="39" spans="1:17" x14ac:dyDescent="0.2">
      <c r="A39" s="42" t="s">
        <v>110</v>
      </c>
      <c r="B39" s="42">
        <f>G39-H39+I39</f>
        <v>227.20886184523329</v>
      </c>
      <c r="C39" s="57"/>
      <c r="D39" s="57"/>
      <c r="E39" s="57"/>
      <c r="F39" s="57">
        <f>redrock!V31</f>
        <v>116.2</v>
      </c>
      <c r="G39" s="57">
        <f>redrock!W31</f>
        <v>337.17366666666663</v>
      </c>
      <c r="H39" s="57">
        <f>redrock!X31</f>
        <v>130.63809347403031</v>
      </c>
      <c r="I39" s="57">
        <f>redrock!Z31</f>
        <v>20.673288652596966</v>
      </c>
      <c r="J39" s="57"/>
      <c r="K39" s="57"/>
      <c r="L39" s="57"/>
      <c r="M39" s="341"/>
    </row>
    <row r="40" spans="1:17" x14ac:dyDescent="0.2">
      <c r="A40" s="42" t="s">
        <v>323</v>
      </c>
      <c r="B40" s="42">
        <f>G40-H40+I40</f>
        <v>5907.6626075119011</v>
      </c>
      <c r="C40" s="57">
        <f>'stock-dom-com-ind-evap'!H139</f>
        <v>1153.851625</v>
      </c>
      <c r="D40" s="57">
        <f>'stock-dom-com-ind-evap'!E28</f>
        <v>157.45481523763928</v>
      </c>
      <c r="E40" s="57">
        <f>'stock-dom-com-ind-evap'!D66</f>
        <v>6449.2866666666669</v>
      </c>
      <c r="F40" s="57">
        <f>SUM(F37:F39)</f>
        <v>2331.0100000000002</v>
      </c>
      <c r="G40" s="57">
        <f>SUM(G37:G39)</f>
        <v>5533.5931166666678</v>
      </c>
      <c r="H40" s="57">
        <f>SUM(H37:H39)</f>
        <v>130.63809347403031</v>
      </c>
      <c r="I40" s="57">
        <f>SUM(I37:I39)</f>
        <v>504.70758431926373</v>
      </c>
      <c r="J40" s="57">
        <f>'stock-dom-com-ind-evap'!F91</f>
        <v>561.92479166666669</v>
      </c>
      <c r="K40" s="57">
        <f>B40+C40+D40+E40+J40</f>
        <v>14230.180506082874</v>
      </c>
      <c r="L40" s="57">
        <v>15895</v>
      </c>
      <c r="M40" s="341"/>
    </row>
    <row r="41" spans="1:17" x14ac:dyDescent="0.2"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341"/>
    </row>
    <row r="42" spans="1:17" x14ac:dyDescent="0.2">
      <c r="A42" s="42" t="s">
        <v>111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341"/>
    </row>
    <row r="43" spans="1:17" x14ac:dyDescent="0.2">
      <c r="A43" s="42" t="s">
        <v>112</v>
      </c>
      <c r="B43" s="42">
        <f>G43-H43+I43</f>
        <v>180.27004733333334</v>
      </c>
      <c r="C43" s="57">
        <f>'stock-dom-com-ind-evap'!H143</f>
        <v>29.924675000000001</v>
      </c>
      <c r="D43" s="57">
        <f>'stock-dom-com-ind-evap'!E34</f>
        <v>14.759015623705313</v>
      </c>
      <c r="E43" s="57">
        <f>'stock-dom-com-ind-evap'!D70</f>
        <v>9.25</v>
      </c>
      <c r="F43" s="57">
        <f>virden!S31</f>
        <v>59.7</v>
      </c>
      <c r="G43" s="57">
        <f>virden!T31</f>
        <v>168.85150000000002</v>
      </c>
      <c r="H43" s="57">
        <f>virden!U31</f>
        <v>0</v>
      </c>
      <c r="I43" s="57">
        <f>virden!W31</f>
        <v>11.418547333333334</v>
      </c>
      <c r="J43" s="57">
        <v>0</v>
      </c>
      <c r="K43" s="57">
        <f>B43+C43+D43+E43+J43</f>
        <v>234.20373795703867</v>
      </c>
      <c r="L43" s="57">
        <f>838.2+265</f>
        <v>1103.2</v>
      </c>
      <c r="M43" s="341"/>
    </row>
    <row r="44" spans="1:17" x14ac:dyDescent="0.2"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341"/>
    </row>
    <row r="45" spans="1:17" x14ac:dyDescent="0.2">
      <c r="A45" s="42" t="s">
        <v>85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341"/>
    </row>
    <row r="46" spans="1:17" x14ac:dyDescent="0.2">
      <c r="A46" s="42" t="s">
        <v>113</v>
      </c>
      <c r="B46" s="42">
        <f>G46-H46+I46</f>
        <v>933.97364166666671</v>
      </c>
      <c r="C46" s="57">
        <f>'stock-dom-com-ind-evap'!H147</f>
        <v>128.21536</v>
      </c>
      <c r="D46" s="57">
        <f>'stock-dom-com-ind-evap'!E39</f>
        <v>17.218851560989535</v>
      </c>
      <c r="E46" s="57">
        <f>'stock-dom-com-ind-evap'!D68</f>
        <v>9.27</v>
      </c>
      <c r="F46" s="57">
        <f>sansimon!S31</f>
        <v>754.54000000000008</v>
      </c>
      <c r="G46" s="57">
        <f>sansimon!T31</f>
        <v>933.97364166666671</v>
      </c>
      <c r="H46" s="57">
        <f>sansimon!U31</f>
        <v>0</v>
      </c>
      <c r="I46" s="57">
        <f>sansimon!W31</f>
        <v>0</v>
      </c>
      <c r="J46" s="57">
        <v>0</v>
      </c>
      <c r="K46" s="57">
        <f>B46+C46+D46+E46+J46</f>
        <v>1088.6778532276562</v>
      </c>
      <c r="L46" s="57">
        <v>8220</v>
      </c>
      <c r="M46" s="341"/>
    </row>
    <row r="47" spans="1:17" x14ac:dyDescent="0.2">
      <c r="A4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341"/>
    </row>
    <row r="48" spans="1:17" x14ac:dyDescent="0.2">
      <c r="A48" s="201" t="s">
        <v>324</v>
      </c>
      <c r="B48" s="57">
        <f>Freeport!B22</f>
        <v>5683.01</v>
      </c>
      <c r="C48" s="339" t="s">
        <v>391</v>
      </c>
      <c r="D48" s="340"/>
      <c r="E48" s="340"/>
      <c r="F48" s="340"/>
      <c r="G48" s="340"/>
      <c r="H48" s="340"/>
      <c r="I48" s="340"/>
      <c r="J48" s="340"/>
      <c r="K48" s="340"/>
      <c r="L48" s="340"/>
    </row>
    <row r="49" spans="1:16" x14ac:dyDescent="0.2">
      <c r="B49" s="57"/>
      <c r="C49" s="340"/>
      <c r="D49" s="340"/>
      <c r="E49" s="340"/>
      <c r="F49" s="340"/>
      <c r="G49" s="340"/>
      <c r="H49" s="340"/>
      <c r="I49" s="340"/>
      <c r="J49" s="340"/>
      <c r="K49" s="340"/>
      <c r="L49" s="340"/>
    </row>
    <row r="50" spans="1:16" x14ac:dyDescent="0.2">
      <c r="C50" s="57"/>
    </row>
    <row r="51" spans="1:16" ht="15.75" x14ac:dyDescent="0.25">
      <c r="A51" s="189" t="s">
        <v>390</v>
      </c>
      <c r="B51" s="191"/>
      <c r="C51" s="191"/>
      <c r="D51" s="191"/>
      <c r="E51" s="191"/>
      <c r="F51" s="191"/>
      <c r="G51" s="191"/>
      <c r="H51" s="191"/>
      <c r="I51" s="188"/>
      <c r="J51" s="188"/>
      <c r="K51" s="188"/>
      <c r="L51" s="188"/>
    </row>
    <row r="52" spans="1:16" x14ac:dyDescent="0.2">
      <c r="A52" s="69"/>
      <c r="B52" s="69"/>
      <c r="C52" s="69"/>
      <c r="D52" s="69"/>
      <c r="E52"/>
      <c r="F52"/>
      <c r="G52"/>
      <c r="H52"/>
    </row>
    <row r="53" spans="1:16" x14ac:dyDescent="0.2">
      <c r="A53" s="2"/>
      <c r="B53" s="304" t="s">
        <v>128</v>
      </c>
      <c r="C53" s="304"/>
      <c r="D53" s="304"/>
      <c r="E53"/>
      <c r="F53"/>
      <c r="G53"/>
      <c r="H53"/>
    </row>
    <row r="54" spans="1:16" ht="39" customHeight="1" x14ac:dyDescent="0.2">
      <c r="A54" s="73" t="s">
        <v>126</v>
      </c>
      <c r="B54" s="73" t="s">
        <v>134</v>
      </c>
      <c r="C54" s="73" t="s">
        <v>284</v>
      </c>
      <c r="D54" s="73" t="s">
        <v>269</v>
      </c>
      <c r="E54" s="45"/>
      <c r="F54" s="45"/>
      <c r="G54" s="45"/>
      <c r="H54" s="45"/>
    </row>
    <row r="55" spans="1:16" x14ac:dyDescent="0.2">
      <c r="A55" s="2">
        <v>2016</v>
      </c>
      <c r="B55" s="267">
        <v>2461</v>
      </c>
      <c r="C55" s="267">
        <v>11286</v>
      </c>
      <c r="D55" s="267">
        <v>1170</v>
      </c>
      <c r="E55"/>
      <c r="F55"/>
      <c r="G55" s="269"/>
      <c r="H55" s="269"/>
      <c r="I55" s="269"/>
      <c r="J55" s="294"/>
      <c r="K55" s="294"/>
      <c r="L55" s="294"/>
      <c r="N55" s="269"/>
      <c r="O55" s="269"/>
      <c r="P55" s="269"/>
    </row>
    <row r="56" spans="1:16" x14ac:dyDescent="0.2">
      <c r="A56" s="2">
        <v>2017</v>
      </c>
      <c r="B56" s="267">
        <v>2843</v>
      </c>
      <c r="C56" s="267">
        <v>11932</v>
      </c>
      <c r="D56" s="267">
        <v>2179</v>
      </c>
      <c r="E56"/>
      <c r="F56"/>
      <c r="G56" s="269"/>
      <c r="H56" s="269"/>
      <c r="I56" s="269"/>
      <c r="J56" s="294"/>
      <c r="K56" s="294"/>
      <c r="L56" s="294"/>
      <c r="N56" s="269"/>
      <c r="O56" s="269"/>
      <c r="P56" s="269"/>
    </row>
    <row r="57" spans="1:16" x14ac:dyDescent="0.2">
      <c r="A57" s="2">
        <v>2018</v>
      </c>
      <c r="B57" s="267">
        <v>2309</v>
      </c>
      <c r="C57" s="267">
        <v>12446</v>
      </c>
      <c r="D57" s="267">
        <v>2606</v>
      </c>
      <c r="E57"/>
      <c r="F57"/>
      <c r="G57" s="269"/>
      <c r="H57" s="269"/>
      <c r="I57" s="269"/>
      <c r="J57" s="294"/>
      <c r="K57" s="294"/>
      <c r="L57" s="294"/>
      <c r="N57" s="269"/>
      <c r="O57" s="269"/>
      <c r="P57" s="269"/>
    </row>
    <row r="58" spans="1:16" x14ac:dyDescent="0.2">
      <c r="A58" s="2">
        <v>2019</v>
      </c>
      <c r="B58" s="267">
        <v>2608</v>
      </c>
      <c r="C58" s="267">
        <v>12716</v>
      </c>
      <c r="D58" s="267">
        <v>817</v>
      </c>
      <c r="E58"/>
      <c r="F58"/>
      <c r="G58" s="269"/>
      <c r="H58" s="269"/>
      <c r="I58" s="269"/>
      <c r="J58" s="294"/>
      <c r="K58" s="294"/>
      <c r="L58" s="294"/>
      <c r="N58" s="269"/>
      <c r="O58" s="269"/>
      <c r="P58" s="269"/>
    </row>
    <row r="59" spans="1:16" x14ac:dyDescent="0.2">
      <c r="A59" s="2">
        <v>2020</v>
      </c>
      <c r="B59" s="267">
        <v>3268</v>
      </c>
      <c r="C59" s="267">
        <v>11032</v>
      </c>
      <c r="D59" s="267">
        <v>1523</v>
      </c>
      <c r="E59"/>
      <c r="F59"/>
      <c r="G59" s="269"/>
      <c r="H59" s="269"/>
      <c r="I59" s="269"/>
      <c r="J59" s="295"/>
      <c r="K59" s="295"/>
      <c r="L59" s="295"/>
      <c r="N59" s="269"/>
      <c r="O59" s="269"/>
      <c r="P59" s="269"/>
    </row>
    <row r="60" spans="1:16" x14ac:dyDescent="0.2">
      <c r="A60" s="2">
        <v>2021</v>
      </c>
      <c r="B60" s="267">
        <v>2599</v>
      </c>
      <c r="C60" s="267">
        <v>10938</v>
      </c>
      <c r="D60" s="267">
        <v>1196</v>
      </c>
      <c r="E60"/>
      <c r="F60"/>
      <c r="G60" s="269"/>
      <c r="H60" s="269"/>
      <c r="I60" s="269"/>
      <c r="J60" s="295"/>
      <c r="K60" s="295"/>
      <c r="L60" s="295"/>
      <c r="N60" s="269"/>
      <c r="O60" s="269"/>
      <c r="P60" s="269"/>
    </row>
    <row r="61" spans="1:16" x14ac:dyDescent="0.2">
      <c r="A61" s="2">
        <v>2022</v>
      </c>
      <c r="B61" s="267">
        <v>1877</v>
      </c>
      <c r="C61" s="267">
        <v>10577</v>
      </c>
      <c r="D61" s="267">
        <v>807</v>
      </c>
      <c r="E61"/>
      <c r="F61"/>
      <c r="G61" s="269"/>
      <c r="H61" s="269"/>
      <c r="I61" s="269"/>
      <c r="J61" s="293"/>
      <c r="K61" s="293"/>
      <c r="L61" s="293"/>
      <c r="N61" s="269"/>
      <c r="O61" s="269"/>
      <c r="P61" s="269"/>
    </row>
    <row r="62" spans="1:16" x14ac:dyDescent="0.2">
      <c r="A62" s="2">
        <v>2023</v>
      </c>
      <c r="B62" s="267">
        <v>3060</v>
      </c>
      <c r="C62" s="267">
        <v>14305</v>
      </c>
      <c r="D62" s="267">
        <v>1129</v>
      </c>
      <c r="E62"/>
      <c r="F62"/>
      <c r="G62"/>
      <c r="H62" s="2"/>
      <c r="J62" s="293"/>
      <c r="K62" s="293"/>
      <c r="L62" s="293"/>
      <c r="N62" s="269"/>
      <c r="O62" s="269"/>
      <c r="P62" s="269"/>
    </row>
    <row r="63" spans="1:16" x14ac:dyDescent="0.2">
      <c r="A63" s="2">
        <v>2024</v>
      </c>
      <c r="B63" s="267">
        <v>2546.3322856634422</v>
      </c>
      <c r="C63" s="267">
        <v>14233.018278561705</v>
      </c>
      <c r="D63" s="267">
        <v>1088.6778532276562</v>
      </c>
      <c r="E63"/>
      <c r="F63"/>
      <c r="G63"/>
      <c r="H63" s="2"/>
      <c r="J63" s="292"/>
      <c r="K63" s="292"/>
      <c r="L63" s="292"/>
      <c r="N63" s="269"/>
      <c r="O63" s="269"/>
      <c r="P63" s="269"/>
    </row>
    <row r="64" spans="1:16" x14ac:dyDescent="0.2">
      <c r="A64" s="2">
        <v>2025</v>
      </c>
      <c r="B64" s="268">
        <f>+K33</f>
        <v>2543.9349537540729</v>
      </c>
      <c r="C64" s="268">
        <f>+K40</f>
        <v>14230.180506082874</v>
      </c>
      <c r="D64" s="268">
        <f>+K46</f>
        <v>1088.6778532276562</v>
      </c>
      <c r="E64"/>
      <c r="F64"/>
      <c r="G64"/>
      <c r="H64" s="57"/>
      <c r="I64" s="57"/>
      <c r="J64" s="57"/>
    </row>
    <row r="65" spans="1:12" x14ac:dyDescent="0.2">
      <c r="A65" s="2"/>
      <c r="B65" s="269"/>
      <c r="C65" s="269"/>
      <c r="D65" s="269"/>
      <c r="E65"/>
      <c r="F65"/>
      <c r="G65"/>
      <c r="H65" s="57"/>
      <c r="I65" s="57"/>
      <c r="J65" s="57"/>
    </row>
    <row r="66" spans="1:12" x14ac:dyDescent="0.2">
      <c r="A66" s="45" t="s">
        <v>318</v>
      </c>
      <c r="B66" s="58">
        <f>SUM(B55:B64)</f>
        <v>26115.267239417513</v>
      </c>
      <c r="C66" s="58">
        <f>SUM(C55:C64)</f>
        <v>123695.19878464458</v>
      </c>
      <c r="D66" s="58">
        <f>SUM(D55:D64)</f>
        <v>13604.355706455313</v>
      </c>
      <c r="E66"/>
      <c r="F66"/>
      <c r="G66"/>
      <c r="H66" s="57"/>
      <c r="I66" s="57"/>
      <c r="J66" s="57"/>
    </row>
    <row r="67" spans="1:12" ht="25.5" x14ac:dyDescent="0.2">
      <c r="A67" s="45" t="s">
        <v>319</v>
      </c>
      <c r="B67" s="58">
        <v>31870</v>
      </c>
      <c r="C67" s="58">
        <v>136620</v>
      </c>
      <c r="D67" s="58">
        <v>72000</v>
      </c>
      <c r="E67" s="41"/>
      <c r="F67" s="41"/>
      <c r="G67" s="41"/>
      <c r="H67" s="41"/>
    </row>
    <row r="68" spans="1:12" x14ac:dyDescent="0.2">
      <c r="E68" s="41"/>
      <c r="F68" s="41"/>
      <c r="G68" s="41"/>
      <c r="H68" s="41"/>
    </row>
    <row r="70" spans="1:12" ht="15.75" x14ac:dyDescent="0.25">
      <c r="A70" s="189" t="s">
        <v>394</v>
      </c>
      <c r="B70" s="191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1:12" x14ac:dyDescent="0.2">
      <c r="A71" s="69"/>
      <c r="B71" s="37"/>
    </row>
    <row r="72" spans="1:12" x14ac:dyDescent="0.2">
      <c r="A72" s="131" t="s">
        <v>78</v>
      </c>
      <c r="B72" s="131" t="s">
        <v>144</v>
      </c>
    </row>
    <row r="73" spans="1:12" x14ac:dyDescent="0.2">
      <c r="A73"/>
      <c r="B73" s="37"/>
    </row>
    <row r="74" spans="1:12" x14ac:dyDescent="0.2">
      <c r="A74" t="s">
        <v>18</v>
      </c>
      <c r="B74" s="52">
        <f>Diversions!F28</f>
        <v>13822.122263799516</v>
      </c>
    </row>
    <row r="75" spans="1:12" x14ac:dyDescent="0.2">
      <c r="A75" t="s">
        <v>127</v>
      </c>
      <c r="B75" s="52">
        <f>Diversions!F45</f>
        <v>41016.638536168328</v>
      </c>
    </row>
    <row r="76" spans="1:12" x14ac:dyDescent="0.2">
      <c r="A76" t="s">
        <v>152</v>
      </c>
      <c r="B76" s="52">
        <f>Diversions!F52</f>
        <v>142.7409696969697</v>
      </c>
    </row>
    <row r="77" spans="1:12" x14ac:dyDescent="0.2">
      <c r="A77" t="s">
        <v>44</v>
      </c>
      <c r="B77" s="52">
        <f>Diversions!F58</f>
        <v>3570.4555606060608</v>
      </c>
    </row>
  </sheetData>
  <sheetProtection formatColumns="0"/>
  <mergeCells count="4">
    <mergeCell ref="B26:D26"/>
    <mergeCell ref="C48:L49"/>
    <mergeCell ref="B53:D53"/>
    <mergeCell ref="M27:M47"/>
  </mergeCells>
  <phoneticPr fontId="0" type="noConversion"/>
  <printOptions horizontalCentered="1" gridLines="1"/>
  <pageMargins left="0.67" right="0.42" top="0.75" bottom="0.75" header="0.5" footer="0.5"/>
  <pageSetup scale="91" fitToHeight="0" orientation="portrait" r:id="rId1"/>
  <headerFooter alignWithMargins="0"/>
  <rowBreaks count="1" manualBreakCount="1">
    <brk id="50" max="1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2"/>
  <sheetViews>
    <sheetView zoomScaleNormal="100" zoomScaleSheetLayoutView="75" workbookViewId="0">
      <selection activeCell="M41" sqref="M41"/>
    </sheetView>
  </sheetViews>
  <sheetFormatPr defaultRowHeight="12.75" x14ac:dyDescent="0.2"/>
  <cols>
    <col min="1" max="1" width="29.7109375" customWidth="1"/>
    <col min="2" max="2" width="10.7109375" customWidth="1"/>
    <col min="4" max="4" width="11.28515625" style="46" customWidth="1"/>
    <col min="5" max="5" width="11.140625" customWidth="1"/>
    <col min="8" max="8" width="10" customWidth="1"/>
    <col min="10" max="10" width="9.140625" style="46" customWidth="1"/>
  </cols>
  <sheetData>
    <row r="1" spans="1:10" s="30" customFormat="1" ht="15.75" x14ac:dyDescent="0.25">
      <c r="A1" s="195" t="s">
        <v>385</v>
      </c>
      <c r="B1" s="196"/>
      <c r="C1" s="196"/>
      <c r="D1" s="196"/>
      <c r="E1" s="196"/>
      <c r="F1" s="196"/>
      <c r="G1" s="196"/>
      <c r="H1" s="196"/>
      <c r="J1" s="66"/>
    </row>
    <row r="2" spans="1:10" x14ac:dyDescent="0.2">
      <c r="A2" t="s">
        <v>255</v>
      </c>
    </row>
    <row r="3" spans="1:10" s="28" customFormat="1" ht="15.75" customHeight="1" x14ac:dyDescent="0.2">
      <c r="A3" s="131" t="s">
        <v>78</v>
      </c>
      <c r="B3" s="130" t="s">
        <v>279</v>
      </c>
      <c r="C3" s="74"/>
      <c r="D3" s="71"/>
      <c r="F3" s="72"/>
      <c r="G3" s="235"/>
      <c r="H3" s="71"/>
      <c r="I3" s="72"/>
      <c r="J3" s="71"/>
    </row>
    <row r="4" spans="1:10" x14ac:dyDescent="0.2">
      <c r="A4" s="42" t="s">
        <v>101</v>
      </c>
      <c r="B4" s="31">
        <f>luna!C29</f>
        <v>1.3891666666666669</v>
      </c>
      <c r="C4" s="31"/>
      <c r="D4" s="236"/>
      <c r="G4" s="236"/>
      <c r="H4" s="46"/>
    </row>
    <row r="5" spans="1:10" x14ac:dyDescent="0.2">
      <c r="A5" s="42" t="s">
        <v>102</v>
      </c>
      <c r="B5" s="31">
        <f>apachearagon!C28</f>
        <v>1.5091666666666668</v>
      </c>
      <c r="C5" s="31"/>
      <c r="D5" s="235"/>
      <c r="H5" s="46"/>
    </row>
    <row r="6" spans="1:10" x14ac:dyDescent="0.2">
      <c r="A6" s="42" t="s">
        <v>103</v>
      </c>
      <c r="B6" s="31">
        <f>reserve!C29</f>
        <v>1.6466666666666665</v>
      </c>
      <c r="C6" s="31"/>
      <c r="H6" s="46"/>
    </row>
    <row r="7" spans="1:10" x14ac:dyDescent="0.2">
      <c r="A7" s="42" t="s">
        <v>104</v>
      </c>
      <c r="B7" s="31">
        <f>glenwood!C29</f>
        <v>2.250833333333333</v>
      </c>
      <c r="C7" s="31"/>
      <c r="H7" s="46"/>
    </row>
    <row r="8" spans="1:10" x14ac:dyDescent="0.2">
      <c r="A8" s="42" t="s">
        <v>108</v>
      </c>
      <c r="B8" s="31">
        <f>uppergila!C28</f>
        <v>1.8200000000000003</v>
      </c>
      <c r="C8" s="31"/>
      <c r="H8" s="46"/>
    </row>
    <row r="9" spans="1:10" x14ac:dyDescent="0.2">
      <c r="A9" s="42" t="s">
        <v>109</v>
      </c>
      <c r="B9" s="31">
        <f>cliffgila!C29</f>
        <v>2.2783333333333338</v>
      </c>
      <c r="C9" s="31"/>
      <c r="H9" s="46"/>
    </row>
    <row r="10" spans="1:10" x14ac:dyDescent="0.2">
      <c r="A10" s="42" t="s">
        <v>110</v>
      </c>
      <c r="B10" s="31">
        <f>redrock!C28</f>
        <v>2.9016666666666668</v>
      </c>
      <c r="C10" s="31"/>
      <c r="H10" s="46"/>
    </row>
    <row r="11" spans="1:10" x14ac:dyDescent="0.2">
      <c r="A11" s="42" t="s">
        <v>129</v>
      </c>
      <c r="B11" s="31">
        <f>virden!C28</f>
        <v>2.8283333333333336</v>
      </c>
      <c r="C11" s="31"/>
    </row>
    <row r="12" spans="1:10" x14ac:dyDescent="0.2">
      <c r="A12" s="42" t="s">
        <v>130</v>
      </c>
      <c r="B12" s="31">
        <f>sansimon!C28</f>
        <v>3.1191666666666666</v>
      </c>
      <c r="C12" s="31"/>
    </row>
    <row r="14" spans="1:10" ht="15.75" x14ac:dyDescent="0.25">
      <c r="A14" s="195" t="s">
        <v>386</v>
      </c>
      <c r="B14" s="195"/>
      <c r="C14" s="195"/>
      <c r="D14" s="195"/>
      <c r="E14" s="195"/>
      <c r="F14" s="195"/>
      <c r="G14" s="195"/>
      <c r="H14" s="195"/>
    </row>
    <row r="15" spans="1:10" x14ac:dyDescent="0.2">
      <c r="D15"/>
    </row>
    <row r="16" spans="1:10" ht="38.25" x14ac:dyDescent="0.2">
      <c r="A16" s="41"/>
      <c r="B16" s="41" t="s">
        <v>131</v>
      </c>
      <c r="C16" s="45" t="s">
        <v>42</v>
      </c>
      <c r="D16" s="45" t="s">
        <v>269</v>
      </c>
      <c r="E16" s="41" t="s">
        <v>163</v>
      </c>
      <c r="F16" s="45" t="s">
        <v>132</v>
      </c>
      <c r="G16" s="41" t="s">
        <v>133</v>
      </c>
      <c r="H16" s="45" t="s">
        <v>134</v>
      </c>
      <c r="I16" s="41"/>
    </row>
    <row r="17" spans="1:10" x14ac:dyDescent="0.2">
      <c r="A17" s="42" t="s">
        <v>16</v>
      </c>
      <c r="B17" s="57">
        <f>'stock-dom-com-ind-evap'!B6</f>
        <v>18300</v>
      </c>
      <c r="C17" s="57">
        <f>B17*0.06</f>
        <v>1098</v>
      </c>
      <c r="D17" s="57">
        <f>B17*0.07</f>
        <v>1281.0000000000002</v>
      </c>
      <c r="E17" s="57">
        <f>'stock-dom-com-ind-evap'!B5</f>
        <v>26500</v>
      </c>
      <c r="F17" s="57">
        <f>E17*0.53</f>
        <v>14045</v>
      </c>
      <c r="G17" s="57">
        <f>'stock-dom-com-ind-evap'!B4</f>
        <v>33500</v>
      </c>
      <c r="H17" s="57">
        <f>G17*0.41</f>
        <v>13735</v>
      </c>
      <c r="I17" s="42"/>
    </row>
    <row r="18" spans="1:10" x14ac:dyDescent="0.2">
      <c r="A18" s="42" t="s">
        <v>17</v>
      </c>
      <c r="B18" s="57">
        <f>'stock-dom-com-ind-evap'!C6</f>
        <v>0</v>
      </c>
      <c r="C18" s="57">
        <f>B18*0.06</f>
        <v>0</v>
      </c>
      <c r="D18" s="57">
        <f>B18*0.07</f>
        <v>0</v>
      </c>
      <c r="E18" s="57">
        <f>'stock-dom-com-ind-evap'!C5</f>
        <v>100</v>
      </c>
      <c r="F18" s="57">
        <f>E18*0.53</f>
        <v>53</v>
      </c>
      <c r="G18" s="57">
        <f>'stock-dom-com-ind-evap'!C4</f>
        <v>100</v>
      </c>
      <c r="H18" s="57">
        <f>G18*0.41</f>
        <v>41</v>
      </c>
      <c r="I18" s="42"/>
    </row>
    <row r="19" spans="1:10" x14ac:dyDescent="0.2">
      <c r="D19"/>
    </row>
    <row r="20" spans="1:10" x14ac:dyDescent="0.2">
      <c r="A20" s="174"/>
      <c r="B20" s="174"/>
      <c r="C20" s="174"/>
      <c r="D20" s="174"/>
      <c r="E20" s="174"/>
      <c r="F20" s="174"/>
      <c r="G20" s="174"/>
      <c r="H20" s="174"/>
      <c r="I20" s="174"/>
    </row>
    <row r="21" spans="1:10" x14ac:dyDescent="0.2">
      <c r="D21"/>
    </row>
    <row r="23" spans="1:10" ht="15.75" x14ac:dyDescent="0.25">
      <c r="A23" s="195" t="s">
        <v>387</v>
      </c>
      <c r="B23" s="196"/>
      <c r="C23" s="196"/>
      <c r="D23" s="196"/>
      <c r="E23" s="196"/>
      <c r="F23" s="196"/>
      <c r="G23" s="196"/>
      <c r="H23" s="196"/>
    </row>
    <row r="25" spans="1:10" s="2" customFormat="1" x14ac:dyDescent="0.2">
      <c r="A25" s="131" t="s">
        <v>78</v>
      </c>
      <c r="B25" s="26" t="s">
        <v>280</v>
      </c>
      <c r="D25" s="68"/>
      <c r="J25" s="68"/>
    </row>
    <row r="26" spans="1:10" x14ac:dyDescent="0.2">
      <c r="A26" s="2" t="s">
        <v>44</v>
      </c>
      <c r="B26" s="109">
        <v>235</v>
      </c>
    </row>
    <row r="27" spans="1:10" x14ac:dyDescent="0.2">
      <c r="A27" s="2" t="s">
        <v>42</v>
      </c>
      <c r="B27" s="109">
        <v>464</v>
      </c>
    </row>
    <row r="28" spans="1:10" x14ac:dyDescent="0.2">
      <c r="A28" s="159" t="s">
        <v>285</v>
      </c>
      <c r="B28" s="109">
        <v>3475</v>
      </c>
    </row>
    <row r="29" spans="1:10" x14ac:dyDescent="0.2">
      <c r="A29" s="2" t="s">
        <v>18</v>
      </c>
      <c r="B29" s="109">
        <v>1649</v>
      </c>
    </row>
    <row r="31" spans="1:10" ht="15.75" x14ac:dyDescent="0.25">
      <c r="A31" s="195" t="s">
        <v>388</v>
      </c>
      <c r="B31" s="195"/>
      <c r="C31" s="195"/>
      <c r="D31" s="195"/>
      <c r="E31" s="195"/>
      <c r="F31" s="195"/>
      <c r="G31" s="197"/>
      <c r="H31" s="197"/>
    </row>
    <row r="32" spans="1:10" x14ac:dyDescent="0.2">
      <c r="A32" t="s">
        <v>255</v>
      </c>
      <c r="D32"/>
    </row>
    <row r="33" spans="1:6" ht="63.75" x14ac:dyDescent="0.2">
      <c r="A33" s="45" t="s">
        <v>78</v>
      </c>
      <c r="B33" s="41" t="s">
        <v>282</v>
      </c>
      <c r="C33" s="41" t="s">
        <v>281</v>
      </c>
      <c r="D33" s="41" t="s">
        <v>283</v>
      </c>
      <c r="E33" s="41" t="s">
        <v>135</v>
      </c>
      <c r="F33" s="41"/>
    </row>
    <row r="34" spans="1:6" x14ac:dyDescent="0.2">
      <c r="A34" s="125" t="s">
        <v>249</v>
      </c>
      <c r="B34" s="41"/>
      <c r="C34" s="41"/>
      <c r="D34" s="41"/>
      <c r="E34" s="41"/>
      <c r="F34" s="41"/>
    </row>
    <row r="35" spans="1:6" x14ac:dyDescent="0.2">
      <c r="A35" s="194" t="s">
        <v>101</v>
      </c>
      <c r="B35" s="59">
        <f>'stock-dom-com-ind-evap'!D103</f>
        <v>2.7658333333333327</v>
      </c>
      <c r="C35" s="127">
        <v>0.31</v>
      </c>
      <c r="D35" s="59">
        <f t="shared" ref="D35:D43" si="0">C35*B35</f>
        <v>0.85740833333333311</v>
      </c>
      <c r="E35" s="57">
        <v>30</v>
      </c>
    </row>
    <row r="36" spans="1:6" x14ac:dyDescent="0.2">
      <c r="A36" s="194" t="s">
        <v>102</v>
      </c>
      <c r="B36" s="59">
        <f>'stock-dom-com-ind-evap'!D104</f>
        <v>3.3133333333333339</v>
      </c>
      <c r="C36" s="127">
        <v>0.31</v>
      </c>
      <c r="D36" s="59">
        <f t="shared" si="0"/>
        <v>1.0271333333333335</v>
      </c>
      <c r="E36" s="57">
        <v>11</v>
      </c>
    </row>
    <row r="37" spans="1:6" x14ac:dyDescent="0.2">
      <c r="A37" s="194" t="s">
        <v>103</v>
      </c>
      <c r="B37" s="59">
        <f>'stock-dom-com-ind-evap'!D105</f>
        <v>3.5166666666666662</v>
      </c>
      <c r="C37" s="127">
        <v>0.31</v>
      </c>
      <c r="D37" s="59">
        <f t="shared" si="0"/>
        <v>1.0901666666666665</v>
      </c>
      <c r="E37" s="57">
        <v>17</v>
      </c>
    </row>
    <row r="38" spans="1:6" x14ac:dyDescent="0.2">
      <c r="A38" s="194" t="s">
        <v>250</v>
      </c>
      <c r="B38" s="59">
        <f>'stock-dom-com-ind-evap'!D106</f>
        <v>4.7950000000000008</v>
      </c>
      <c r="C38" s="127">
        <v>0.31</v>
      </c>
      <c r="D38" s="59">
        <f t="shared" si="0"/>
        <v>1.4864500000000003</v>
      </c>
      <c r="E38" s="57">
        <v>167</v>
      </c>
    </row>
    <row r="39" spans="1:6" x14ac:dyDescent="0.2">
      <c r="A39" s="194" t="s">
        <v>108</v>
      </c>
      <c r="B39" s="59">
        <f>'stock-dom-com-ind-evap'!D107</f>
        <v>2.944999999999999</v>
      </c>
      <c r="C39" s="127">
        <v>0.3</v>
      </c>
      <c r="D39" s="59">
        <f t="shared" si="0"/>
        <v>0.88349999999999962</v>
      </c>
      <c r="E39" s="57">
        <v>113</v>
      </c>
    </row>
    <row r="40" spans="1:6" x14ac:dyDescent="0.2">
      <c r="A40" s="194" t="s">
        <v>286</v>
      </c>
      <c r="B40" s="59">
        <f>'stock-dom-com-ind-evap'!D131</f>
        <v>5.0450000000000008</v>
      </c>
      <c r="C40" s="127">
        <v>0.3</v>
      </c>
      <c r="D40" s="59">
        <f t="shared" si="0"/>
        <v>1.5135000000000003</v>
      </c>
      <c r="E40" s="57">
        <v>750</v>
      </c>
    </row>
    <row r="41" spans="1:6" x14ac:dyDescent="0.2">
      <c r="A41" s="194" t="s">
        <v>129</v>
      </c>
      <c r="B41" s="59">
        <f>'stock-dom-com-ind-evap'!D110</f>
        <v>5.3341666666666674</v>
      </c>
      <c r="C41" s="127">
        <v>0.3</v>
      </c>
      <c r="D41" s="59">
        <f t="shared" si="0"/>
        <v>1.6002500000000002</v>
      </c>
      <c r="E41" s="57">
        <v>22</v>
      </c>
    </row>
    <row r="42" spans="1:6" x14ac:dyDescent="0.2">
      <c r="A42" s="126" t="s">
        <v>130</v>
      </c>
      <c r="B42" s="59">
        <f>'stock-dom-com-ind-evap'!D111</f>
        <v>6.043333333333333</v>
      </c>
      <c r="C42" s="127">
        <v>0.26</v>
      </c>
      <c r="D42" s="59">
        <f t="shared" si="0"/>
        <v>1.5712666666666666</v>
      </c>
      <c r="E42" s="57">
        <v>96</v>
      </c>
    </row>
    <row r="43" spans="1:6" ht="14.25" x14ac:dyDescent="0.2">
      <c r="A43" s="126" t="s">
        <v>162</v>
      </c>
      <c r="B43" s="59">
        <f>'stock-dom-com-ind-evap'!D123</f>
        <v>2.944999999999999</v>
      </c>
      <c r="C43" s="127">
        <v>0.1</v>
      </c>
      <c r="D43" s="59">
        <f t="shared" si="0"/>
        <v>0.29449999999999993</v>
      </c>
      <c r="E43" s="57">
        <v>1076</v>
      </c>
      <c r="F43" s="43"/>
    </row>
    <row r="44" spans="1:6" x14ac:dyDescent="0.2">
      <c r="D44"/>
    </row>
    <row r="45" spans="1:6" x14ac:dyDescent="0.2">
      <c r="C45" s="136"/>
      <c r="D45" s="136"/>
      <c r="E45" s="136"/>
    </row>
    <row r="46" spans="1:6" x14ac:dyDescent="0.2">
      <c r="C46" s="37"/>
      <c r="D46" s="37"/>
      <c r="E46" s="37"/>
    </row>
    <row r="47" spans="1:6" x14ac:dyDescent="0.2">
      <c r="D47"/>
    </row>
    <row r="48" spans="1:6" x14ac:dyDescent="0.2">
      <c r="D48"/>
    </row>
    <row r="49" spans="4:4" x14ac:dyDescent="0.2">
      <c r="D49"/>
    </row>
    <row r="50" spans="4:4" x14ac:dyDescent="0.2">
      <c r="D50"/>
    </row>
    <row r="51" spans="4:4" x14ac:dyDescent="0.2">
      <c r="D51"/>
    </row>
    <row r="52" spans="4:4" x14ac:dyDescent="0.2">
      <c r="D52"/>
    </row>
  </sheetData>
  <sheetProtection algorithmName="SHA-512" hashValue="mJtCLItzEqUxlLXT+dJdg1oIPO6IURuFcE+LWWTJP2vRyQ/yhn1YUBAQB6TVaD4yewuZvAvMAbaSF4HrstdB2A==" saltValue="RDA4F7GEP0ok6ws/pAd4fw==" spinCount="100000" sheet="1" formatColumns="0"/>
  <phoneticPr fontId="0" type="noConversion"/>
  <printOptions horizontalCentered="1" gridLines="1"/>
  <pageMargins left="0.75" right="0.25" top="0.75" bottom="0.75" header="0.5" footer="0.5"/>
  <pageSetup scale="90"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20</vt:i4>
      </vt:variant>
    </vt:vector>
  </HeadingPairs>
  <TitlesOfParts>
    <vt:vector size="34" baseType="lpstr">
      <vt:lpstr>stock-dom-com-ind-evap</vt:lpstr>
      <vt:lpstr>Freeport</vt:lpstr>
      <vt:lpstr>Diversions</vt:lpstr>
      <vt:lpstr>luna</vt:lpstr>
      <vt:lpstr>apachearagon</vt:lpstr>
      <vt:lpstr>reserve</vt:lpstr>
      <vt:lpstr>glenwood</vt:lpstr>
      <vt:lpstr>uppergila</vt:lpstr>
      <vt:lpstr>cliffgila</vt:lpstr>
      <vt:lpstr>redrock</vt:lpstr>
      <vt:lpstr>virden</vt:lpstr>
      <vt:lpstr>sansimon</vt:lpstr>
      <vt:lpstr>Tables1,2,3,4</vt:lpstr>
      <vt:lpstr>Misc.Tables</vt:lpstr>
      <vt:lpstr>'stock-dom-com-ind-evap'!_ftnref1</vt:lpstr>
      <vt:lpstr>'stock-dom-com-ind-evap'!_ftnref2</vt:lpstr>
      <vt:lpstr>'stock-dom-com-ind-evap'!_ftnref3</vt:lpstr>
      <vt:lpstr>'stock-dom-com-ind-evap'!_ftnref4</vt:lpstr>
      <vt:lpstr>'stock-dom-com-ind-evap'!_ftnref5</vt:lpstr>
      <vt:lpstr>'stock-dom-com-ind-evap'!_ftnref6</vt:lpstr>
      <vt:lpstr>apachearagon!Print_Area</vt:lpstr>
      <vt:lpstr>cliffgila!Print_Area</vt:lpstr>
      <vt:lpstr>Diversions!Print_Area</vt:lpstr>
      <vt:lpstr>Freeport!Print_Area</vt:lpstr>
      <vt:lpstr>glenwood!Print_Area</vt:lpstr>
      <vt:lpstr>luna!Print_Area</vt:lpstr>
      <vt:lpstr>Misc.Tables!Print_Area</vt:lpstr>
      <vt:lpstr>redrock!Print_Area</vt:lpstr>
      <vt:lpstr>reserve!Print_Area</vt:lpstr>
      <vt:lpstr>sansimon!Print_Area</vt:lpstr>
      <vt:lpstr>'stock-dom-com-ind-evap'!Print_Area</vt:lpstr>
      <vt:lpstr>'Tables1,2,3,4'!Print_Area</vt:lpstr>
      <vt:lpstr>uppergila!Print_Area</vt:lpstr>
      <vt:lpstr>virden!Print_Area</vt:lpstr>
    </vt:vector>
  </TitlesOfParts>
  <Company>Office of the State Engineer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cbernero</dc:creator>
  <cp:lastModifiedBy>Liu, Tao, OSE</cp:lastModifiedBy>
  <cp:lastPrinted>2018-01-31T00:05:48Z</cp:lastPrinted>
  <dcterms:created xsi:type="dcterms:W3CDTF">2003-07-30T16:53:01Z</dcterms:created>
  <dcterms:modified xsi:type="dcterms:W3CDTF">2026-07-24T19:35:30Z</dcterms:modified>
</cp:coreProperties>
</file>